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GitHub\mc-dashboard\"/>
    </mc:Choice>
  </mc:AlternateContent>
  <xr:revisionPtr revIDLastSave="0" documentId="13_ncr:1_{463D6658-5926-4C8A-A548-021C95FCA5E1}" xr6:coauthVersionLast="47" xr6:coauthVersionMax="47" xr10:uidLastSave="{00000000-0000-0000-0000-000000000000}"/>
  <bookViews>
    <workbookView xWindow="330" yWindow="380" windowWidth="18870" windowHeight="10900" xr2:uid="{22B67455-75FA-4B17-91AD-A7D63BCBD4DF}"/>
  </bookViews>
  <sheets>
    <sheet name="Sheet1" sheetId="1" r:id="rId1"/>
    <sheet name="Sheet2"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65" i="1" l="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H953" i="1"/>
  <c r="F13" i="1"/>
</calcChain>
</file>

<file path=xl/sharedStrings.xml><?xml version="1.0" encoding="utf-8"?>
<sst xmlns="http://schemas.openxmlformats.org/spreadsheetml/2006/main" count="17453" uniqueCount="7058">
  <si>
    <t>Company Name</t>
  </si>
  <si>
    <t>Standardized</t>
  </si>
  <si>
    <t>WING FUNG REALTY INVESTMENT LIMITED</t>
  </si>
  <si>
    <t>WING FUNG PRECIOUS METALS LIMITED</t>
    <phoneticPr fontId="11" type="noConversion"/>
  </si>
  <si>
    <t>WING FUNG PRECIOUS METALS LIMITED</t>
  </si>
  <si>
    <t>WING FUNG FUTURES LIMITED</t>
    <phoneticPr fontId="11" type="noConversion"/>
  </si>
  <si>
    <t>WING FUNG FUTURES LIMITED</t>
  </si>
  <si>
    <t>WING FUNG BULLION INVESTMENT LIMITED</t>
  </si>
  <si>
    <t>UMADX ONLINE (MALAYSIA) SDN. BHD</t>
    <phoneticPr fontId="11" type="noConversion"/>
  </si>
  <si>
    <t>UMADX ONLINE (MALAYSIA) SDN. BHD</t>
  </si>
  <si>
    <t>TYSAN MANAGEMENT LIMITED</t>
  </si>
  <si>
    <t>TRAVELSKY TECHNOLOGY (HONGKONG) LTD.</t>
    <phoneticPr fontId="11" type="noConversion"/>
  </si>
  <si>
    <t>TRAVELSKY TECHNOLOGY (HONGKONG) LTD.</t>
  </si>
  <si>
    <t>Techtronic Industries Co. Ltd</t>
    <phoneticPr fontId="11" type="noConversion"/>
  </si>
  <si>
    <t>Techtronic Industries Co. Ltd</t>
  </si>
  <si>
    <t>SOFI SECURITIES LIMITED (SOFI SERVICES ( HONG KONG ) LTD)</t>
    <phoneticPr fontId="11" type="noConversion"/>
  </si>
  <si>
    <t>SOFI SECURITIES LIMITED (SOFI SERVICES ( HONG KONG ) LTD)</t>
  </si>
  <si>
    <t>PROFIT CHART DEVELOPMENT LIMITED</t>
    <phoneticPr fontId="11" type="noConversion"/>
  </si>
  <si>
    <t>PROFIT CHART DEVELOPMENT LIMITED</t>
  </si>
  <si>
    <r>
      <rPr>
        <sz val="11"/>
        <color rgb="FF000000"/>
        <rFont val="Aptos Narrow"/>
        <family val="2"/>
        <scheme val="minor"/>
      </rPr>
      <t xml:space="preserve">ORANGE DATA LIMITED 
</t>
    </r>
    <r>
      <rPr>
        <b/>
        <sz val="11"/>
        <color rgb="FFFF0000"/>
        <rFont val="Aptos Narrow"/>
        <family val="2"/>
        <scheme val="minor"/>
      </rPr>
      <t>(Chnaged ASCENTAS CAPITAL MANAGEMENT LIMITED)</t>
    </r>
  </si>
  <si>
    <t>ASCENTAS CAPITAL MANAGEMENT LIMITED</t>
  </si>
  <si>
    <t>LEVER SHIRT LIMITED</t>
  </si>
  <si>
    <t>LEIGH &amp; ORANGE LTD</t>
  </si>
  <si>
    <t>LEGAL AID DEPT</t>
  </si>
  <si>
    <t>KBQUEST HONG KONG LIMITED OGCIO</t>
  </si>
  <si>
    <t>ITAK (INTERNATIONAL) LIMITED</t>
  </si>
  <si>
    <t>HONOUR MAILING AND PRINTING LTD</t>
    <phoneticPr fontId="11" type="noConversion"/>
  </si>
  <si>
    <t>HONOUR MAILING AND PRINTING LTD</t>
  </si>
  <si>
    <t>HONG KONG AERO ENGINE SERVICES LTD</t>
    <phoneticPr fontId="11" type="noConversion"/>
  </si>
  <si>
    <t>HONG KONG AERO ENGINE SERVICES LTD</t>
  </si>
  <si>
    <t xml:space="preserve">HKT Limited ( HKT Wireless Business ) </t>
    <phoneticPr fontId="11" type="noConversion"/>
  </si>
  <si>
    <t>HKT Limited ( HKT Wireless Business )</t>
  </si>
  <si>
    <t>HKT Green Mini Bus</t>
  </si>
  <si>
    <t>FIRST ASIA MERCHANTS BULLION LIMITED</t>
  </si>
  <si>
    <t>EMPERIO GOLD AND SILVER COINS (HK) LTD</t>
    <phoneticPr fontId="11" type="noConversion"/>
  </si>
  <si>
    <t>EMPERIO GOLD AND SILVER COINS (HK) LTD</t>
  </si>
  <si>
    <t>ULTRON TECHNOLOGY SG PTE. LIMITED 
(Pervious Name : EASY GREAT TECHNOLOGY LIMITED)</t>
  </si>
  <si>
    <t>ULTRON TECHNOLOGY SG PTE. LIMITED</t>
  </si>
  <si>
    <t>ULTRON TECHNOLOGY SG PTE. LIMITED
 (Pervious Name : EASY GREAT TECHNOLOGY LIMITED)</t>
  </si>
  <si>
    <t>DDAAPP Studio</t>
    <phoneticPr fontId="11" type="noConversion"/>
  </si>
  <si>
    <t>DDAAPP LIMITED</t>
  </si>
  <si>
    <t>CITYLINE (HONG KONG) LIMITED</t>
    <phoneticPr fontId="11" type="noConversion"/>
  </si>
  <si>
    <t>CITYLINE (HONG KONG) LIMITED</t>
  </si>
  <si>
    <t>CHOW TAI FOOK JEWELLERY CO LTD</t>
    <phoneticPr fontId="11" type="noConversion"/>
  </si>
  <si>
    <t>CHOW TAI FOOK JEWELLERY CO LTD</t>
  </si>
  <si>
    <r>
      <t xml:space="preserve">CHOW TAI FOOK JEWELLERY CO LTD </t>
    </r>
    <r>
      <rPr>
        <sz val="11"/>
        <color rgb="FFFF0000"/>
        <rFont val="Aptos Narrow"/>
        <family val="1"/>
        <charset val="136"/>
        <scheme val="minor"/>
      </rPr>
      <t>(vcchoi)</t>
    </r>
  </si>
  <si>
    <t>Celestial Key Ventures Limited</t>
    <phoneticPr fontId="11" type="noConversion"/>
  </si>
  <si>
    <t>Celestial Key Ventures Limited</t>
  </si>
  <si>
    <t>CAM 8 PCCW (Macau) Ltd c/o SJM</t>
  </si>
  <si>
    <t>Bindo Lab Limited</t>
  </si>
  <si>
    <t>AXA CHINA REGION INSURANCE CO LTD</t>
  </si>
  <si>
    <t>AIRPORT AUTHORITY</t>
  </si>
  <si>
    <t>AASTOCKS.COM LIMITED</t>
  </si>
  <si>
    <r>
      <t xml:space="preserve">8 Securities Ltd
</t>
    </r>
    <r>
      <rPr>
        <sz val="11"/>
        <color theme="1"/>
        <rFont val="Aptos Narrow"/>
        <family val="1"/>
        <scheme val="minor"/>
      </rPr>
      <t>( New company name  SOFI SECURITIES LIMITED (SOFI SERVICES ( HONG KONG ) LTD))</t>
    </r>
  </si>
  <si>
    <t>2GOTRADE LIMITED</t>
    <phoneticPr fontId="11" type="noConversion"/>
  </si>
  <si>
    <t>2GOTRADE LIMITED</t>
  </si>
  <si>
    <t>SHISEIDO HONG KONG LIMITED</t>
    <phoneticPr fontId="11" type="noConversion"/>
  </si>
  <si>
    <t>SHISEIDO HONG KONG LIMITED</t>
  </si>
  <si>
    <t>MITSUBISHI CORPORATION (HK) LTD</t>
    <phoneticPr fontId="11" type="noConversion"/>
  </si>
  <si>
    <t>MITSUBISHI CORPORATION (HK) LTD</t>
  </si>
  <si>
    <t>CAM 8 AWS account for Green Motor Bus
 (for customer production workload)</t>
  </si>
  <si>
    <r>
      <t>H</t>
    </r>
    <r>
      <rPr>
        <sz val="11"/>
        <color theme="1"/>
        <rFont val="Aptos Narrow"/>
        <family val="2"/>
        <scheme val="minor"/>
      </rPr>
      <t xml:space="preserve">KT Cloud EMS </t>
    </r>
  </si>
  <si>
    <t>HKT Cloud EMS</t>
  </si>
  <si>
    <r>
      <t>C</t>
    </r>
    <r>
      <rPr>
        <sz val="11"/>
        <color theme="1"/>
        <rFont val="Aptos Narrow"/>
        <family val="2"/>
        <scheme val="minor"/>
      </rPr>
      <t>CC CP29</t>
    </r>
  </si>
  <si>
    <t>CCC CP29</t>
  </si>
  <si>
    <t>INCOME PARTNERS ASSET MANAGEMENT(HK)LTD</t>
    <phoneticPr fontId="11" type="noConversion"/>
  </si>
  <si>
    <t>INCOME PARTNERS ASSET MANAGEMENT(HK)LTD</t>
  </si>
  <si>
    <t>LAWS FASHION GROUP LIMITED</t>
    <phoneticPr fontId="11" type="noConversion"/>
  </si>
  <si>
    <t>LAWS FASHION GROUP LIMITED</t>
  </si>
  <si>
    <t>MODERN BEAUTY SALON (HK) LTD</t>
    <phoneticPr fontId="11" type="noConversion"/>
  </si>
  <si>
    <t>MODERN BEAUTY SALON (HK) LTD</t>
  </si>
  <si>
    <t>JARDINE MATHESON LTD</t>
    <phoneticPr fontId="11" type="noConversion"/>
  </si>
  <si>
    <t>JARDINE MATHESON LIMITED</t>
  </si>
  <si>
    <t>DDAAPP LIMITED</t>
    <phoneticPr fontId="11" type="noConversion"/>
  </si>
  <si>
    <t>WING FUNG CREDIT LIMITED</t>
    <phoneticPr fontId="11" type="noConversion"/>
  </si>
  <si>
    <t>WING FUNG CREDIT LIMITED</t>
  </si>
  <si>
    <t>HONG KONG SECURITIES AND INV INSTITUTE</t>
    <phoneticPr fontId="11" type="noConversion"/>
  </si>
  <si>
    <t>HONG KONG SECURITIES AND INV INSTITUTE</t>
  </si>
  <si>
    <t>WING FUNG SECURITIES LIMITED</t>
    <phoneticPr fontId="11" type="noConversion"/>
  </si>
  <si>
    <t>WING FUNG SECURITIES LIMITED</t>
  </si>
  <si>
    <t>GRAND STRONG HOLDINGS LIMITED</t>
    <phoneticPr fontId="11" type="noConversion"/>
  </si>
  <si>
    <t>GRAND STRONG HOLDINGS LIMITED</t>
  </si>
  <si>
    <t>GAW CAPITAL ADVISORS LIMITED</t>
  </si>
  <si>
    <t xml:space="preserve">CCC C262 PCCW Solutions Ltd C/O Hospital Authority </t>
    <phoneticPr fontId="11" type="noConversion"/>
  </si>
  <si>
    <t>CCC C262 PCCW Solutions Ltd C/O Hospital Authority</t>
  </si>
  <si>
    <t>Luk Fook Holdings Co Ltd</t>
  </si>
  <si>
    <t xml:space="preserve">HKT ( Internal use ) </t>
    <phoneticPr fontId="11" type="noConversion"/>
  </si>
  <si>
    <t>HKT ( Internal use )</t>
  </si>
  <si>
    <t>Bowker Asia Ltd (Win-Hanverky)</t>
    <phoneticPr fontId="11" type="noConversion"/>
  </si>
  <si>
    <t>Bowker Asia Ltd (Win-Hanverky)</t>
  </si>
  <si>
    <t>HKTCSL 5G AR SERVICE</t>
    <phoneticPr fontId="11" type="noConversion"/>
  </si>
  <si>
    <t>HKTCSL 5G AR SERVICE</t>
  </si>
  <si>
    <t>TAIPING SECURITIES (HK) CO LIMITED</t>
    <phoneticPr fontId="11" type="noConversion"/>
  </si>
  <si>
    <t>TAIPING SECURITIES (HK) CO LIMITED</t>
  </si>
  <si>
    <r>
      <rPr>
        <strike/>
        <sz val="11"/>
        <color theme="1"/>
        <rFont val="Aptos Narrow"/>
        <family val="1"/>
        <scheme val="minor"/>
      </rPr>
      <t>HKT Teleservice Ltd (Prod)</t>
    </r>
    <r>
      <rPr>
        <sz val="11"/>
        <color theme="1"/>
        <rFont val="Aptos Narrow"/>
        <family val="1"/>
        <scheme val="minor"/>
      </rPr>
      <t xml:space="preserve"> RENAME in CloudCheckr
HKT Teleservice International Ltd (Prod)</t>
    </r>
  </si>
  <si>
    <t>HKT TELESERVICE INTERNATIONAL LTD (PROD)</t>
  </si>
  <si>
    <r>
      <rPr>
        <strike/>
        <sz val="11"/>
        <color theme="1"/>
        <rFont val="Aptos Narrow"/>
        <family val="1"/>
        <scheme val="minor"/>
      </rPr>
      <t>HKT Teleservice Ltd (Dev)</t>
    </r>
    <r>
      <rPr>
        <sz val="11"/>
        <color theme="1"/>
        <rFont val="Aptos Narrow"/>
        <family val="1"/>
        <scheme val="minor"/>
      </rPr>
      <t xml:space="preserve"> RENAME in CloudCheckr
HKT Teleservice International Ltd (Dev)</t>
    </r>
  </si>
  <si>
    <t>HKT TELESERVICE INTERNATIONAL LTD (DEV)</t>
  </si>
  <si>
    <t>TECKLE SOLUTIONS LIMITED</t>
    <phoneticPr fontId="11" type="noConversion"/>
  </si>
  <si>
    <t>TECKLE SOLUTIONS LIMITED</t>
  </si>
  <si>
    <t>No record</t>
    <phoneticPr fontId="11" type="noConversion"/>
  </si>
  <si>
    <t>No record</t>
  </si>
  <si>
    <t>EASY GREAT TECHNOLOGY LIMITED</t>
  </si>
  <si>
    <t>DB POWER ONLINE LIMITED</t>
    <phoneticPr fontId="11" type="noConversion"/>
  </si>
  <si>
    <t>DB POWER ONLINE LIMITED</t>
  </si>
  <si>
    <t>Sun Hung Kai Credit Limited</t>
    <phoneticPr fontId="11" type="noConversion"/>
  </si>
  <si>
    <t>Sun Hung Kai Credit Limited</t>
  </si>
  <si>
    <t>HK TELEVISION ENTERTAINMENT CO LTD (ViuTV)</t>
    <phoneticPr fontId="11" type="noConversion"/>
  </si>
  <si>
    <t>HK TELEVISION ENTERTAINMENT CO LTD (ViuTV)</t>
  </si>
  <si>
    <t>CAM 8 AWS account Viu-OTT</t>
  </si>
  <si>
    <t xml:space="preserve">PHILLIP SECURITIES (HK) LTD </t>
    <phoneticPr fontId="11" type="noConversion"/>
  </si>
  <si>
    <t>PHILLIP SECURITIES (HK) LTD</t>
  </si>
  <si>
    <r>
      <t xml:space="preserve">SSIF SECURITIES LIMITED 
</t>
    </r>
    <r>
      <rPr>
        <sz val="11"/>
        <color theme="1"/>
        <rFont val="Aptos Narrow"/>
        <family val="1"/>
        <scheme val="minor"/>
      </rPr>
      <t>( Correct Name: SSIF HOLDINGS LIMITED )</t>
    </r>
  </si>
  <si>
    <t>SSIF HOLDINGS LIMITED</t>
  </si>
  <si>
    <t xml:space="preserve">fRICOH ASIA Pacific Operations Limited </t>
    <phoneticPr fontId="11" type="noConversion"/>
  </si>
  <si>
    <t>RICOH ASIA PACIFIC OPERATIONS LIMITED</t>
  </si>
  <si>
    <t>TASTE OF ASIA GROUP LTD</t>
    <phoneticPr fontId="11" type="noConversion"/>
  </si>
  <si>
    <t>TASTE OF ASIA GROUP LTD</t>
  </si>
  <si>
    <r>
      <t xml:space="preserve">CHOW TAI FOOK JEWELLERY CO LTD
</t>
    </r>
    <r>
      <rPr>
        <b/>
        <sz val="11"/>
        <color rgb="FFFF0000"/>
        <rFont val="Aptos Narrow"/>
        <family val="2"/>
        <scheme val="minor"/>
      </rPr>
      <t>&lt;Gravity Project&gt;</t>
    </r>
  </si>
  <si>
    <t>PRICERITE HOME LIMITED</t>
  </si>
  <si>
    <t>CFSG HOLDINGS LIMITED</t>
  </si>
  <si>
    <r>
      <t xml:space="preserve">OFFICE OF THE GOVERNMENTT CHIEF INFORMATION OFFICER </t>
    </r>
    <r>
      <rPr>
        <sz val="11"/>
        <color rgb="FFFF0000"/>
        <rFont val="Aptos Narrow"/>
        <family val="1"/>
        <charset val="136"/>
        <scheme val="minor"/>
      </rPr>
      <t>(new name: DIGITAL POLICY OFFICE)</t>
    </r>
    <r>
      <rPr>
        <sz val="11"/>
        <color theme="1"/>
        <rFont val="Aptos Narrow"/>
        <family val="2"/>
        <scheme val="minor"/>
      </rPr>
      <t xml:space="preserve">
</t>
    </r>
    <r>
      <rPr>
        <sz val="11"/>
        <color rgb="FFFF0000"/>
        <rFont val="Aptos Narrow"/>
        <family val="1"/>
        <charset val="136"/>
        <scheme val="minor"/>
      </rPr>
      <t>(Name in CSP Portal : Office of the Government Chief Information Officer)</t>
    </r>
  </si>
  <si>
    <t>DIGITAL POLICY OFFICE</t>
  </si>
  <si>
    <t xml:space="preserve">CAM 8 AWS account for HKT China Team 
(Alibaba Cloud subscription for NM platform) </t>
  </si>
  <si>
    <t>CAM 8 AWS account for HKT China Team 
(Alibaba Cloud subscription for NM platform)</t>
  </si>
  <si>
    <t>NUTHON IT SOLUTIONS LIMITED</t>
    <phoneticPr fontId="11" type="noConversion"/>
  </si>
  <si>
    <t>NUTHON IT SOLUTIONS LIMITED</t>
  </si>
  <si>
    <t>companies Registry</t>
    <phoneticPr fontId="11" type="noConversion"/>
  </si>
  <si>
    <t>COMPANIES REGISTRY</t>
  </si>
  <si>
    <t>CMC PARTNERS LIMITED</t>
  </si>
  <si>
    <t>WINBULL SECURITIES INT''L (HONG KONG) LTD</t>
    <phoneticPr fontId="11" type="noConversion"/>
  </si>
  <si>
    <t>WINBULL SECURITIES INT''L (HONG KONG) LTD</t>
  </si>
  <si>
    <t>SHANGHAI COMMERCIAL BANK LTD</t>
  </si>
  <si>
    <t>LEVER STYLE LIMITED</t>
  </si>
  <si>
    <t>EPOQUE CO. LIMITED</t>
  </si>
  <si>
    <t>WAH SUM ELECTRICAL ENGRG SUPPLIES LTD</t>
    <phoneticPr fontId="11" type="noConversion"/>
  </si>
  <si>
    <t>WAH SUM ELECTRICAL ENGRG SUPPLIES LTD</t>
  </si>
  <si>
    <t>SDIC SECURITIESE INT'L FINANCIAL HOLDINGS LIMITED
&lt;Old Company Name : ESSENCE INT'L FINANCIAL HOLDINGS LIMITED&gt;</t>
  </si>
  <si>
    <t>SDIC SECURITIES INT'L FINANCIAL HOLDINGS LIMITED</t>
  </si>
  <si>
    <t xml:space="preserve">CSL CCAI Project HKT internal </t>
  </si>
  <si>
    <t>CSL CCAI Project HKT internal</t>
  </si>
  <si>
    <t xml:space="preserve">CAM 8 AWS account for HKT LDA Team 
(AWS EDP Account) </t>
  </si>
  <si>
    <t>CAM 8 AWS account for HKT LDA Team 
(AWS EDP Account)</t>
  </si>
  <si>
    <t xml:space="preserve">CAM 8 Google Cloud account for HKT Teleservices Team ( Name in Cloud Platform : HKT Teleservices Team HKT Internal ) </t>
  </si>
  <si>
    <t>CAM 8 Google Cloud account for HKT Teleservices Team ( Name in Cloud Platform : HKT Teleservices Team HKT Internal )</t>
  </si>
  <si>
    <t>INFINITE FINANCIAL SOLUTIONS LTD</t>
  </si>
  <si>
    <t>ESUN HOLDINGS LTD</t>
    <phoneticPr fontId="11" type="noConversion"/>
  </si>
  <si>
    <t>ESUN HOLDINGS LTD</t>
  </si>
  <si>
    <t>GTS PLATFORM SERVICE LIMITED</t>
    <phoneticPr fontId="11" type="noConversion"/>
  </si>
  <si>
    <t>GTS PLATFORM SERVICE LIMITED</t>
  </si>
  <si>
    <r>
      <t xml:space="preserve">PCCW Solutions </t>
    </r>
    <r>
      <rPr>
        <sz val="11"/>
        <color theme="1"/>
        <rFont val="Aptos Narrow"/>
        <family val="1"/>
        <scheme val="minor"/>
      </rPr>
      <t>( renamed in cloudcheckr : PCCW Techincal Srvices Limited )</t>
    </r>
  </si>
  <si>
    <t>PCCW Solutions ( renamed in cloudcheckr : PCCW Techincal Srvices Limited )</t>
  </si>
  <si>
    <r>
      <t xml:space="preserve">CHOW TAI FOOK JEWELLERY CO LTD
</t>
    </r>
    <r>
      <rPr>
        <b/>
        <sz val="11"/>
        <color rgb="FFFF0000"/>
        <rFont val="Aptos Narrow"/>
        <family val="2"/>
        <scheme val="minor"/>
      </rPr>
      <t>&lt;SFTP Project&gt;</t>
    </r>
  </si>
  <si>
    <t>FORIS LIMITED</t>
    <phoneticPr fontId="11" type="noConversion"/>
  </si>
  <si>
    <t>FORIS LIMITED</t>
  </si>
  <si>
    <t>Makerville Company Limited (PCCW Media Group)</t>
  </si>
  <si>
    <t>HKT CSL mobile
 (Name in Cloudcheck : CSL mobile Thingsboard POC)</t>
  </si>
  <si>
    <t xml:space="preserve">Fashion focus manufacturing limited </t>
  </si>
  <si>
    <t>Fashion focus manufacturing limited</t>
  </si>
  <si>
    <t>RAY FUNG PI INNOVATION COMPANY LIMITED 
(Name in Ali portal :CGSE)</t>
  </si>
  <si>
    <t xml:space="preserve">ESRI CHINA (HONG KONG) LIMITED C/O FSD </t>
    <phoneticPr fontId="11" type="noConversion"/>
  </si>
  <si>
    <t>ESRI CHINA (HONG KONG) LIMITED C/O FSD</t>
  </si>
  <si>
    <r>
      <t>Great Eagle Holdings Ltd</t>
    </r>
    <r>
      <rPr>
        <b/>
        <sz val="11"/>
        <color theme="1"/>
        <rFont val="Aptos Narrow"/>
        <family val="1"/>
        <scheme val="minor"/>
      </rPr>
      <t xml:space="preserve"> 
( Name in order form : KEYSEN PROPERTY MANAGEMENT SERVICES LTD  )</t>
    </r>
  </si>
  <si>
    <t>Great Eagle Holdings Ltd 
( Name in order form : KEYSEN PROPERTY MANAGEMENT SERVICES LTD  )</t>
  </si>
  <si>
    <r>
      <t xml:space="preserve">HONG KONG DIAMOND WAREHOUSE COMPANY LIMITED 
</t>
    </r>
    <r>
      <rPr>
        <sz val="11"/>
        <color rgb="FFFF0000"/>
        <rFont val="Aptos Narrow"/>
        <family val="2"/>
        <scheme val="minor"/>
      </rPr>
      <t>&lt;group company of Chow Tai Fook ( aldy group under CTF) &gt;</t>
    </r>
  </si>
  <si>
    <t>CHOW SANG SANG JEWELLERY CO LTD</t>
  </si>
  <si>
    <t>PCCW Digital Solutions Ltd</t>
  </si>
  <si>
    <t>CIVIL ENGINEERING AND DEVELOPMENT DEPT</t>
    <phoneticPr fontId="11" type="noConversion"/>
  </si>
  <si>
    <t>CIVIL ENGINEERING AND DEVELOPMENT DEPT</t>
  </si>
  <si>
    <t xml:space="preserve">CAM 8 Google Cloud account for Google One Project
 (For Product and Innovation team) </t>
    <phoneticPr fontId="11" type="noConversion"/>
  </si>
  <si>
    <t>CAM 8 Google Cloud account for Google One Project
 (For Product and Innovation team)</t>
  </si>
  <si>
    <t>6IXTY 8IGHT LIMITED</t>
  </si>
  <si>
    <t>SECURITIES AND FUTURES COMMISSION</t>
    <phoneticPr fontId="11" type="noConversion"/>
  </si>
  <si>
    <t>SECURITIES AND FUTURES COMMISSION</t>
  </si>
  <si>
    <t>LEE KUM KEE INTERNATIONAL HOLDINGS LTD</t>
  </si>
  <si>
    <t>HOSPITAL AUTHORITY</t>
    <phoneticPr fontId="11" type="noConversion"/>
  </si>
  <si>
    <t>HOSPITAL AUTHORITY</t>
  </si>
  <si>
    <t>DAIWA CAPITAL MARKETS HONG KONG LIMITED</t>
  </si>
  <si>
    <t xml:space="preserve">EBROKER SYSTEMS LTD  </t>
    <phoneticPr fontId="11" type="noConversion"/>
  </si>
  <si>
    <t>EBROKER SYSTEMS LTD</t>
  </si>
  <si>
    <t>Hong Kong Monetary Authority ( HKMA)</t>
    <phoneticPr fontId="11" type="noConversion"/>
  </si>
  <si>
    <t>HONG KONG MONETARY AUTHORITY</t>
  </si>
  <si>
    <t>PARTICLE RESEARCH LTD</t>
    <phoneticPr fontId="11" type="noConversion"/>
  </si>
  <si>
    <t>PARTICLE RESEARCH LTD</t>
  </si>
  <si>
    <t>CAM 8 Google Cloud account for ViuClip</t>
  </si>
  <si>
    <t>LEGISLATIVE COUNCIL SECRETARIAT</t>
  </si>
  <si>
    <r>
      <t xml:space="preserve">CHOW TAI FOOK JEWELLERY CO LTD
</t>
    </r>
    <r>
      <rPr>
        <sz val="11"/>
        <color rgb="FFFF0000"/>
        <rFont val="Calibri"/>
        <family val="2"/>
      </rPr>
      <t>&lt;New project – BIZTALK&gt;</t>
    </r>
  </si>
  <si>
    <t xml:space="preserve">CAM 8 HKT Commercial Hotline Team (CHT) </t>
  </si>
  <si>
    <t>CAM 8 HKT Commercial Hotline Team (CHT)</t>
  </si>
  <si>
    <t>HKT Teleservices Technical Services</t>
  </si>
  <si>
    <t>B.S.C. GROUP LTD</t>
    <phoneticPr fontId="11" type="noConversion"/>
  </si>
  <si>
    <t>B.S.C. GROUP LTD</t>
  </si>
  <si>
    <r>
      <t xml:space="preserve">CHOW TAI FOOK JEWELLERY CO LTD
</t>
    </r>
    <r>
      <rPr>
        <b/>
        <sz val="11"/>
        <color rgb="FFFF0000"/>
        <rFont val="Aptos Narrow"/>
        <family val="2"/>
        <scheme val="minor"/>
      </rPr>
      <t>&lt;API Project&gt;</t>
    </r>
  </si>
  <si>
    <t>CHINA INVESTMENT INFORMATION SERVICE LTD</t>
    <phoneticPr fontId="11" type="noConversion"/>
  </si>
  <si>
    <t>CHINA INVESTMENT INFORMATION SERVICE LTD</t>
  </si>
  <si>
    <r>
      <t xml:space="preserve">CHOW TAI FOOK JEWELLERY CO LTD
</t>
    </r>
    <r>
      <rPr>
        <b/>
        <sz val="11"/>
        <color rgb="FFFF0000"/>
        <rFont val="Aptos Narrow"/>
        <family val="2"/>
        <scheme val="minor"/>
      </rPr>
      <t>&lt;CTF-Ecatalog Project&gt;</t>
    </r>
  </si>
  <si>
    <t>G2000 (APPAREL) LTD</t>
  </si>
  <si>
    <t>ASCENTAS CAPITAL MANAGEMENT LIMITED</t>
    <phoneticPr fontId="11" type="noConversion"/>
  </si>
  <si>
    <t xml:space="preserve">AIRPORT AUTHORITY </t>
  </si>
  <si>
    <t>New World Corporate Services Limited</t>
  </si>
  <si>
    <t xml:space="preserve">CAM 8 GOOGLE CLOUD ACCOUNT FOR HKT TELESERVICES </t>
  </si>
  <si>
    <t>CAM 8 GOOGLE CLOUD ACCOUNT FOR HKT TELESERVICES</t>
  </si>
  <si>
    <t xml:space="preserve">CHOW TAI FOOK JEWELLERY CO LTD </t>
  </si>
  <si>
    <t>CHOW TAI FOOK JEWELLERY CO., LTD.</t>
  </si>
  <si>
    <t>ULTRON TECHNOLOGY SG PTE. LIMITED (Pervious Name : EASY GREAT TECHNOLOGY LIMITED)</t>
    <phoneticPr fontId="11" type="noConversion"/>
  </si>
  <si>
    <t>Ricoh Asia Pacific Operations Limited</t>
    <phoneticPr fontId="11" type="noConversion"/>
  </si>
  <si>
    <t xml:space="preserve">HONG KONG EXCHANGES AND CLEARING LTD </t>
  </si>
  <si>
    <t>HONG KONG EXCHANGES AND CLEARING LTD</t>
  </si>
  <si>
    <t>THE BANK OF EAST ASIA, LIMITED</t>
  </si>
  <si>
    <t xml:space="preserve">DAIWA CAPITAL MARKETS HONG KONG LIMITED </t>
  </si>
  <si>
    <t>YUNG'S ENTERPRISE HOLDINGS LIMITED</t>
  </si>
  <si>
    <t>CAM8</t>
  </si>
  <si>
    <t>Civil Engineering and Development Building</t>
    <phoneticPr fontId="11" type="noConversion"/>
  </si>
  <si>
    <t>HK-SHENZHEN INNOVATION &amp; TECH. PARK LTD</t>
  </si>
  <si>
    <t>TRICOR SERVICES LTD</t>
    <phoneticPr fontId="11" type="noConversion"/>
  </si>
  <si>
    <t>TRICOR SERVICES LTD</t>
  </si>
  <si>
    <t>KOWLOON MOTOR BUS CO (1933) LTD</t>
    <phoneticPr fontId="11" type="noConversion"/>
  </si>
  <si>
    <t>KOWLOON MOTOR BUS CO (1933) LTD</t>
  </si>
  <si>
    <t>MIB Securities (Hong Kong) Limited</t>
    <phoneticPr fontId="11" type="noConversion"/>
  </si>
  <si>
    <t>MIB Securities (Hong Kong) Limited</t>
  </si>
  <si>
    <t>HONG KONG HOUSING SOCIETY</t>
    <phoneticPr fontId="11" type="noConversion"/>
  </si>
  <si>
    <t>HONG KONG HOUSING SOCIETY</t>
  </si>
  <si>
    <t>MIB_POC_HKT</t>
  </si>
  <si>
    <t>New World Facilities Management Co Ltd</t>
  </si>
  <si>
    <t>FANO LABS LIMITED</t>
    <phoneticPr fontId="11" type="noConversion"/>
  </si>
  <si>
    <t>FANO LABS LIMITED</t>
  </si>
  <si>
    <t>CAM 8 – AWS ACCOUNT FOR HKT EMS TEAM</t>
    <phoneticPr fontId="11" type="noConversion"/>
  </si>
  <si>
    <t>CAM 8 – AWS ACCOUNT FOR HKT EMS TEAM</t>
  </si>
  <si>
    <t xml:space="preserve">GAMMON CONSTRUCTION LTD </t>
    <phoneticPr fontId="11" type="noConversion"/>
  </si>
  <si>
    <t>GAMMON CONSTRUCTION LTD</t>
  </si>
  <si>
    <t>PROSPEROUS SUCCESS (HK) LIMITED</t>
    <phoneticPr fontId="11" type="noConversion"/>
  </si>
  <si>
    <t>PROSPEROUS SUCCESS (HK) LIMITED</t>
  </si>
  <si>
    <t>CAM8 619241 Managed Private Cloud</t>
  </si>
  <si>
    <t>THE EDUCATION OF HONG KONG</t>
    <phoneticPr fontId="11" type="noConversion"/>
  </si>
  <si>
    <t>THE EDUCATION OF HONG KONG</t>
  </si>
  <si>
    <t>CAM 8 - Huawei Cloud account for HKT ET Team</t>
  </si>
  <si>
    <t xml:space="preserve">HYSAN IT SERVICES COMPANY LIMITED </t>
  </si>
  <si>
    <t>HYSAN IT SERVICES COMPANY LIMITED</t>
  </si>
  <si>
    <t>HYSAN IT SERVICES COMPANY LIMITED</t>
    <phoneticPr fontId="11" type="noConversion"/>
  </si>
  <si>
    <t>Chow Sang Sang Jewellery Co. Limited</t>
  </si>
  <si>
    <t>Jardine Matheson Limited</t>
  </si>
  <si>
    <t>Hong Kong Police Force</t>
  </si>
  <si>
    <t>MONMONKEY GROUP SECURITIES LIMITED</t>
    <phoneticPr fontId="11" type="noConversion"/>
  </si>
  <si>
    <t>MONMONKEY GROUP SECURITIES LIMITED</t>
  </si>
  <si>
    <t xml:space="preserve"> Huawei cloud POC</t>
    <phoneticPr fontId="11" type="noConversion"/>
  </si>
  <si>
    <t xml:space="preserve"> Huawei cloud POC</t>
  </si>
  <si>
    <t>Hong Kong Exchanges and Clearing Ltd</t>
    <phoneticPr fontId="11" type="noConversion"/>
  </si>
  <si>
    <t>JARDINE MATHESON &amp; CO LTD</t>
    <phoneticPr fontId="11" type="noConversion"/>
  </si>
  <si>
    <t>Hong Kong Air Cargo Terminals Limited</t>
  </si>
  <si>
    <t>HONG KONG AIR CARGO TERMINALS LIMITED</t>
  </si>
  <si>
    <t>EVER TOPRICH LIMITED</t>
    <phoneticPr fontId="11" type="noConversion"/>
  </si>
  <si>
    <t>EVER TOPRICH LIMITED</t>
  </si>
  <si>
    <t>Centre for Novostics Limited</t>
    <phoneticPr fontId="11" type="noConversion"/>
  </si>
  <si>
    <t>Centre for Novostics Limited</t>
  </si>
  <si>
    <t>THE HONG KONG GOLF CLUB</t>
    <phoneticPr fontId="11" type="noConversion"/>
  </si>
  <si>
    <t>THE HONG KONG GOLF CLUB</t>
  </si>
  <si>
    <r>
      <t xml:space="preserve">DIGITAL POLICY OFFICE </t>
    </r>
    <r>
      <rPr>
        <sz val="11"/>
        <color rgb="FFFF0000"/>
        <rFont val="Aptos Narrow"/>
        <family val="1"/>
        <charset val="136"/>
        <scheme val="minor"/>
      </rPr>
      <t>(Old name: Office of the Government Chief Information Officer)</t>
    </r>
    <r>
      <rPr>
        <sz val="11"/>
        <color theme="1"/>
        <rFont val="Aptos Narrow"/>
        <family val="2"/>
        <scheme val="minor"/>
      </rPr>
      <t xml:space="preserve">
</t>
    </r>
    <r>
      <rPr>
        <sz val="11"/>
        <color rgb="FFFF0000"/>
        <rFont val="Aptos Narrow"/>
        <family val="1"/>
        <charset val="136"/>
        <scheme val="minor"/>
      </rPr>
      <t>(Name in CSP Portal : Office of the Government Chief Information Officer)</t>
    </r>
  </si>
  <si>
    <t>Hip Hing Construction Company Limited</t>
    <phoneticPr fontId="11" type="noConversion"/>
  </si>
  <si>
    <t>Hip Hing Construction Company Limited</t>
  </si>
  <si>
    <t>HKT BU PROJECT</t>
    <phoneticPr fontId="11" type="noConversion"/>
  </si>
  <si>
    <t>HKT BU PROJECT</t>
  </si>
  <si>
    <t>ORIX ASIA CAPITAL LIMITED</t>
    <phoneticPr fontId="11" type="noConversion"/>
  </si>
  <si>
    <t>ORIX ASIA CAPITAL LIMITED</t>
  </si>
  <si>
    <t>HONG KONG CYBERPORT MANAGEMENT CO LTD</t>
    <phoneticPr fontId="11" type="noConversion"/>
  </si>
  <si>
    <t>HONG KONG CYBERPORT MANAGEMENT CO LTD</t>
  </si>
  <si>
    <t>CLP POWER HONG KONG LIMITED</t>
    <phoneticPr fontId="11" type="noConversion"/>
  </si>
  <si>
    <t>CLP POWER HONG KONG LIMITED</t>
  </si>
  <si>
    <t>COMMERCE-CONNECTIONS ASIA LTD</t>
    <phoneticPr fontId="11" type="noConversion"/>
  </si>
  <si>
    <t>COMMERCE-CONNECTIONS ASIA LTD</t>
  </si>
  <si>
    <t>CONSUMER COUNCIL</t>
  </si>
  <si>
    <t>CAM 8_HKT POC_ FANO</t>
    <phoneticPr fontId="11" type="noConversion"/>
  </si>
  <si>
    <t>CAM 8_HKT POC_ FANO</t>
  </si>
  <si>
    <t>THE HK MANAGEMENT ASSOCIATION SCHOOL LTD</t>
    <phoneticPr fontId="11" type="noConversion"/>
  </si>
  <si>
    <t>THE HK MANAGEMENT ASSOCIATION SCHOOL LTD</t>
  </si>
  <si>
    <t>CAM 8_HKT Information Technology_BTU Huawei Cloud</t>
    <phoneticPr fontId="11" type="noConversion"/>
  </si>
  <si>
    <t>CAM 8_HKT Information Technology_BTU Huawei Cloud</t>
  </si>
  <si>
    <t>VALUE EXCHANGE INTERNATIONAL LIMITED</t>
  </si>
  <si>
    <t>The Commercial Press HK Limited</t>
    <phoneticPr fontId="11" type="noConversion"/>
  </si>
  <si>
    <t>THE COMMERCIAL PRESS (HK) LTD</t>
  </si>
  <si>
    <t>Chow Tai Fook Jewellery Co Ltd C/O Sampras (HK) Limited</t>
    <phoneticPr fontId="11" type="noConversion"/>
  </si>
  <si>
    <t>BANK OF CHINA (HONG KONG) LIMITED</t>
  </si>
  <si>
    <t>CAM8_HKT SME Operations</t>
    <phoneticPr fontId="11" type="noConversion"/>
  </si>
  <si>
    <t>CAM8_HKT SME Operations</t>
  </si>
  <si>
    <t>Experience 11 Limited</t>
  </si>
  <si>
    <t>West Kowloon Cultural District Authority</t>
    <phoneticPr fontId="11" type="noConversion"/>
  </si>
  <si>
    <t>West Kowloon Cultural District Authority</t>
  </si>
  <si>
    <t>Axial Partners Limited</t>
    <phoneticPr fontId="11" type="noConversion"/>
  </si>
  <si>
    <t>Axial Partners Limited</t>
  </si>
  <si>
    <t>Vincent Medical Manufacturing Co., Limited</t>
  </si>
  <si>
    <t>CAM 8_HKT IPTS_App Dev</t>
    <phoneticPr fontId="11" type="noConversion"/>
  </si>
  <si>
    <t>CAM 8_HKT IPTS_App Dev</t>
  </si>
  <si>
    <t>UOB Kay Hian (Hong Kong) Limited</t>
    <phoneticPr fontId="11" type="noConversion"/>
  </si>
  <si>
    <t>UOB Kay Hian (Hong Kong) Limited</t>
  </si>
  <si>
    <t>HONG KONG FINANCE COMPANY LIMITED</t>
    <phoneticPr fontId="11" type="noConversion"/>
  </si>
  <si>
    <t>HONG KONG FINANCE COMPANY LIMITED</t>
  </si>
  <si>
    <t>Well &amp; Well Holdings Limited</t>
    <phoneticPr fontId="11" type="noConversion"/>
  </si>
  <si>
    <t>Well &amp; Well Holdings Limited</t>
  </si>
  <si>
    <t>CSR2</t>
  </si>
  <si>
    <t>HUNDSUN AYERS TECHNOLOGIES LTD</t>
    <phoneticPr fontId="11" type="noConversion"/>
  </si>
  <si>
    <t>HUNDSUN AYERS TECHNOLOGIES LTD</t>
  </si>
  <si>
    <t xml:space="preserve">THE BOYS' AND GIRLS' CLUBS ASSOCIATION </t>
    <phoneticPr fontId="11" type="noConversion"/>
  </si>
  <si>
    <t>THE BOYS' AND GIRLS' CLUBS ASSOCIATION</t>
  </si>
  <si>
    <t>HK AIR CARGO TERMINALS LTD</t>
    <phoneticPr fontId="11" type="noConversion"/>
  </si>
  <si>
    <t>MAXIM'S CATERERS LTD.</t>
    <phoneticPr fontId="11" type="noConversion"/>
  </si>
  <si>
    <t>MAXIM'S CATERERS LTD</t>
  </si>
  <si>
    <t>MAXIM'S CATERERS LTD</t>
    <phoneticPr fontId="11" type="noConversion"/>
  </si>
  <si>
    <t>OPTIMIST TECHNOLOGY LIMITED</t>
    <phoneticPr fontId="11" type="noConversion"/>
  </si>
  <si>
    <t>OPTIMIST TECHNOLOGY LIMITED</t>
  </si>
  <si>
    <t>CAM 8_HKT CSL SMSGW</t>
    <phoneticPr fontId="11" type="noConversion"/>
  </si>
  <si>
    <t>CAM 8_HKT CSL SMSGW</t>
  </si>
  <si>
    <t>THE COMMERCIAL PRESS (HK) LTD</t>
    <phoneticPr fontId="11" type="noConversion"/>
  </si>
  <si>
    <t>PRIDE SUCCESS FASHION TRADING LIMITED</t>
    <phoneticPr fontId="11" type="noConversion"/>
  </si>
  <si>
    <t>PRIDE SUCCESS FASHION TRADING LIMITED</t>
  </si>
  <si>
    <t>EASY GREAT TECHNOLOGY LIMITED (Pervious Name : ULTRON TECHNOLOGY SG PTE. LIMITED)</t>
    <phoneticPr fontId="11" type="noConversion"/>
  </si>
  <si>
    <t>NEW WORLD DEVELOPMENT (CHINA) LTD</t>
    <phoneticPr fontId="11" type="noConversion"/>
  </si>
  <si>
    <t>NEW WORLD DEVELOPMENT (CHINA) LTD</t>
  </si>
  <si>
    <t>Hoymay HK Limited</t>
    <phoneticPr fontId="11" type="noConversion"/>
  </si>
  <si>
    <t>Hoymay HK Limited</t>
  </si>
  <si>
    <t>FWD LIFE INSURANCE COMPANY (BERMUDA) LTD</t>
    <phoneticPr fontId="11" type="noConversion"/>
  </si>
  <si>
    <t>FWD LIFE INSURANCE COMPANY (BERMUDA) LTD</t>
  </si>
  <si>
    <t>HK SCIENCE &amp; TECHNOLOGY PARKS CORP</t>
    <phoneticPr fontId="11" type="noConversion"/>
  </si>
  <si>
    <t>HK SCIENCE &amp; TECHNOLOGY PARKS CORP</t>
  </si>
  <si>
    <t>DCH</t>
    <phoneticPr fontId="11" type="noConversion"/>
  </si>
  <si>
    <t>DCH</t>
  </si>
  <si>
    <t>THE DAIRY FARM COMPANY, LIMITED</t>
    <phoneticPr fontId="11" type="noConversion"/>
  </si>
  <si>
    <t>THE DAIRY FARM COMPANY, LIMITED</t>
  </si>
  <si>
    <t>CAM 8_HKT GenAI Demo Platform</t>
    <phoneticPr fontId="11" type="noConversion"/>
  </si>
  <si>
    <t>CAM 8_HKT GenAI Demo Platform</t>
  </si>
  <si>
    <t>Status</t>
  </si>
  <si>
    <t>Order Type</t>
  </si>
  <si>
    <t>Service Type</t>
  </si>
  <si>
    <t>Contact Person</t>
  </si>
  <si>
    <t>Standardized Company Name</t>
  </si>
  <si>
    <t>Product Subscribe</t>
  </si>
  <si>
    <t>Account Login Email</t>
    <phoneticPr fontId="11" type="noConversion"/>
  </si>
  <si>
    <t>Password</t>
  </si>
  <si>
    <t>Billing Address</t>
  </si>
  <si>
    <t>Other Account Information</t>
  </si>
  <si>
    <t>SRD</t>
  </si>
  <si>
    <t>Order 
Receive Date</t>
  </si>
  <si>
    <t>CxS 
Complete Date</t>
  </si>
  <si>
    <t>Service No.</t>
    <phoneticPr fontId="11" type="noConversion"/>
  </si>
  <si>
    <t>CxS Request No.</t>
  </si>
  <si>
    <t>TID</t>
  </si>
  <si>
    <t>OASIS Number</t>
  </si>
  <si>
    <t>SD Number</t>
  </si>
  <si>
    <t>Remark</t>
  </si>
  <si>
    <t>T2/ T3</t>
  </si>
  <si>
    <t>By</t>
  </si>
  <si>
    <t>Order Form</t>
  </si>
  <si>
    <t>Completed</t>
  </si>
  <si>
    <t>Ron Ko</t>
  </si>
  <si>
    <t>AWS (Amazon Web Service)</t>
  </si>
  <si>
    <t>infrastructure@wfgold.com</t>
  </si>
  <si>
    <t>3txj18487i</t>
  </si>
  <si>
    <t>CL554098</t>
    <phoneticPr fontId="11" type="noConversion"/>
  </si>
  <si>
    <t>393444/1-2</t>
  </si>
  <si>
    <t>102318</t>
  </si>
  <si>
    <r>
      <t>R</t>
    </r>
    <r>
      <rPr>
        <sz val="11"/>
        <color theme="1"/>
        <rFont val="Aptos Narrow"/>
        <family val="2"/>
        <scheme val="minor"/>
      </rPr>
      <t>on Ko</t>
    </r>
  </si>
  <si>
    <t>Alibaba Cloud</t>
  </si>
  <si>
    <t>5794684087356582</t>
  </si>
  <si>
    <t>it0001@wfgold.com</t>
  </si>
  <si>
    <t>CL544006</t>
  </si>
  <si>
    <t>149525/1-2</t>
  </si>
  <si>
    <r>
      <t xml:space="preserve">[19-Oct-2020] Linking is completed. Request to amended SRD to 19-Oct-2020 by Ann. 
[22-Oct-2020] Checked SRD not update yet. Sent email to Sammy
[23-Oct-2020] Sammy confirmed no need to change SRD as no contract boundary. Completed order in CxS with SRD on 19-Oct-20
</t>
    </r>
    <r>
      <rPr>
        <b/>
        <sz val="11"/>
        <color theme="1"/>
        <rFont val="Aptos Narrow"/>
        <family val="1"/>
        <charset val="136"/>
        <scheme val="minor"/>
      </rPr>
      <t>[28-Apr-2021] Migration request from Zens to B-Data  by Thomas
[17-Jul-2021] Bdata updaed that migration completed</t>
    </r>
  </si>
  <si>
    <t>N</t>
  </si>
  <si>
    <t>Ann</t>
  </si>
  <si>
    <t>ronko@wfgold.com</t>
  </si>
  <si>
    <t>169239530719</t>
  </si>
  <si>
    <t xml:space="preserve">pm_infra@wfgold.com
</t>
    <phoneticPr fontId="11" type="noConversion"/>
  </si>
  <si>
    <t xml:space="preserve">pm_infra@wfgold.com
</t>
  </si>
  <si>
    <t>CL559730</t>
    <phoneticPr fontId="11" type="noConversion"/>
  </si>
  <si>
    <t>RN640134/1-2</t>
    <phoneticPr fontId="11" type="noConversion"/>
  </si>
  <si>
    <t>102432</t>
    <phoneticPr fontId="11" type="noConversion"/>
  </si>
  <si>
    <r>
      <t xml:space="preserve">[29-Jul-20] Submitted request to Ingram. Cus accepted. </t>
    </r>
    <r>
      <rPr>
        <sz val="11"/>
        <color rgb="FFFF0000"/>
        <rFont val="Aptos Narrow"/>
        <family val="1"/>
        <charset val="136"/>
        <scheme val="minor"/>
      </rPr>
      <t>Pending for cloud checkr setup</t>
    </r>
    <r>
      <rPr>
        <sz val="11"/>
        <color theme="1"/>
        <rFont val="Aptos Narrow"/>
        <family val="2"/>
        <scheme val="minor"/>
      </rPr>
      <t xml:space="preserve">
[4-Aug-20] Completed in CxS with completion date on 30-Jul-20
[16-Sep-20] checked no consumption yet
[9-Oct-2020] Billing account setup under</t>
    </r>
  </si>
  <si>
    <t>Yes</t>
  </si>
  <si>
    <t>974644219856</t>
  </si>
  <si>
    <t xml:space="preserve">fu_infra@wfgold.com </t>
  </si>
  <si>
    <t>CL559699</t>
    <phoneticPr fontId="11" type="noConversion"/>
  </si>
  <si>
    <t>652533/1-2</t>
    <phoneticPr fontId="11" type="noConversion"/>
  </si>
  <si>
    <t>102430</t>
    <phoneticPr fontId="11" type="noConversion"/>
  </si>
  <si>
    <r>
      <t>[30-Jul-20] Submitted request to Ingram. 
[31-Jul-20]Cus accepted.</t>
    </r>
    <r>
      <rPr>
        <sz val="11"/>
        <color rgb="FFFF0000"/>
        <rFont val="Aptos Narrow"/>
        <family val="1"/>
        <charset val="136"/>
        <scheme val="minor"/>
      </rPr>
      <t xml:space="preserve"> Penidng for cloud checkr setup</t>
    </r>
    <r>
      <rPr>
        <sz val="11"/>
        <color theme="1"/>
        <rFont val="Aptos Narrow"/>
        <family val="2"/>
        <scheme val="minor"/>
      </rPr>
      <t xml:space="preserve">
[4-Aug-20] Completed in CxS with completion date on 4-Aug-20
[10-Aug-20] Added in cloudcheckr</t>
    </r>
  </si>
  <si>
    <t>Customer contact :  ronko@wfgold.com</t>
    <phoneticPr fontId="11" type="noConversion"/>
  </si>
  <si>
    <t xml:space="preserve">875512351873
</t>
  </si>
  <si>
    <r>
      <rPr>
        <b/>
        <sz val="11"/>
        <color theme="1"/>
        <rFont val="Aptos Narrow"/>
        <family val="2"/>
        <scheme val="minor"/>
      </rPr>
      <t>Login account :</t>
    </r>
    <r>
      <rPr>
        <sz val="11"/>
        <color theme="1"/>
        <rFont val="Aptos Narrow"/>
        <family val="2"/>
        <scheme val="minor"/>
      </rPr>
      <t xml:space="preserve"> bi_infra@wfgold.com
</t>
    </r>
    <r>
      <rPr>
        <b/>
        <sz val="11"/>
        <color theme="1"/>
        <rFont val="Aptos Narrow"/>
        <family val="2"/>
        <scheme val="minor"/>
      </rPr>
      <t>Password :</t>
    </r>
    <r>
      <rPr>
        <sz val="11"/>
        <color theme="1"/>
        <rFont val="Aptos Narrow"/>
        <family val="2"/>
        <scheme val="minor"/>
      </rPr>
      <t xml:space="preserve"> s9r5k5ea8y</t>
    </r>
  </si>
  <si>
    <t>Root Login : bi_infra@wfgold.com</t>
    <phoneticPr fontId="11" type="noConversion"/>
  </si>
  <si>
    <t>CL557680</t>
  </si>
  <si>
    <t>795404/1-2</t>
  </si>
  <si>
    <t>102336</t>
  </si>
  <si>
    <t xml:space="preserve">Customer contact :  ronko@wfgold.com
875512351873
Root Login : bi_infra@wfgold.com
[19-Mar-2020] Customer accepted invitation on. Case completed in CxS with completion date on 19-Mar-2020
[4-Jun-2020] moved to Ingram Micro on 1-Jun and added into HKT family on 4-Jun. </t>
  </si>
  <si>
    <t>Brian Yeung</t>
    <phoneticPr fontId="11" type="noConversion"/>
  </si>
  <si>
    <t>22129233 / 60634889</t>
    <phoneticPr fontId="11" type="noConversion"/>
  </si>
  <si>
    <t>CUS Email : Brian.C.Yeung@honourprinting.com</t>
    <phoneticPr fontId="11" type="noConversion"/>
  </si>
  <si>
    <t>Microsoft Azure</t>
  </si>
  <si>
    <t>Tenant ID : umadxonline.onmicrosoft.com</t>
  </si>
  <si>
    <t>Address: 15/F MAGNET PLACE TOWER 1, 77-81 CONTAINER PORT ROAD, KWAI CHUNG NEW TERRITORIES</t>
    <phoneticPr fontId="11" type="noConversion"/>
  </si>
  <si>
    <t>CL541911</t>
    <phoneticPr fontId="11" type="noConversion"/>
  </si>
  <si>
    <t>503074/1-2</t>
    <phoneticPr fontId="11" type="noConversion"/>
  </si>
  <si>
    <t>102438</t>
    <phoneticPr fontId="11" type="noConversion"/>
  </si>
  <si>
    <t xml:space="preserve">Address: 15/F MAGNET PLACE TOWER 1, 77-81 CONTAINER PORT ROAD, KWAI CHUNG NEW TERRITORIES
CUS Email : Brian.C.Yeung@honourprinting.com
[7-Aug-2020] Acc created. Pass logn to sales.Welcome letter sent. Completed in CxS. </t>
    <phoneticPr fontId="11" type="noConversion"/>
  </si>
  <si>
    <t>Davy Liu</t>
  </si>
  <si>
    <t>28302631 / 90255571</t>
  </si>
  <si>
    <t>87697955396</t>
  </si>
  <si>
    <t xml:space="preserve">
Root Login : davyliu@tysan.com</t>
  </si>
  <si>
    <t>CL545361</t>
  </si>
  <si>
    <t>RN148163/1-2</t>
  </si>
  <si>
    <t xml:space="preserve">[20-May-2020] Submitted request to Ingram. Pending for their reply. 
[28-May-2020] Customer accepted invitation. Waiting for Ingram to add account into cloud checkr
[1-Jun-2020] Cloud Checkr set up completed. Case completed in SRS. </t>
    <phoneticPr fontId="11" type="noConversion"/>
  </si>
  <si>
    <r>
      <t>K</t>
    </r>
    <r>
      <rPr>
        <sz val="11"/>
        <color theme="1"/>
        <rFont val="Aptos Narrow"/>
        <family val="2"/>
        <scheme val="minor"/>
      </rPr>
      <t>evin Chan</t>
    </r>
  </si>
  <si>
    <r>
      <t>2</t>
    </r>
    <r>
      <rPr>
        <sz val="11"/>
        <color theme="1"/>
        <rFont val="Aptos Narrow"/>
        <family val="2"/>
        <scheme val="minor"/>
      </rPr>
      <t>5962878 / 62888721</t>
    </r>
  </si>
  <si>
    <t>Cus contact:  kevinchan@travelsky.com.hk</t>
    <phoneticPr fontId="11" type="noConversion"/>
  </si>
  <si>
    <t>Google Cloud Platform (GCP)</t>
  </si>
  <si>
    <r>
      <t>R</t>
    </r>
    <r>
      <rPr>
        <sz val="11"/>
        <color theme="1"/>
        <rFont val="Aptos Narrow"/>
        <family val="2"/>
        <scheme val="minor"/>
      </rPr>
      <t>oot Login: darasakor@travelsky.com.hk</t>
    </r>
  </si>
  <si>
    <t>CL540961</t>
    <phoneticPr fontId="11" type="noConversion"/>
  </si>
  <si>
    <t>932200/1-2</t>
    <phoneticPr fontId="11" type="noConversion"/>
  </si>
  <si>
    <t>102442</t>
    <phoneticPr fontId="11" type="noConversion"/>
  </si>
  <si>
    <t>Cus contact:  kevinchan@travelsky.com.hk
[7-Aug-2020]Billing Account creatd and pendng for customer linking acc to HKT. 
[11-Aug-20] Customer complete linking to HKT. Complete order in CxS with completion date 11-Aug. Welcome letter sent</t>
    <phoneticPr fontId="11" type="noConversion"/>
  </si>
  <si>
    <t>Eddy Fung</t>
  </si>
  <si>
    <t>2402 6400 / 91798730</t>
  </si>
  <si>
    <t>765879711441</t>
  </si>
  <si>
    <t xml:space="preserve">
Root email: aws.hkt@tti.com.hk</t>
  </si>
  <si>
    <t>Addr3ess: 28/F, Tower 2, KCC, Kwai Chung, NT</t>
    <phoneticPr fontId="11" type="noConversion"/>
  </si>
  <si>
    <t>CL542277</t>
  </si>
  <si>
    <t xml:space="preserve">731246/3-4   </t>
  </si>
  <si>
    <t>101990</t>
  </si>
  <si>
    <r>
      <t xml:space="preserve">Provisioned originally by Ann Li ( @ ecloudvalley )
</t>
    </r>
    <r>
      <rPr>
        <b/>
        <sz val="11"/>
        <rFont val="Aptos Narrow"/>
        <family val="1"/>
        <charset val="136"/>
        <scheme val="minor"/>
      </rPr>
      <t>Addr3ess: 28/F, Tower 2, KCC, Kwai Chung, NT</t>
    </r>
    <r>
      <rPr>
        <sz val="11"/>
        <color theme="1"/>
        <rFont val="Aptos Narrow"/>
        <family val="2"/>
        <scheme val="minor"/>
      </rPr>
      <t xml:space="preserve">
[9-Apr-2021] Consultant Tony request to link up with ingram Micro due to cus accidentally quit ecloudvalley. </t>
    </r>
    <r>
      <rPr>
        <sz val="11"/>
        <color rgb="FFFF0000"/>
        <rFont val="Aptos Narrow"/>
        <family val="1"/>
        <charset val="136"/>
        <scheme val="minor"/>
      </rPr>
      <t xml:space="preserve">[ cus didn't migrate to ingram micro at the time of changing vendor ] . </t>
    </r>
    <r>
      <rPr>
        <sz val="11"/>
        <rFont val="Aptos Narrow"/>
        <family val="1"/>
        <charset val="136"/>
        <scheme val="minor"/>
      </rPr>
      <t xml:space="preserve">Submitted request </t>
    </r>
    <r>
      <rPr>
        <sz val="11"/>
        <color rgb="FFFF0000"/>
        <rFont val="Aptos Narrow"/>
        <family val="1"/>
        <charset val="136"/>
        <scheme val="minor"/>
      </rPr>
      <t>w/o addres</t>
    </r>
    <r>
      <rPr>
        <sz val="11"/>
        <rFont val="Aptos Narrow"/>
        <family val="1"/>
        <charset val="136"/>
        <scheme val="minor"/>
      </rPr>
      <t xml:space="preserve">s to ingram micro due to urgency. </t>
    </r>
    <r>
      <rPr>
        <sz val="11"/>
        <color rgb="FFFF0000"/>
        <rFont val="Aptos Narrow"/>
        <family val="1"/>
        <charset val="136"/>
        <scheme val="minor"/>
      </rPr>
      <t xml:space="preserve">
</t>
    </r>
    <r>
      <rPr>
        <sz val="11"/>
        <rFont val="Aptos Narrow"/>
        <family val="1"/>
        <charset val="136"/>
        <scheme val="minor"/>
      </rPr>
      <t xml:space="preserve">[10-Apr-2021] Ingram micro sent invitation to cus and cus accepted. </t>
    </r>
    <r>
      <rPr>
        <sz val="11"/>
        <color rgb="FFFF0000"/>
        <rFont val="Aptos Narrow"/>
        <family val="1"/>
        <charset val="136"/>
        <scheme val="minor"/>
      </rPr>
      <t xml:space="preserve">
</t>
    </r>
    <r>
      <rPr>
        <sz val="11"/>
        <rFont val="Aptos Narrow"/>
        <family val="1"/>
        <charset val="136"/>
        <scheme val="minor"/>
      </rPr>
      <t>[12-Apr-2021] Pending for usage for issue welcome letter 
[20-Apr-2021] Checked usage on 12-Apr-2021. Welcom letter sent</t>
    </r>
  </si>
  <si>
    <t>N</t>
    <phoneticPr fontId="11" type="noConversion"/>
  </si>
  <si>
    <t>Federick Alex (Admin ) / Kenny Chan (IT)</t>
    <phoneticPr fontId="11" type="noConversion"/>
  </si>
  <si>
    <t>27938887 / 
26938891</t>
    <phoneticPr fontId="11" type="noConversion"/>
  </si>
  <si>
    <t>5497093001888295</t>
  </si>
  <si>
    <t>CL555456</t>
    <phoneticPr fontId="11" type="noConversion"/>
  </si>
  <si>
    <t>102198</t>
    <phoneticPr fontId="11" type="noConversion"/>
  </si>
  <si>
    <r>
      <t xml:space="preserve">REMARK: Change register name from 8 securites Ltd to Sofi Services  (Hong Kong) ltd </t>
    </r>
    <r>
      <rPr>
        <b/>
        <sz val="11"/>
        <color rgb="FFFF0000"/>
        <rFont val="Aptos Narrow"/>
        <family val="1"/>
        <charset val="136"/>
        <scheme val="minor"/>
      </rPr>
      <t>( Change of company name order only )</t>
    </r>
    <r>
      <rPr>
        <sz val="11"/>
        <color theme="1"/>
        <rFont val="Aptos Narrow"/>
        <family val="2"/>
        <scheme val="minor"/>
      </rPr>
      <t xml:space="preserve">
[21-Sep-2020] completed order in CxS with SRD on 15-Jul-2020</t>
    </r>
  </si>
  <si>
    <t>BEN SZE</t>
  </si>
  <si>
    <t>23139152 / 62772626</t>
  </si>
  <si>
    <t xml:space="preserve">
812560180108</t>
  </si>
  <si>
    <t xml:space="preserve">
Root Login: mis@newaykb.com.hk</t>
  </si>
  <si>
    <t>Address : Flat 801, 8/F, East Ocean Cente, 98 Granvielle Road, Tst</t>
    <phoneticPr fontId="11" type="noConversion"/>
  </si>
  <si>
    <t>CL543893</t>
    <phoneticPr fontId="11" type="noConversion"/>
  </si>
  <si>
    <t>157216/1-2</t>
  </si>
  <si>
    <t>102460</t>
    <phoneticPr fontId="11" type="noConversion"/>
  </si>
  <si>
    <r>
      <t>Address : Flat 801, 8/F, East Ocean Cente, 98 Granvielle Road, Tst
[18-Sep</t>
    </r>
    <r>
      <rPr>
        <sz val="11"/>
        <color theme="1"/>
        <rFont val="Aptos Narrow"/>
        <family val="1"/>
        <charset val="136"/>
        <scheme val="minor"/>
      </rPr>
      <t>-2020] submitted request to ingram. Pending for ingram reply.
[22-Sep-2020] Cus accepted invitation ( Thomas provide screen cap ). Completed order in CxS.  Pending for cloud checkr setup</t>
    </r>
    <r>
      <rPr>
        <sz val="11"/>
        <color rgb="FFFF0000"/>
        <rFont val="Aptos Narrow"/>
        <family val="2"/>
        <scheme val="minor"/>
      </rPr>
      <t xml:space="preserve">
</t>
    </r>
    <r>
      <rPr>
        <sz val="11"/>
        <color theme="1"/>
        <rFont val="Aptos Narrow"/>
        <family val="1"/>
        <charset val="136"/>
        <scheme val="minor"/>
      </rPr>
      <t>[25-Sep-2020] Cloudcheckr setuip completed.</t>
    </r>
  </si>
  <si>
    <r>
      <t>J</t>
    </r>
    <r>
      <rPr>
        <sz val="11"/>
        <color theme="1"/>
        <rFont val="Aptos Narrow"/>
        <family val="2"/>
        <scheme val="minor"/>
      </rPr>
      <t>essie Li /  Hugo Choi</t>
    </r>
  </si>
  <si>
    <t>9022 5988 / 9357 4353</t>
    <phoneticPr fontId="11" type="noConversion"/>
  </si>
  <si>
    <t>5864600931668619</t>
  </si>
  <si>
    <t xml:space="preserve">
Link Email : infra.consult@pgpg.la</t>
  </si>
  <si>
    <t>CL544854</t>
    <phoneticPr fontId="11" type="noConversion"/>
  </si>
  <si>
    <t>499248/1-2</t>
    <phoneticPr fontId="11" type="noConversion"/>
  </si>
  <si>
    <t>102472</t>
    <phoneticPr fontId="11" type="noConversion"/>
  </si>
  <si>
    <r>
      <t xml:space="preserve">Provisioned by Ann Li 
[12-Nov-20] Ann updated that the case was completed on 13-Oct. Completed in CxS with completion date on 13-Oct-20.
</t>
    </r>
    <r>
      <rPr>
        <b/>
        <sz val="11"/>
        <color theme="1"/>
        <rFont val="Aptos Narrow"/>
        <family val="1"/>
        <charset val="136"/>
        <scheme val="minor"/>
      </rPr>
      <t>[28-Apr-2021] Migration request from Zens to B-Data  by Thomas</t>
    </r>
    <r>
      <rPr>
        <sz val="11"/>
        <color theme="1"/>
        <rFont val="Aptos Narrow"/>
        <family val="2"/>
        <scheme val="minor"/>
      </rPr>
      <t xml:space="preserve">
[2-Jun-2021] Migraion completed on 2-Jun-2021. </t>
    </r>
  </si>
  <si>
    <t>Cheng Ping Wai</t>
  </si>
  <si>
    <t>27938376 / 98522884</t>
  </si>
  <si>
    <t>pw.cheng@leverstyle.com</t>
  </si>
  <si>
    <t>CL547226</t>
  </si>
  <si>
    <t>954467/1-2</t>
  </si>
  <si>
    <t>102340</t>
  </si>
  <si>
    <t xml:space="preserve">backdate order. 
[19-Mar-2020] Peter replied that the service has been provisioned. Case completedin CxS with completion date on 19-Mar-2020. </t>
  </si>
  <si>
    <t xml:space="preserve">Dick Tong </t>
  </si>
  <si>
    <t>28999467 / 90256906</t>
  </si>
  <si>
    <t>320298981373</t>
  </si>
  <si>
    <r>
      <rPr>
        <b/>
        <sz val="11"/>
        <color theme="1"/>
        <rFont val="Aptos Narrow"/>
        <family val="2"/>
        <scheme val="minor"/>
      </rPr>
      <t xml:space="preserve">Login account : </t>
    </r>
    <r>
      <rPr>
        <sz val="11"/>
        <color theme="1"/>
        <rFont val="Aptos Narrow"/>
        <family val="2"/>
        <scheme val="minor"/>
      </rPr>
      <t xml:space="preserve">itadmin@leighorange.com
</t>
    </r>
    <r>
      <rPr>
        <b/>
        <sz val="11"/>
        <color theme="1"/>
        <rFont val="Aptos Narrow"/>
        <family val="2"/>
        <scheme val="minor"/>
      </rPr>
      <t>Password :</t>
    </r>
    <r>
      <rPr>
        <sz val="11"/>
        <color theme="1"/>
        <rFont val="Aptos Narrow"/>
        <family val="2"/>
        <scheme val="minor"/>
      </rPr>
      <t xml:space="preserve"> pq2s5gy0jf</t>
    </r>
  </si>
  <si>
    <t>CL548876</t>
  </si>
  <si>
    <t>663268/1-2</t>
  </si>
  <si>
    <t xml:space="preserve">102302 </t>
  </si>
  <si>
    <t>AWS Account ID: 320298981373
Root Login : itadmin@leighorange.com
[2-Mar-2020] completed in CxS.</t>
    <phoneticPr fontId="11" type="noConversion"/>
  </si>
  <si>
    <t>CL552465</t>
  </si>
  <si>
    <t>919068/1-2</t>
    <phoneticPr fontId="11" type="noConversion"/>
  </si>
  <si>
    <t>Revised SRD from 3-Oct to 27-Sep by ordering team  (SP handle by product team)</t>
    <phoneticPr fontId="11" type="noConversion"/>
  </si>
  <si>
    <t>Randy Mark</t>
    <phoneticPr fontId="11" type="noConversion"/>
  </si>
  <si>
    <t>39745607 / 60110033</t>
    <phoneticPr fontId="11" type="noConversion"/>
  </si>
  <si>
    <t>Cutomer email: rmark@kbquest.com</t>
    <phoneticPr fontId="11" type="noConversion"/>
  </si>
  <si>
    <r>
      <t>T</t>
    </r>
    <r>
      <rPr>
        <sz val="11"/>
        <color theme="1"/>
        <rFont val="Aptos Narrow"/>
        <family val="2"/>
        <scheme val="minor"/>
      </rPr>
      <t>enant ID : ogciosmartlampost.onmicrosoft.com</t>
    </r>
  </si>
  <si>
    <t>CL559571</t>
    <phoneticPr fontId="11" type="noConversion"/>
  </si>
  <si>
    <t>048802/1-2</t>
    <phoneticPr fontId="11" type="noConversion"/>
  </si>
  <si>
    <t>102428</t>
    <phoneticPr fontId="11" type="noConversion"/>
  </si>
  <si>
    <r>
      <t xml:space="preserve">Cutomer email: rmark@kbquest.com
</t>
    </r>
    <r>
      <rPr>
        <sz val="11"/>
        <color rgb="FFFF0000"/>
        <rFont val="Aptos Narrow"/>
        <family val="1"/>
        <charset val="136"/>
        <scheme val="minor"/>
      </rPr>
      <t>[31-Jul-20] Product Peter replied that no need to provision for this customer as they will take over the existing tenant of OGCIO (</t>
    </r>
    <r>
      <rPr>
        <b/>
        <sz val="11"/>
        <color rgb="FFFF0000"/>
        <rFont val="Aptos Narrow"/>
        <family val="1"/>
        <charset val="136"/>
        <scheme val="minor"/>
      </rPr>
      <t>Customer name in CSP : Office of the Government Chief Information Officer)
Remark: Call in on behalf of OGCIO
[4-Aug-20] Completed in CxS with completion date on 4-Aug</t>
    </r>
  </si>
  <si>
    <t xml:space="preserve">Tony Cheng / Ringo Lau </t>
  </si>
  <si>
    <t>27820875/ 27827533</t>
  </si>
  <si>
    <t>ringolau@takhk.com</t>
  </si>
  <si>
    <t>CL541269</t>
  </si>
  <si>
    <t>671011/1-2</t>
  </si>
  <si>
    <t>102354</t>
  </si>
  <si>
    <t xml:space="preserve">[7-Apr-2020]  Peter has provisioned the service for customer. </t>
  </si>
  <si>
    <t>Mr Brian Yeung</t>
    <phoneticPr fontId="11" type="noConversion"/>
  </si>
  <si>
    <t/>
  </si>
  <si>
    <t>Tenant ID : umadxonline.onmicrosoft.com</t>
    <phoneticPr fontId="11" type="noConversion"/>
  </si>
  <si>
    <t>CL550279</t>
    <phoneticPr fontId="11" type="noConversion"/>
  </si>
  <si>
    <t>78673/1-2</t>
    <phoneticPr fontId="11" type="noConversion"/>
  </si>
  <si>
    <t>102446</t>
    <phoneticPr fontId="11" type="noConversion"/>
  </si>
  <si>
    <t>Address: 15/F MAGNET PLACE TOWER 1, 77-81 CONTAINER PORT ROAD, KWAI CHUNG NEW TERRITORIES
CUS Email : Brian.C.Yeung@honourprinting.com
PS job order ( refer to CL541911 )
[7-Sep-2020] Sent email to Peter for update
[16-Sep-2020] sent email for update again
[5-Oct-2020] AM Ceilia confrimed all job completed. completed CxS order with completiondate on 5-Oct-2020.</t>
  </si>
  <si>
    <t>Y</t>
    <phoneticPr fontId="11" type="noConversion"/>
  </si>
  <si>
    <r>
      <t>A</t>
    </r>
    <r>
      <rPr>
        <sz val="11"/>
        <color theme="1"/>
        <rFont val="Aptos Narrow"/>
        <family val="2"/>
        <scheme val="minor"/>
      </rPr>
      <t>lbert Cheng</t>
    </r>
  </si>
  <si>
    <t>2260 3499 / 9681 3499</t>
    <phoneticPr fontId="11" type="noConversion"/>
  </si>
  <si>
    <t>Contact Email : albert.cheng@haesl.com</t>
    <phoneticPr fontId="11" type="noConversion"/>
  </si>
  <si>
    <t>146909753979</t>
  </si>
  <si>
    <t xml:space="preserve">
Root Login :tech.team@haesl.com</t>
  </si>
  <si>
    <t>CL550611</t>
    <phoneticPr fontId="11" type="noConversion"/>
  </si>
  <si>
    <t>RN492408/1-2</t>
    <phoneticPr fontId="11" type="noConversion"/>
  </si>
  <si>
    <t>102408</t>
    <phoneticPr fontId="11" type="noConversion"/>
  </si>
  <si>
    <r>
      <t xml:space="preserve">Contact Email : albert.cheng@haesl.com
[7-Jul-2020] Submitted request to Ingram. Pending for their reply. 
[8-Jul-2020] Customer accepted invitation and </t>
    </r>
    <r>
      <rPr>
        <sz val="11"/>
        <color rgb="FFFF0000"/>
        <rFont val="Aptos Narrow"/>
        <family val="1"/>
        <charset val="136"/>
        <scheme val="minor"/>
      </rPr>
      <t>completed orderin CxS.</t>
    </r>
    <r>
      <rPr>
        <sz val="11"/>
        <color theme="1"/>
        <rFont val="Aptos Narrow"/>
        <family val="2"/>
        <scheme val="minor"/>
      </rPr>
      <t xml:space="preserve">
[8-Jul-2020] pending for ingram  to consolidate billing to cloud checkr
[13-Jul-2020] Cloud checkr setup completed. 
[13-Aug-2020]  Add once off charge order </t>
    </r>
    <r>
      <rPr>
        <b/>
        <sz val="11"/>
        <color rgb="FFFF0000"/>
        <rFont val="Aptos Narrow"/>
        <family val="1"/>
        <charset val="136"/>
        <scheme val="minor"/>
      </rPr>
      <t>RN089097/1-2</t>
    </r>
    <r>
      <rPr>
        <sz val="11"/>
        <color theme="1"/>
        <rFont val="Aptos Narrow"/>
        <family val="2"/>
        <scheme val="minor"/>
      </rPr>
      <t xml:space="preserve"> for PS job </t>
    </r>
  </si>
  <si>
    <t>RN089097/1-2</t>
    <phoneticPr fontId="11" type="noConversion"/>
  </si>
  <si>
    <t xml:space="preserve">Remark: PS job order of RN492408/1-2
[7-Sep-2020] Updated from PS team Lok that PS job was completed on 15-Jul-2020. Case completed in CxS with completion date on 12-Aug-2020
</t>
  </si>
  <si>
    <r>
      <t>R</t>
    </r>
    <r>
      <rPr>
        <sz val="11"/>
        <color theme="1"/>
        <rFont val="Aptos Narrow"/>
        <family val="2"/>
        <scheme val="minor"/>
      </rPr>
      <t>oger Ng</t>
    </r>
  </si>
  <si>
    <t xml:space="preserve">roger.kw.ng@pccw.com </t>
    <phoneticPr fontId="11" type="noConversion"/>
  </si>
  <si>
    <t>463675202152
Root Login NA</t>
  </si>
  <si>
    <r>
      <t>N</t>
    </r>
    <r>
      <rPr>
        <sz val="11"/>
        <color theme="1"/>
        <rFont val="Aptos Narrow"/>
        <family val="2"/>
        <scheme val="minor"/>
      </rPr>
      <t>A</t>
    </r>
  </si>
  <si>
    <t>Remark : No Order issue 
Customer Email :  roger.kw.ng@pccw.com 
[9-Jul-2020] Added user to accoutns families ( group &amp; user set up by Thomas )</t>
  </si>
  <si>
    <r>
      <t>S</t>
    </r>
    <r>
      <rPr>
        <sz val="11"/>
        <color theme="1"/>
        <rFont val="Aptos Narrow"/>
        <family val="2"/>
        <scheme val="minor"/>
      </rPr>
      <t xml:space="preserve">tanley Chan ( HKT ) </t>
    </r>
  </si>
  <si>
    <r>
      <t>2883 2922</t>
    </r>
    <r>
      <rPr>
        <sz val="11"/>
        <color theme="1"/>
        <rFont val="Aptos Narrow"/>
        <family val="2"/>
        <scheme val="minor"/>
      </rPr>
      <t xml:space="preserve"> / 2883 2922</t>
    </r>
  </si>
  <si>
    <t>955279921091</t>
  </si>
  <si>
    <t>Csutomer email: sunnymak@firstbullion.com</t>
    <phoneticPr fontId="11" type="noConversion"/>
  </si>
  <si>
    <t xml:space="preserve">
Root ID: hkt-gmb@hkt-cloud.com 
PW: hkt-gmbcus004
</t>
  </si>
  <si>
    <t>CL544571</t>
    <phoneticPr fontId="11" type="noConversion"/>
  </si>
  <si>
    <t>658593/1-2</t>
    <phoneticPr fontId="11" type="noConversion"/>
  </si>
  <si>
    <t>102473</t>
    <phoneticPr fontId="11" type="noConversion"/>
  </si>
  <si>
    <t>Remark HKT owned account
Contact Person :  Stanley.yk.chan@pccw.com
[8-Oct-20] HKT email account &amp; AWS account  created. 
[9-Oct-20] Sent request to ingram. Pending for ingram reply. 
[9-Oct-20] Stanley accept the invitation and welcome letter sent.Completed in CxS with completion date on 9-OCt-2020
[16-Oct-20] Cloudcheckr setup completed</t>
    <phoneticPr fontId="11" type="noConversion"/>
  </si>
  <si>
    <t>Cancelled</t>
    <phoneticPr fontId="11" type="noConversion"/>
  </si>
  <si>
    <t>Sunny Mak</t>
  </si>
  <si>
    <t>21146105/ 92538264</t>
  </si>
  <si>
    <t>782264075267</t>
  </si>
  <si>
    <t xml:space="preserve">
Root Login : admin@goldwellcap.com</t>
  </si>
  <si>
    <t>CL544184</t>
  </si>
  <si>
    <t>121718/1-2</t>
  </si>
  <si>
    <t>102375</t>
  </si>
  <si>
    <r>
      <t xml:space="preserve">Csutomer email: sunnymak@firstbullion.com
[14-May-2020] Pending for ingram reply email 
[15-May-2020] Invitation sent to customer. Pending for accept
</t>
    </r>
    <r>
      <rPr>
        <sz val="11"/>
        <color rgb="FFFF0000"/>
        <rFont val="Aptos Narrow"/>
        <family val="2"/>
        <scheme val="minor"/>
      </rPr>
      <t xml:space="preserve">[20-Mar-2020] ASM reissue for 5 x separated orders 
[4-Jan-2020] cxl order </t>
    </r>
  </si>
  <si>
    <t>477519521139</t>
  </si>
  <si>
    <t xml:space="preserve">
Root Login : admin@firstfx.bz</t>
  </si>
  <si>
    <t>CL545380</t>
  </si>
  <si>
    <t>121718/3-4</t>
  </si>
  <si>
    <t>102386</t>
  </si>
  <si>
    <r>
      <t xml:space="preserve">[15-May-2020] Invitation sent to customer. Pending for accept
</t>
    </r>
    <r>
      <rPr>
        <sz val="11"/>
        <color rgb="FFFF0000"/>
        <rFont val="Aptos Narrow"/>
        <family val="1"/>
        <charset val="136"/>
        <scheme val="minor"/>
      </rPr>
      <t xml:space="preserve">[4-Jan-2020] cxl order </t>
    </r>
  </si>
  <si>
    <t>721697153034</t>
  </si>
  <si>
    <t xml:space="preserve">
Root Login : admin1@firstbullion.com</t>
  </si>
  <si>
    <t>CL545401</t>
  </si>
  <si>
    <t>121718/5-6</t>
  </si>
  <si>
    <t>102385</t>
  </si>
  <si>
    <t>403046075669</t>
  </si>
  <si>
    <t xml:space="preserve">
Root Login : admin1@goldenfxlink.com</t>
  </si>
  <si>
    <t>CL545407</t>
  </si>
  <si>
    <t>121718/7-8</t>
  </si>
  <si>
    <t>102384</t>
  </si>
  <si>
    <t>613594070113</t>
  </si>
  <si>
    <t xml:space="preserve">
Root Login : admin@goldenfxvip.com</t>
  </si>
  <si>
    <t>CL545411</t>
  </si>
  <si>
    <t>121718/9-10</t>
  </si>
  <si>
    <t>102383</t>
  </si>
  <si>
    <t>Completed</t>
    <phoneticPr fontId="11" type="noConversion"/>
  </si>
  <si>
    <t>HENRY IP</t>
  </si>
  <si>
    <t xml:space="preserve">
641582690281</t>
  </si>
  <si>
    <t xml:space="preserve">
Root Login: it@emperio-group.com</t>
  </si>
  <si>
    <t>CL548980</t>
    <phoneticPr fontId="11" type="noConversion"/>
  </si>
  <si>
    <t>318774/1-2</t>
  </si>
  <si>
    <t>102458</t>
    <phoneticPr fontId="11" type="noConversion"/>
  </si>
  <si>
    <t>EMAIL : HENRYIP@EMPERIO-GROUP.COM
[16-Sep-2020] Submitted request to Ingram
[17-Sep-2020] Cus accepted the request. Completed in CxS. Pending usage consumption for cloudcheckr setup
[18-Jan-2021] Welcome letter sent</t>
    <phoneticPr fontId="11" type="noConversion"/>
  </si>
  <si>
    <t>Andy Ho</t>
  </si>
  <si>
    <t xml:space="preserve">5835359715465752 </t>
  </si>
  <si>
    <t xml:space="preserve">
Alibaba Admin : dns.admin@ecg-tech.com
Company Name chang to  "ULTRON TECHNOLOGY SG PTE. LIMITED"
</t>
  </si>
  <si>
    <t>Alibaba Cloud Admin Login Email: 5129223590947611 (hostmaster@naverhk.com )</t>
    <phoneticPr fontId="11" type="noConversion"/>
  </si>
  <si>
    <t>CL542163</t>
  </si>
  <si>
    <t>081569/1-2</t>
  </si>
  <si>
    <t>102364</t>
  </si>
  <si>
    <r>
      <t>Alibaba Cloud Account ID : 5835359715465752 (dns.admin@ecg-tech.com )
Alibaba Cloud Admin Login Email: 5129223590947611 (hostmaster@naverhk.com )
[11-May-2020] Pending for Alibaba to proceed. Takes 1-2 days
[13-May-2020] Completed on 13-May-2020.
[18-May-2020] Completed in CxS with completion date on 13-May.
[</t>
    </r>
    <r>
      <rPr>
        <b/>
        <sz val="11"/>
        <color theme="1"/>
        <rFont val="Aptos Narrow"/>
        <family val="1"/>
        <charset val="136"/>
        <scheme val="minor"/>
      </rPr>
      <t>28-Apr-2021] Migration request from Zens to B-Data  by Thomas</t>
    </r>
    <r>
      <rPr>
        <sz val="11"/>
        <color theme="1"/>
        <rFont val="Aptos Narrow"/>
        <family val="2"/>
        <scheme val="minor"/>
      </rPr>
      <t xml:space="preserve">
[2-Jun-2021]  Migration done on 2-Jun forUID.  </t>
    </r>
    <r>
      <rPr>
        <sz val="11"/>
        <color rgb="FFFF0000"/>
        <rFont val="Aptos Narrow"/>
        <family val="1"/>
        <charset val="136"/>
        <scheme val="minor"/>
      </rPr>
      <t>5835359715465752 (dns.admin@ecg-tech.com )</t>
    </r>
  </si>
  <si>
    <t>customer email:  andy.ho@ecg-tech.com</t>
    <phoneticPr fontId="11" type="noConversion"/>
  </si>
  <si>
    <t>787762068875</t>
  </si>
  <si>
    <t xml:space="preserve">
Root Login : sysadmin@889bcd.com</t>
  </si>
  <si>
    <t>CL543185</t>
  </si>
  <si>
    <t>684634/1-2</t>
  </si>
  <si>
    <t>102366</t>
  </si>
  <si>
    <t xml:space="preserve">customer email:  andy.ho@ecg-tech.com
Will proceed another acc first
[28-Jan-2021] sent email to salesruby for status update.
[17-Feb-2021] Order cxl. </t>
  </si>
  <si>
    <t>590419121026</t>
  </si>
  <si>
    <t>Ilovecoin (Easy Great)</t>
  </si>
  <si>
    <t xml:space="preserve">
Root Login : hostmaster@ilovecoin.com
Company Name chang to  "ULTRON TECHNOLOGY SG PTE. LIMITED"</t>
  </si>
  <si>
    <t>CL544252</t>
  </si>
  <si>
    <t>475806/1-2</t>
  </si>
  <si>
    <t>102376</t>
  </si>
  <si>
    <t xml:space="preserve">customer email:  andy.ho@ecg-tech.com
[14-May-2020] Pending for ingram reply email 
[15-May-2020] Invitation sent to customer. Pending for accept
[18-May-2020] Customer accepted and added customer to Cloud Checkr  ilovecoin ( Easy Great). Completed in CxS.
[8-Aug-2022] Sent request to martin to removed cus from HKT account. Done </t>
  </si>
  <si>
    <t>Alibaba Cloud Account ID : 5129223590947611</t>
  </si>
  <si>
    <t xml:space="preserve">
Alikbaba Admin : hostmaster@naverhk.com
Company Name chang to  "ULTRON TECHNOLOGY SG PTE. LIMITED"</t>
  </si>
  <si>
    <t>CL544189</t>
    <phoneticPr fontId="11" type="noConversion"/>
  </si>
  <si>
    <t>057011/1-2</t>
    <phoneticPr fontId="11" type="noConversion"/>
  </si>
  <si>
    <t>102374</t>
  </si>
  <si>
    <t xml:space="preserve">Alibaba Cloud Account ID : 5129223590947611
[19-May-2020] Ann updated that Linked to HKT on 12-May (hostmaster@naverhk.com).Completed in CxS with completiondate on 19-May-2020 ( can't put remark ) </t>
    <phoneticPr fontId="11" type="noConversion"/>
  </si>
  <si>
    <t>484603839389</t>
  </si>
  <si>
    <t>Hbeemail (Easy Great)</t>
  </si>
  <si>
    <t xml:space="preserve">
Root Login : pmjp@hbeemail.com
Company Name chang to  "ULTRON TECHNOLOGY SG PTE. LIMITED"</t>
  </si>
  <si>
    <t>CL544208</t>
  </si>
  <si>
    <t>42533/1-2</t>
  </si>
  <si>
    <t>102377</t>
  </si>
  <si>
    <t xml:space="preserve">customer email:  andy.ho@ecg-tech.com
[13-May] submitted to ingram. Pending for reply 
[15-May-2020] Invitation sent to customer. Pending for accept
[20-May-2020] Add customer in Cloud Checkr Hbeemail (Easy Great). Completed in CxS. 
[8-Aug-2022] Sent request to martin to removed cus from HKT account. Done </t>
  </si>
  <si>
    <t>Mr. Jacky Hui</t>
  </si>
  <si>
    <t>Contact Person: jacky.hui@ddaapp.com</t>
    <phoneticPr fontId="11" type="noConversion"/>
  </si>
  <si>
    <t>889849555457</t>
  </si>
  <si>
    <r>
      <rPr>
        <b/>
        <sz val="11"/>
        <color theme="1"/>
        <rFont val="Aptos Narrow"/>
        <family val="2"/>
        <scheme val="minor"/>
      </rPr>
      <t xml:space="preserve">Login account : </t>
    </r>
    <r>
      <rPr>
        <sz val="11"/>
        <color theme="1"/>
        <rFont val="Aptos Narrow"/>
        <family val="2"/>
        <scheme val="minor"/>
      </rPr>
      <t xml:space="preserve"> enterprise@ddaapp.com
</t>
    </r>
    <r>
      <rPr>
        <b/>
        <sz val="11"/>
        <color theme="1"/>
        <rFont val="Aptos Narrow"/>
        <family val="2"/>
        <scheme val="minor"/>
      </rPr>
      <t>Password :</t>
    </r>
    <r>
      <rPr>
        <sz val="11"/>
        <color theme="1"/>
        <rFont val="Aptos Narrow"/>
        <family val="2"/>
        <scheme val="minor"/>
      </rPr>
      <t xml:space="preserve"> 1u3oc7fibx</t>
    </r>
  </si>
  <si>
    <t>Root Login : enterprise@ddaapp.com</t>
    <phoneticPr fontId="11" type="noConversion"/>
  </si>
  <si>
    <t>CL548273</t>
  </si>
  <si>
    <t>821828/1-2</t>
  </si>
  <si>
    <t xml:space="preserve">102250 </t>
  </si>
  <si>
    <t xml:space="preserve">AWS Account ID: 889849555457
Root Login : enterprise@ddaapp.com
Contact Person: jacky.hui@ddaapp.com
[4-Jun-2020] moved to Ingram Micro on 1-Jun and added into HKT family on 4-Jun. </t>
    <phoneticPr fontId="11" type="noConversion"/>
  </si>
  <si>
    <r>
      <t>D</t>
    </r>
    <r>
      <rPr>
        <sz val="11"/>
        <color theme="1"/>
        <rFont val="Aptos Narrow"/>
        <family val="2"/>
        <scheme val="minor"/>
      </rPr>
      <t xml:space="preserve">aniel Yeung </t>
    </r>
  </si>
  <si>
    <r>
      <t>3</t>
    </r>
    <r>
      <rPr>
        <sz val="11"/>
        <color theme="1"/>
        <rFont val="Aptos Narrow"/>
        <family val="2"/>
        <scheme val="minor"/>
      </rPr>
      <t>1016889 / 98633579</t>
    </r>
  </si>
  <si>
    <t>Email :  daniel.cw.yeung@cityline.com.hk</t>
    <phoneticPr fontId="11" type="noConversion"/>
  </si>
  <si>
    <t xml:space="preserve">Root Login : disney@cityline.com.hk
</t>
  </si>
  <si>
    <t>Address: 23/F, Legend Tower, 7 Shing Yip Street, Kwung Tong</t>
    <phoneticPr fontId="11" type="noConversion"/>
  </si>
  <si>
    <t>CL549093</t>
    <phoneticPr fontId="11" type="noConversion"/>
  </si>
  <si>
    <t xml:space="preserve">592730/1-2    </t>
    <phoneticPr fontId="11" type="noConversion"/>
  </si>
  <si>
    <t>102468</t>
    <phoneticPr fontId="11" type="noConversion"/>
  </si>
  <si>
    <t>Address: 23/F, Legend Tower, 7 Shing Yip Street, Kwung Tong
Email :  daniel.cw.yeung@cityline.com.hk
[5-Oct-2020] AWS root emil. Penidng for sales to provide 
[21-Oct-2020] AMSAMMI provbide root login of AWS ID:  697887384373. Pending for the 2nd root login. 
[6-Nov-2020] Submit the requets for 005943307259 first as per AM Sammi request and pending for ingram linkup.
[10-Nov-2020] account linked. Pending for cus to accept invitation. 
[12-Nov-2020] AM Sammi updated that cus has accepted the invitation of AWS ID:  005943307259. Pendng for the 2nd root login for linkage
[13-Nov-20]  welcome letter sent ( AWS ID:  005943307259 )
[14-Jan-2020] The pending acc(AWS ID:  697887384373) will be split into another order. Completed (AWS ID:  005943307259) order in System
[5-Jan-2023] Rec'd email from Product Thomas for the termination of this account. Remove rights in Cloud Checkr and Martin will unlink the account in AWS organization. Termination order will be issued later with SRD on 6-Feb-2023.
[18-Dec-2023] Confirm by Katie Chai CL549093 is no more usage since 1 Mar 2023. Completed order in CxS</t>
  </si>
  <si>
    <t>Jack Leung</t>
    <phoneticPr fontId="11" type="noConversion"/>
  </si>
  <si>
    <r>
      <t>2610 8769</t>
    </r>
    <r>
      <rPr>
        <sz val="11"/>
        <color theme="1"/>
        <rFont val="Aptos Narrow"/>
        <family val="2"/>
        <scheme val="minor"/>
      </rPr>
      <t xml:space="preserve"> / 96023323</t>
    </r>
  </si>
  <si>
    <t>Customer Email: jackleung@chowtaifook.com</t>
    <phoneticPr fontId="11" type="noConversion"/>
  </si>
  <si>
    <t>726125834629</t>
    <phoneticPr fontId="11" type="noConversion"/>
  </si>
  <si>
    <t>275030332822</t>
  </si>
  <si>
    <t xml:space="preserve">
Root Login : aws@chowtaifook.com</t>
  </si>
  <si>
    <t>CL557719</t>
    <phoneticPr fontId="11" type="noConversion"/>
  </si>
  <si>
    <t>578448/1-2</t>
    <phoneticPr fontId="11" type="noConversion"/>
  </si>
  <si>
    <t>102416</t>
    <phoneticPr fontId="11" type="noConversion"/>
  </si>
  <si>
    <t>Customer Email: jackleung@chowtaifook.com
[22-Jul-20] Submitted request to Ingram. Customer accepted invitation
[27-Jul-20] CloudCheckr setup completed. Welcome letter sent. Completed in Cxs with completion date on 22-Jul-2020. 
[18-Dec-2023] Confirm by Lok PS Job has done. Close CxS no.: 829459/1</t>
    <phoneticPr fontId="11" type="noConversion"/>
  </si>
  <si>
    <t xml:space="preserve">
757895108869</t>
  </si>
  <si>
    <t xml:space="preserve">
Root Login : vcchoi@chowtaifook.com</t>
  </si>
  <si>
    <t>Address: 25/F , World Peace centre, 41-55 Wo Tong Tsui St, Kwai Chung, NT</t>
    <phoneticPr fontId="11" type="noConversion"/>
  </si>
  <si>
    <t>CL547335</t>
  </si>
  <si>
    <t>543588/1-2</t>
    <phoneticPr fontId="11" type="noConversion"/>
  </si>
  <si>
    <t>102470</t>
    <phoneticPr fontId="11" type="noConversion"/>
  </si>
  <si>
    <r>
      <t xml:space="preserve">Remark: PS job ( pls pass to Johnny Team
</t>
    </r>
    <r>
      <rPr>
        <sz val="11"/>
        <color rgb="FF000000"/>
        <rFont val="Aptos Narrow"/>
        <family val="2"/>
        <scheme val="minor"/>
      </rPr>
      <t xml:space="preserve">Address: 25/F , World Peace centre, 41-55 Wo Tong Tsui St, Kwai Chung, NT
[6-Oct-2020] Pending for Cus to join. 
[9-Oct-2020] Ingram resent invitation as the invitation got some issue showing invitation cxl. 
[12-Oct-2020] Consultant Tony confirmed invitation accept done. Completed order in CxS with completion date on 9-Oct. Inform AM to issue PS job order. 
</t>
    </r>
    <r>
      <rPr>
        <sz val="11"/>
        <color rgb="FFFF0000"/>
        <rFont val="Aptos Narrow"/>
        <family val="2"/>
        <scheme val="minor"/>
      </rPr>
      <t xml:space="preserve">Pending for usage consumption for cloudchecr setup and PS job order  
</t>
    </r>
    <r>
      <rPr>
        <sz val="11"/>
        <color rgb="FF000000"/>
        <rFont val="Aptos Narrow"/>
        <family val="2"/>
        <scheme val="minor"/>
      </rPr>
      <t xml:space="preserve">[16-Oct-2020] Informed by Thomas that there are two PS job ( TM1 +  Lamdba ).Thomas to clarify with ASM
</t>
    </r>
    <r>
      <rPr>
        <sz val="11"/>
        <color rgb="FFFF0000"/>
        <rFont val="Aptos Narrow"/>
        <family val="2"/>
        <scheme val="minor"/>
      </rPr>
      <t xml:space="preserve">[29-Oct-2020] Setup CloudCheckr Acc and welcome letter sent
</t>
    </r>
    <r>
      <rPr>
        <sz val="11"/>
        <color rgb="FF000000"/>
        <rFont val="Aptos Narrow"/>
        <family val="2"/>
        <scheme val="minor"/>
      </rPr>
      <t>[18-Dec-2023] Confirm by Lok PS Job has done. Completed order in CxS</t>
    </r>
  </si>
  <si>
    <t>Croven Phang</t>
  </si>
  <si>
    <t>Customer Email: croven.phang@yahoo.com.sg</t>
    <phoneticPr fontId="11" type="noConversion"/>
  </si>
  <si>
    <t>CSP Domain: ckvl.onmicrosoft.com</t>
  </si>
  <si>
    <t>CL547398</t>
  </si>
  <si>
    <t>RN498425/1-2</t>
  </si>
  <si>
    <t>102400</t>
  </si>
  <si>
    <t>Customer Email: croven.phang@yahoo.com.sg
[9-Jun-2020] License has been assigned. Completed order in CxS with completion date on 8-Jun,</t>
    <phoneticPr fontId="11" type="noConversion"/>
  </si>
  <si>
    <t>Roland Wong(GLP)</t>
  </si>
  <si>
    <t>+853 8982 0209/+853 6333 0729</t>
  </si>
  <si>
    <t>Alibaba Cloud Account ID :5913782617694380</t>
  </si>
  <si>
    <t xml:space="preserve">
Alibaba Admin : itsoc@macausjm-glp.com            </t>
  </si>
  <si>
    <t>CL545947</t>
  </si>
  <si>
    <t>050255/1-2</t>
  </si>
  <si>
    <t xml:space="preserve">102330 </t>
  </si>
  <si>
    <r>
      <t xml:space="preserve">Alibaba Cloud Admin Login Email: </t>
    </r>
    <r>
      <rPr>
        <b/>
        <sz val="11"/>
        <color theme="1"/>
        <rFont val="Aptos Narrow"/>
        <family val="2"/>
        <scheme val="minor"/>
      </rPr>
      <t>itsoc@macausjm-glp.com</t>
    </r>
    <r>
      <rPr>
        <sz val="11"/>
        <color theme="1"/>
        <rFont val="Aptos Narrow"/>
        <family val="2"/>
        <scheme val="minor"/>
      </rPr>
      <t xml:space="preserve">
[2-Mar-2020] Backdate order. Ann has provisioned the tenant to customer wit SRD on 26-Feb-2020.
[4-Mar-2020] Order completed in CxS with completion date marked on 26-Feb-2020. 
</t>
    </r>
    <r>
      <rPr>
        <b/>
        <sz val="11"/>
        <color theme="1"/>
        <rFont val="Aptos Narrow"/>
        <family val="1"/>
        <charset val="136"/>
        <scheme val="minor"/>
      </rPr>
      <t>[28-Apr-2021] Migration request from Zens to B-Data  by Thomas</t>
    </r>
  </si>
  <si>
    <t>Dominie Liang 
Jason Ngan</t>
  </si>
  <si>
    <t>66288524
6888 0042</t>
  </si>
  <si>
    <t>CL547587</t>
  </si>
  <si>
    <t>304107/1-2</t>
    <phoneticPr fontId="11" type="noConversion"/>
  </si>
  <si>
    <t>backdate order. (SP handled by product team)</t>
    <phoneticPr fontId="11" type="noConversion"/>
  </si>
  <si>
    <t>Ray Tang</t>
  </si>
  <si>
    <t>28944010 / 96597430</t>
  </si>
  <si>
    <t>956093293977</t>
  </si>
  <si>
    <t xml:space="preserve">AXA China Region Insurance Company Ltd
</t>
  </si>
  <si>
    <t xml:space="preserve">
axasahkt@hkt-cloud.com</t>
  </si>
  <si>
    <t>CL541308</t>
  </si>
  <si>
    <t>499373/1-2</t>
  </si>
  <si>
    <t>102356</t>
  </si>
  <si>
    <t>[27-Apr-2020 ] Order completed in CxS with completion date marked on 9-Apr-2020. Account Provisioned by Thomas 
Remark: Company name in ASW HKT AXA speech Analytics</t>
  </si>
  <si>
    <t>Tony Ng</t>
  </si>
  <si>
    <t>2188 7269</t>
  </si>
  <si>
    <t>tony.ng@hkairport.com</t>
    <phoneticPr fontId="11" type="noConversion"/>
  </si>
  <si>
    <t>838776425275</t>
    <phoneticPr fontId="11" type="noConversion"/>
  </si>
  <si>
    <t>612931591519</t>
  </si>
  <si>
    <r>
      <rPr>
        <b/>
        <sz val="11"/>
        <color theme="1"/>
        <rFont val="Aptos Narrow"/>
        <family val="2"/>
        <scheme val="minor"/>
      </rPr>
      <t>Login account :</t>
    </r>
    <r>
      <rPr>
        <sz val="11"/>
        <color theme="1"/>
        <rFont val="Aptos Narrow"/>
        <family val="2"/>
        <scheme val="minor"/>
      </rPr>
      <t xml:space="preserve"> hkairporthkt@hkt-cloud.com
</t>
    </r>
    <r>
      <rPr>
        <b/>
        <sz val="11"/>
        <color theme="1"/>
        <rFont val="Aptos Narrow"/>
        <family val="2"/>
        <scheme val="minor"/>
      </rPr>
      <t>Password :</t>
    </r>
    <r>
      <rPr>
        <sz val="11"/>
        <color theme="1"/>
        <rFont val="Aptos Narrow"/>
        <family val="2"/>
        <scheme val="minor"/>
      </rPr>
      <t xml:space="preserve"> iocigrxgl2</t>
    </r>
  </si>
  <si>
    <t>CL552789</t>
  </si>
  <si>
    <t>195736/3-4</t>
  </si>
  <si>
    <t>102323</t>
  </si>
  <si>
    <r>
      <rPr>
        <b/>
        <sz val="11"/>
        <color rgb="FFFF0000"/>
        <rFont val="Aptos Narrow"/>
        <family val="2"/>
        <scheme val="minor"/>
      </rPr>
      <t xml:space="preserve">This account is managed by HKT
</t>
    </r>
    <r>
      <rPr>
        <sz val="11"/>
        <color rgb="FF000000"/>
        <rFont val="Aptos Narrow"/>
        <family val="2"/>
        <scheme val="minor"/>
      </rPr>
      <t>AWS ID: 612931591519
Root Email: hkairporthkt@</t>
    </r>
    <r>
      <rPr>
        <b/>
        <sz val="11"/>
        <color rgb="FFFF0000"/>
        <rFont val="Aptos Narrow"/>
        <family val="2"/>
        <scheme val="minor"/>
      </rPr>
      <t xml:space="preserve">hkt-cloud.com
</t>
    </r>
    <r>
      <rPr>
        <sz val="11"/>
        <color rgb="FF000000"/>
        <rFont val="Aptos Narrow"/>
        <family val="2"/>
        <scheme val="minor"/>
      </rPr>
      <t xml:space="preserve">Contact Person: tony.ng@hkairport.com
[2-Mar-2020] completed in CxS with completion date on 28-Feb-2020
[4-Jun-2020] moved to Ingram Micro on 1-Jun and added into HKT family on 4-Jun. </t>
    </r>
  </si>
  <si>
    <t>195736/1-2</t>
  </si>
  <si>
    <t>102322</t>
    <phoneticPr fontId="11" type="noConversion"/>
  </si>
  <si>
    <t xml:space="preserve">Peter has provisioned account for customer. 
[2-Mar-2020] Completed in CxS qwith completion date on 1-Mar-2020
[4-Jun-2020] moved to Ingram Micro on 1-Jun and added into HKT family on 4-Jun. </t>
  </si>
  <si>
    <t>rg-iot-zevent-sqcc-001</t>
    <phoneticPr fontId="11" type="noConversion"/>
  </si>
  <si>
    <t>CL552691</t>
  </si>
  <si>
    <t>699841/1-2</t>
  </si>
  <si>
    <t>102322</t>
  </si>
  <si>
    <t>UB24-00000732\1(OM)</t>
    <phoneticPr fontId="11" type="noConversion"/>
  </si>
  <si>
    <t xml:space="preserve">Remark: Update PSEF code only. Refer to  195736/1-2
</t>
    <phoneticPr fontId="11" type="noConversion"/>
  </si>
  <si>
    <t>699841/3-4</t>
  </si>
  <si>
    <t>Remark: Update PSEF code only. Refer to   195736/3-4</t>
  </si>
  <si>
    <t>Edicon Lai</t>
    <phoneticPr fontId="11" type="noConversion"/>
  </si>
  <si>
    <t>21276339 / 96620694</t>
    <phoneticPr fontId="11" type="noConversion"/>
  </si>
  <si>
    <t>Huawei Cloud</t>
  </si>
  <si>
    <t>CL543057</t>
    <phoneticPr fontId="11" type="noConversion"/>
  </si>
  <si>
    <t>556596/1-2</t>
    <phoneticPr fontId="11" type="noConversion"/>
  </si>
  <si>
    <t xml:space="preserve">102474 </t>
    <phoneticPr fontId="11" type="noConversion"/>
  </si>
  <si>
    <t xml:space="preserve">Remark:  Support service will be provided by HUAWEI directly. No provisioning action is reqruired.
[12-Oct-2020] Completed order in CxS with completion date on 12-Oct &amp; Service Given date on 13-Oct. </t>
    <phoneticPr fontId="11" type="noConversion"/>
  </si>
  <si>
    <t>Alibaba UID : 5497093001888295
Email : techops@sofi.hk</t>
    <phoneticPr fontId="11" type="noConversion"/>
  </si>
  <si>
    <t>CL555456</t>
  </si>
  <si>
    <t>768321/1-2</t>
  </si>
  <si>
    <t xml:space="preserve">Alibaba ( provisioned by Ann)
[28-Apr-2021] Migration request from Zens to B-Data  by Thomas
[15-Jul-2021]Bdataupdated that migartion completed </t>
    <phoneticPr fontId="11" type="noConversion"/>
  </si>
  <si>
    <t>Elaine Lee / Terence Wu (technical contact)</t>
    <phoneticPr fontId="11" type="noConversion"/>
  </si>
  <si>
    <r>
      <t>22320200</t>
    </r>
    <r>
      <rPr>
        <sz val="11"/>
        <color theme="1"/>
        <rFont val="Aptos Narrow"/>
        <family val="2"/>
        <scheme val="minor"/>
      </rPr>
      <t xml:space="preserve"> /</t>
    </r>
    <r>
      <rPr>
        <b/>
        <sz val="11"/>
        <color theme="1"/>
        <rFont val="Aptos Narrow"/>
        <family val="1"/>
        <charset val="136"/>
        <scheme val="minor"/>
      </rPr>
      <t xml:space="preserve"> 22320254</t>
    </r>
  </si>
  <si>
    <t>Alibaba Cloud Account ID : 5180116684041583</t>
  </si>
  <si>
    <t xml:space="preserve">
Alibaba Admin : infrastructure-hk@2gotrade.com</t>
  </si>
  <si>
    <t>CL548133</t>
    <phoneticPr fontId="11" type="noConversion"/>
  </si>
  <si>
    <t>020523/1-2</t>
    <phoneticPr fontId="11" type="noConversion"/>
  </si>
  <si>
    <t>102436</t>
    <phoneticPr fontId="11" type="noConversion"/>
  </si>
  <si>
    <r>
      <t xml:space="preserve">[10-Aug-20] Pending for Alibaba to Link the account. Not to close case until further notice
[ 01-Sep-20] Ann updated that acc linking completed on 31-Aug-2020. Order team revised order SRD to 31-Aug-20. Completed in CxS. 
</t>
    </r>
    <r>
      <rPr>
        <b/>
        <sz val="11"/>
        <color theme="1"/>
        <rFont val="Aptos Narrow"/>
        <family val="1"/>
        <charset val="136"/>
        <scheme val="minor"/>
      </rPr>
      <t>[28-Apr-2021] Migration request from Zens to B-Data  by Thomas</t>
    </r>
    <r>
      <rPr>
        <sz val="11"/>
        <color theme="1"/>
        <rFont val="Aptos Narrow"/>
        <family val="2"/>
        <scheme val="minor"/>
      </rPr>
      <t xml:space="preserve">
[17-Jul-2021] checked migration completed on 2-Jun-2021by B-Data
[12-Aug-2022] Offset done. &lt;SD11524767&gt;</t>
    </r>
  </si>
  <si>
    <t>Ernest Tsien</t>
    <phoneticPr fontId="11" type="noConversion"/>
  </si>
  <si>
    <t>CL551180</t>
    <phoneticPr fontId="11" type="noConversion"/>
  </si>
  <si>
    <t>3478/1-2</t>
    <phoneticPr fontId="11" type="noConversion"/>
  </si>
  <si>
    <t>102478</t>
    <phoneticPr fontId="11" type="noConversion"/>
  </si>
  <si>
    <r>
      <rPr>
        <sz val="11"/>
        <rFont val="Aptos Narrow"/>
        <family val="1"/>
        <charset val="136"/>
        <scheme val="minor"/>
      </rPr>
      <t>[16-Oct-2020] PS job order receive. Passed to Johnny's team 
[23-Oct-2020] Pending for signed UAT ( updated by Lok )</t>
    </r>
    <r>
      <rPr>
        <sz val="11"/>
        <color rgb="FFFF0000"/>
        <rFont val="Aptos Narrow"/>
        <family val="1"/>
        <charset val="136"/>
        <scheme val="minor"/>
      </rPr>
      <t xml:space="preserve">
</t>
    </r>
    <r>
      <rPr>
        <sz val="11"/>
        <rFont val="Aptos Narrow"/>
        <family val="1"/>
        <charset val="136"/>
        <scheme val="minor"/>
      </rPr>
      <t xml:space="preserve">[6-Nov-2020] sent email to Lok for UAT status
[9-Nov-2020] UAT received. Completed in SRS with completion date on 27-Oct-2020. </t>
    </r>
  </si>
  <si>
    <r>
      <t>V</t>
    </r>
    <r>
      <rPr>
        <sz val="11"/>
        <color theme="1"/>
        <rFont val="Aptos Narrow"/>
        <family val="2"/>
        <scheme val="minor"/>
      </rPr>
      <t>ictor Liu</t>
    </r>
  </si>
  <si>
    <t>28624428 / 96211193</t>
    <phoneticPr fontId="11" type="noConversion"/>
  </si>
  <si>
    <t>244335467891</t>
  </si>
  <si>
    <t xml:space="preserve">
Root ID :  ml.hkgit@mitsubishicorp.com</t>
  </si>
  <si>
    <t>Address: 15/F , Tower 1, Admiratly centre, 18 Harcout Road, Central &amp; Western</t>
    <phoneticPr fontId="11" type="noConversion"/>
  </si>
  <si>
    <t>CL548394</t>
    <phoneticPr fontId="11" type="noConversion"/>
  </si>
  <si>
    <t>555130/1-2</t>
    <phoneticPr fontId="11" type="noConversion"/>
  </si>
  <si>
    <t>102482</t>
    <phoneticPr fontId="11" type="noConversion"/>
  </si>
  <si>
    <r>
      <t xml:space="preserve">Address: 15/F , Tower 1, Admiratly centre, 18 Harcout Road, Central &amp; Western
[22-Oct-2020] Submittd request to ingram. Pending ingram linking </t>
    </r>
    <r>
      <rPr>
        <sz val="11"/>
        <rFont val="Aptos Narrow"/>
        <family val="1"/>
        <charset val="136"/>
        <scheme val="minor"/>
      </rPr>
      <t xml:space="preserve">
[23-Oct-2020] Cus accepted the request. Completed order in CxS with completion date on 23-Oct. Pending for consumption for  billing portal set up 
[18-Jan-2021] Welcome letter sent </t>
    </r>
  </si>
  <si>
    <t>TM1 deployment for AWS ID 275030332822</t>
  </si>
  <si>
    <t>635013/1-2</t>
    <phoneticPr fontId="11" type="noConversion"/>
  </si>
  <si>
    <t>Remark: PS job BILL $33,000 to CL557719  ( TM1 deployment for AWS ID 275030332822)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28-Dec-2021 ).Completed order in CxS with SRD n 28-Dec-2020
Have to inform Thomas once complete in system for bill issue</t>
  </si>
  <si>
    <t>757895108869</t>
  </si>
  <si>
    <t>Lambda deployment for  AWS ID 757895108869</t>
  </si>
  <si>
    <t>175112/1-2</t>
  </si>
  <si>
    <t>102407</t>
  </si>
  <si>
    <t>Remark: PS job BILL $7,900 to CL547335  (Lambda deployment for  AWS ID 757895108869 )
[23-Oct-2020] Passed to suport team
[29-Oct-2020] Lok updated that still under testing 
[12-Nov-2020] sent email for status update
[19-Nov-2020] sent email for status update again
[12-Jan-2021] Sent email to Lok for update
[8-Sep-2021] Sent email to Lok for update
[9-Sep-2021] UAT recieved ( signed on 28-Dec-2021 ). Complete order in CxS by helpdesk due to completion issue Have to inform Thomas once complete in system for bill issue</t>
  </si>
  <si>
    <t>Stanley.yk.chan@pccw.com</t>
    <phoneticPr fontId="11" type="noConversion"/>
  </si>
  <si>
    <t>097339626419</t>
  </si>
  <si>
    <t>hkt-gmb-prod</t>
  </si>
  <si>
    <t xml:space="preserve">
Root ID: hkt-gmb-prod@hkt-cloud.com 
PW: hkt-gmbcus005
acc name: hkt-gmb-prod</t>
  </si>
  <si>
    <t>CL540227</t>
    <phoneticPr fontId="11" type="noConversion"/>
  </si>
  <si>
    <t>445071/1-2</t>
    <phoneticPr fontId="11" type="noConversion"/>
  </si>
  <si>
    <t>102484</t>
    <phoneticPr fontId="11" type="noConversion"/>
  </si>
  <si>
    <r>
      <t>Remark HKT owned account
Contact Person :  Stanley.yk.chan@pccw.com
[27-Oct-20] HKT email account &amp; AWS account  created. Sent requset to ingram. Pending for ingram reply.
[27-Oct-20] Stanley accepted the invitation. Completed order in CxS.</t>
    </r>
    <r>
      <rPr>
        <sz val="11"/>
        <color rgb="FFFF0000"/>
        <rFont val="Aptos Narrow"/>
        <family val="1"/>
        <charset val="136"/>
        <scheme val="minor"/>
      </rPr>
      <t xml:space="preserve">
</t>
    </r>
    <r>
      <rPr>
        <sz val="11"/>
        <rFont val="Aptos Narrow"/>
        <family val="1"/>
        <charset val="136"/>
        <scheme val="minor"/>
      </rPr>
      <t xml:space="preserve">[12-Nov-20] Cloudcheckr set completed. Add under existing account. welcome letter sent </t>
    </r>
  </si>
  <si>
    <r>
      <t>M</t>
    </r>
    <r>
      <rPr>
        <sz val="11"/>
        <color theme="1"/>
        <rFont val="Aptos Narrow"/>
        <family val="2"/>
        <scheme val="minor"/>
      </rPr>
      <t>ark Mak</t>
    </r>
  </si>
  <si>
    <t>2883 4776  / 5188 0210</t>
    <phoneticPr fontId="11" type="noConversion"/>
  </si>
  <si>
    <t>346203265065</t>
  </si>
  <si>
    <t xml:space="preserve">
Root ID: hktcloudems@pccw.com</t>
  </si>
  <si>
    <t>CL542767</t>
    <phoneticPr fontId="11" type="noConversion"/>
  </si>
  <si>
    <t>711144/1-2</t>
    <phoneticPr fontId="11" type="noConversion"/>
  </si>
  <si>
    <t>102486</t>
    <phoneticPr fontId="11" type="noConversion"/>
  </si>
  <si>
    <r>
      <t>For internal use 
[28-</t>
    </r>
    <r>
      <rPr>
        <sz val="11"/>
        <rFont val="Aptos Narrow"/>
        <family val="1"/>
        <charset val="136"/>
        <scheme val="minor"/>
      </rPr>
      <t>Oct-20] Submit request to ingram.  KC accepted the invitation. Pending for usage to set up billing and welcome letter 
[29-Oct-20]  Pending for order to reflect in CxS
[30-Oct-20] Completed order in CxS with completion date on 30-Oct-20
[3-Nov-202] Billing portal setup and welcome letter sent</t>
    </r>
  </si>
  <si>
    <t>Pending</t>
    <phoneticPr fontId="11" type="noConversion"/>
  </si>
  <si>
    <r>
      <t xml:space="preserve">[29-Oct-2020] Acc provisioned. </t>
    </r>
    <r>
      <rPr>
        <sz val="11"/>
        <rFont val="Aptos Narrow"/>
        <family val="1"/>
        <charset val="136"/>
        <scheme val="minor"/>
      </rPr>
      <t>Pending for order no to complete case in CxS</t>
    </r>
    <r>
      <rPr>
        <sz val="11"/>
        <color rgb="FFFF0000"/>
        <rFont val="Aptos Narrow"/>
        <family val="1"/>
        <charset val="136"/>
        <scheme val="minor"/>
      </rPr>
      <t xml:space="preserve">
[27-Jul-2021] Acc for internal use only. No order issue. Case closed
</t>
    </r>
  </si>
  <si>
    <t>AASTOCKS.COM LIMITED</t>
    <phoneticPr fontId="11" type="noConversion"/>
  </si>
  <si>
    <t>CL548119</t>
    <phoneticPr fontId="11" type="noConversion"/>
  </si>
  <si>
    <t>462730/1-2</t>
    <phoneticPr fontId="11" type="noConversion"/>
  </si>
  <si>
    <t>102494</t>
    <phoneticPr fontId="11" type="noConversion"/>
  </si>
  <si>
    <t xml:space="preserve">Remark:  Support service will be provided by HUAWEI directly. No provisioning action is reqruired.
[12-Nov-2020] Completed order in CxS with completion date on 12-Nov &amp; Service Given date on 13-Nov. </t>
    <phoneticPr fontId="11" type="noConversion"/>
  </si>
  <si>
    <r>
      <t>E</t>
    </r>
    <r>
      <rPr>
        <sz val="11"/>
        <color theme="1"/>
        <rFont val="Aptos Narrow"/>
        <family val="2"/>
        <scheme val="minor"/>
      </rPr>
      <t>dmond Chan</t>
    </r>
  </si>
  <si>
    <t>2883 6771 /  9760 3118</t>
    <phoneticPr fontId="11" type="noConversion"/>
  </si>
  <si>
    <t>Email : edmond.mc.chan@pccw.com</t>
    <phoneticPr fontId="11" type="noConversion"/>
  </si>
  <si>
    <t>Tenant ID : hktngsoc.onmicrosoft.com</t>
    <phoneticPr fontId="11" type="noConversion"/>
  </si>
  <si>
    <t>CL540645</t>
    <phoneticPr fontId="11" type="noConversion"/>
  </si>
  <si>
    <t>770405/1-2</t>
    <phoneticPr fontId="11" type="noConversion"/>
  </si>
  <si>
    <t>1022498</t>
    <phoneticPr fontId="11" type="noConversion"/>
  </si>
  <si>
    <t>Email : edmond.mc.chan@pccw.com
[17-Nov-20] Setup completed. Completed order in SRS.</t>
    <phoneticPr fontId="11" type="noConversion"/>
  </si>
  <si>
    <t>Jason Yeung</t>
    <phoneticPr fontId="11" type="noConversion"/>
  </si>
  <si>
    <t xml:space="preserve">Email: jyeung@incomepartners.com </t>
    <phoneticPr fontId="11" type="noConversion"/>
  </si>
  <si>
    <t>570499519381</t>
  </si>
  <si>
    <t xml:space="preserve">
Root ID: aws_admin@incomepartners.com</t>
  </si>
  <si>
    <t xml:space="preserve">Address: Flat 3-4, 35/F, Cmabridge Hse, Taikoo Place, 979 Kings Road, Quarry Bay, HK </t>
    <phoneticPr fontId="11" type="noConversion"/>
  </si>
  <si>
    <t>CL545786</t>
    <phoneticPr fontId="11" type="noConversion"/>
  </si>
  <si>
    <t>840622/1-2</t>
    <phoneticPr fontId="11" type="noConversion"/>
  </si>
  <si>
    <r>
      <t xml:space="preserve">Email: jyeung@incomepartners.com 
Address: Flat 3-4, 35/F, Cmabridge Hse, Taikoo Place, 979 Kings Road, Quarry Bay, HK 
[17-Nov-20] Request sent to ingram and invitation sent </t>
    </r>
    <r>
      <rPr>
        <sz val="11"/>
        <color theme="1"/>
        <rFont val="Aptos Narrow"/>
        <family val="1"/>
        <scheme val="minor"/>
      </rPr>
      <t>Cus accepted &amp; completed order in SRS</t>
    </r>
    <r>
      <rPr>
        <sz val="11"/>
        <color rgb="FFFF0000"/>
        <rFont val="Aptos Narrow"/>
        <family val="1"/>
        <scheme val="minor"/>
      </rPr>
      <t xml:space="preserve">. Pending for usage for billing portal setup and welcome letter. </t>
    </r>
    <r>
      <rPr>
        <sz val="11"/>
        <color theme="1"/>
        <rFont val="Aptos Narrow"/>
        <family val="1"/>
        <scheme val="minor"/>
      </rPr>
      <t xml:space="preserve">
[20-Apr-2021] Checked usage on 17-Apr-2021. Welcome letter sent. </t>
    </r>
  </si>
  <si>
    <r>
      <t>I</t>
    </r>
    <r>
      <rPr>
        <sz val="11"/>
        <color theme="1"/>
        <rFont val="Aptos Narrow"/>
        <family val="2"/>
        <scheme val="minor"/>
      </rPr>
      <t>T Suppport</t>
    </r>
  </si>
  <si>
    <t>email :  itsupport@lawsgroup.com; 'Calvin Yeung' &lt;calvin.yeung@lawsgroup.com&gt;</t>
    <phoneticPr fontId="11" type="noConversion"/>
  </si>
  <si>
    <t>10068276052</t>
  </si>
  <si>
    <t xml:space="preserve">
Root Login: aws@lawsgroup.com</t>
  </si>
  <si>
    <t>Address: Laws Commercial Plaza,  788 Cheung Sha Wan Road, KLN</t>
    <phoneticPr fontId="11" type="noConversion"/>
  </si>
  <si>
    <t>CL552333</t>
    <phoneticPr fontId="11" type="noConversion"/>
  </si>
  <si>
    <t>RN606144/1-2</t>
    <phoneticPr fontId="11" type="noConversion"/>
  </si>
  <si>
    <t>102502</t>
    <phoneticPr fontId="11" type="noConversion"/>
  </si>
  <si>
    <t xml:space="preserve">Address: Laws Commercial Plaza,  788 Cheung Sha Wan Road, KLN
email :  itsupport@lawsgroup.com; 'Calvin Yeung' &lt;calvin.yeung@lawsgroup.com&gt;
[20-Nov-2020] Submit request to ingram nad ingram sent out invitation. Pending for cus accept. 
[24-Nov-2020] email to cus for status update
[30-Nov-2020] Cus accepted the invitation. Completed in CxS. Pending for usage for welcome letter 
[4-Dec-2020] CloudCheckr acc setup and welcome letter sent. </t>
    <phoneticPr fontId="11" type="noConversion"/>
  </si>
  <si>
    <r>
      <t>B</t>
    </r>
    <r>
      <rPr>
        <sz val="11"/>
        <color theme="1"/>
        <rFont val="Aptos Narrow"/>
        <family val="2"/>
        <scheme val="minor"/>
      </rPr>
      <t>en Yip</t>
    </r>
  </si>
  <si>
    <t>23026155 / 63439119</t>
    <phoneticPr fontId="11" type="noConversion"/>
  </si>
  <si>
    <t>Email : ben.yip@modernbeautysalon.com</t>
    <phoneticPr fontId="11" type="noConversion"/>
  </si>
  <si>
    <t>240396774091</t>
  </si>
  <si>
    <t xml:space="preserve">
Root Login:ben.yip@modernbeautysalon.com</t>
  </si>
  <si>
    <t>Address: Flat 6, Sino Industrial Plaza, 9 Kai Cheung Road, Kowloom Bay</t>
    <phoneticPr fontId="11" type="noConversion"/>
  </si>
  <si>
    <t>CL552511</t>
    <phoneticPr fontId="11" type="noConversion"/>
  </si>
  <si>
    <t>580635/1-2</t>
    <phoneticPr fontId="11" type="noConversion"/>
  </si>
  <si>
    <t>102506</t>
    <phoneticPr fontId="11" type="noConversion"/>
  </si>
  <si>
    <r>
      <t xml:space="preserve">Address: Flat 6, Sino Industrial Plaza, 9 Kai Cheung Road, Kowloom Bay
Email : ben.yip@modernbeautysalon.com
[24-Nov-2020] Request sent  and cus accept. Completed order in CxS with service given date on 24-Nov-20. </t>
    </r>
    <r>
      <rPr>
        <sz val="11"/>
        <color rgb="FFFF0000"/>
        <rFont val="Aptos Narrow"/>
        <family val="1"/>
        <charset val="136"/>
        <scheme val="minor"/>
      </rPr>
      <t>Pending for usage for cloudcheckr setup</t>
    </r>
  </si>
  <si>
    <t>CL552452</t>
  </si>
  <si>
    <t>801423/1-2</t>
  </si>
  <si>
    <t>102507</t>
  </si>
  <si>
    <t xml:space="preserve">Remark:  Support service will be provided by HUAWEI directly. No provisioning action is reqruired.
Project 3, separate invoice, create new NF number
[24-Nov-2020] Completed order in CxS with completion date on 24-Nov &amp; Service Given date on 26-Nov. </t>
  </si>
  <si>
    <t>Lift &amp; Shift Migartion project (275030332822)</t>
  </si>
  <si>
    <t>CL545015</t>
    <phoneticPr fontId="11" type="noConversion"/>
  </si>
  <si>
    <t>328227/1-2</t>
    <phoneticPr fontId="11" type="noConversion"/>
  </si>
  <si>
    <t>102516</t>
    <phoneticPr fontId="11" type="noConversion"/>
  </si>
  <si>
    <t>Remark: PS job ($450,000 )for 275030332822 (backdate order refer to main order  CL557719 )
[18-Dec-2020] Passed to suport team
[8-Sep-2021] Sent email to Lok for update
[22-Sep-2022] Informed by Connie  (Phase I Lift &amp; Shift migration completed.   Have informed Thomas to bill on this PS @Jul 29 2022   ) . Completed order in CxS with completion date on 29-Jul-2022. no UAT just email confirmed by Connie. 
Have to inform Thomas once complete in system for bill issue</t>
  </si>
  <si>
    <t>T3</t>
    <phoneticPr fontId="11" type="noConversion"/>
  </si>
  <si>
    <t>Tony Chan</t>
    <phoneticPr fontId="11" type="noConversion"/>
  </si>
  <si>
    <t>6033 4200</t>
    <phoneticPr fontId="11" type="noConversion"/>
  </si>
  <si>
    <r>
      <t>A</t>
    </r>
    <r>
      <rPr>
        <sz val="11"/>
        <color theme="1"/>
        <rFont val="Aptos Narrow"/>
        <family val="2"/>
        <scheme val="minor"/>
      </rPr>
      <t>cc: JARDINEMATHESON.onmicrosoft.com.</t>
    </r>
  </si>
  <si>
    <t>CL545943</t>
    <phoneticPr fontId="11" type="noConversion"/>
  </si>
  <si>
    <t>571314 /1-2</t>
    <phoneticPr fontId="11" type="noConversion"/>
  </si>
  <si>
    <t>102518</t>
    <phoneticPr fontId="11" type="noConversion"/>
  </si>
  <si>
    <r>
      <rPr>
        <b/>
        <sz val="11"/>
        <color theme="1"/>
        <rFont val="Aptos Narrow"/>
        <family val="1"/>
        <charset val="136"/>
        <scheme val="minor"/>
      </rPr>
      <t>Contact Point : Tony Chan (tony.ck.chan@pccw.com)</t>
    </r>
    <r>
      <rPr>
        <sz val="11"/>
        <color theme="1"/>
        <rFont val="Aptos Narrow"/>
        <family val="1"/>
        <charset val="136"/>
        <scheme val="minor"/>
      </rPr>
      <t xml:space="preserve">
</t>
    </r>
    <r>
      <rPr>
        <sz val="11"/>
        <color theme="1"/>
        <rFont val="Aptos Narrow"/>
        <family val="2"/>
        <scheme val="minor"/>
      </rPr>
      <t xml:space="preserve">[18-Dec-2020] Pending for Tony reply domain name
[21-Dec-2020] Revised SRD from 22-Dec-2020 to 31-Dec-2020
[30-Dec-2020] Revised SRD from 31-Dec-2020  to 14-Jan-2020
[12-Jan-2021] Sent email to Tony for update of domain name. confirmed domain. </t>
    </r>
    <r>
      <rPr>
        <sz val="11"/>
        <color rgb="FFFF0000"/>
        <rFont val="Aptos Narrow"/>
        <family val="1"/>
        <charset val="136"/>
        <scheme val="minor"/>
      </rPr>
      <t xml:space="preserve"> T</t>
    </r>
    <r>
      <rPr>
        <sz val="11"/>
        <color theme="1"/>
        <rFont val="Aptos Narrow"/>
        <family val="1"/>
        <charset val="136"/>
        <scheme val="minor"/>
      </rPr>
      <t xml:space="preserve">enant ready and send welcome letter on SRD only
[15-Jan-2021] welcome letter sent and completed order in CxS </t>
    </r>
  </si>
  <si>
    <r>
      <t>Sunny Mak</t>
    </r>
    <r>
      <rPr>
        <sz val="11"/>
        <color theme="1"/>
        <rFont val="Aptos Narrow"/>
        <family val="2"/>
        <scheme val="minor"/>
      </rPr>
      <t xml:space="preserve"> /
 Jerry Leung</t>
    </r>
  </si>
  <si>
    <t>21146105/ 92538264
2114 6104 / 60236827</t>
    <phoneticPr fontId="11" type="noConversion"/>
  </si>
  <si>
    <t>Contact emauil : admin1@firstbullion.com</t>
    <phoneticPr fontId="11" type="noConversion"/>
  </si>
  <si>
    <t>FIRST ASIA MERCHANTS BULLION LIMITED</t>
    <phoneticPr fontId="11" type="noConversion"/>
  </si>
  <si>
    <t>7869699217617</t>
  </si>
  <si>
    <t xml:space="preserve">
Root Login : registration@365online.bz
</t>
  </si>
  <si>
    <t>Address: 6/F, Allied Kajima Building, 134 -143 Gloucester Road, Wan Chai, Hong Kong</t>
    <phoneticPr fontId="11" type="noConversion"/>
  </si>
  <si>
    <t>CL542979</t>
    <phoneticPr fontId="11" type="noConversion"/>
  </si>
  <si>
    <t>532189/1-2</t>
    <phoneticPr fontId="11" type="noConversion"/>
  </si>
  <si>
    <t>102526</t>
    <phoneticPr fontId="11" type="noConversion"/>
  </si>
  <si>
    <t xml:space="preserve">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t>
  </si>
  <si>
    <t>Mr. Jacky Hui</t>
    <phoneticPr fontId="11" type="noConversion"/>
  </si>
  <si>
    <t>024407781088</t>
  </si>
  <si>
    <t xml:space="preserve">
Root Login :  CFD_CI@hanglung.com</t>
  </si>
  <si>
    <t>CL548769</t>
    <phoneticPr fontId="11" type="noConversion"/>
  </si>
  <si>
    <t>62914 /1-2</t>
    <phoneticPr fontId="11" type="noConversion"/>
  </si>
  <si>
    <t>102528</t>
    <phoneticPr fontId="11" type="noConversion"/>
  </si>
  <si>
    <r>
      <rPr>
        <sz val="11"/>
        <color rgb="FF000000"/>
        <rFont val="Aptos Narrow"/>
        <family val="2"/>
        <scheme val="minor"/>
      </rPr>
      <t xml:space="preserve">Address: Workshop  G, 17/F, , Century Industrial Centre, 33-35 Au Pui Wan Street, Shatin
[4-Jan-2021] submitted request to ingram, pending for cus to accept
[5-Jan-2021] Cus accepted invitation. Completed order in CxS. </t>
    </r>
    <r>
      <rPr>
        <b/>
        <sz val="11"/>
        <color rgb="FF000000"/>
        <rFont val="Aptos Narrow"/>
        <family val="2"/>
        <scheme val="minor"/>
      </rPr>
      <t>Pending for usage to send out welcome letter 
[18-Jan-2021] Welcome letter sent</t>
    </r>
  </si>
  <si>
    <t>169734347621</t>
  </si>
  <si>
    <t xml:space="preserve">
Root Login : admin@amercantile.com</t>
  </si>
  <si>
    <t>CL549414</t>
    <phoneticPr fontId="11" type="noConversion"/>
  </si>
  <si>
    <r>
      <t>6</t>
    </r>
    <r>
      <rPr>
        <sz val="11"/>
        <color theme="1"/>
        <rFont val="Aptos Narrow"/>
        <family val="2"/>
        <scheme val="minor"/>
      </rPr>
      <t>83641/1-2</t>
    </r>
  </si>
  <si>
    <t>102531</t>
    <phoneticPr fontId="11" type="noConversion"/>
  </si>
  <si>
    <t>Contact emauil : admin1@firstbullion.com
Address: 6/F, Allied Kajima Building, 134 -143 Gloucester Road, Wan Chai, Hong Kong
[29-Dec-2020] Duplicate acc with previous order . Checking with Thomas &amp; AM
[30-Dec-2020] Submitted request for 2x new AWS ID and reuqest to resend invitation link for the other 4 x AWS ID
[31-Dec-2020] AMStephen said cus has accepted the invitation on 30-Dec-2020. Completed order in CxS. 
[6-Jan-2020] Order issued. Welcome letter sent. Completed order in CxS</t>
  </si>
  <si>
    <t xml:space="preserve">
oot Login : admin@firstfx.bz</t>
  </si>
  <si>
    <t>CL549458</t>
    <phoneticPr fontId="11" type="noConversion"/>
  </si>
  <si>
    <t>683641/3-4</t>
    <phoneticPr fontId="11" type="noConversion"/>
  </si>
  <si>
    <t>102530</t>
    <phoneticPr fontId="11" type="noConversion"/>
  </si>
  <si>
    <t>CL549474</t>
    <phoneticPr fontId="11" type="noConversion"/>
  </si>
  <si>
    <t>683641/5-6</t>
    <phoneticPr fontId="11" type="noConversion"/>
  </si>
  <si>
    <t>102536</t>
    <phoneticPr fontId="11" type="noConversion"/>
  </si>
  <si>
    <t>403046075669</t>
    <phoneticPr fontId="11" type="noConversion"/>
  </si>
  <si>
    <t>CL549630</t>
    <phoneticPr fontId="11" type="noConversion"/>
  </si>
  <si>
    <t>683641/7-8</t>
    <phoneticPr fontId="11" type="noConversion"/>
  </si>
  <si>
    <t>102535</t>
    <phoneticPr fontId="11" type="noConversion"/>
  </si>
  <si>
    <t>CL549902</t>
    <phoneticPr fontId="11" type="noConversion"/>
  </si>
  <si>
    <t>683641/9-10</t>
    <phoneticPr fontId="11" type="noConversion"/>
  </si>
  <si>
    <t>102534</t>
    <phoneticPr fontId="11" type="noConversion"/>
  </si>
  <si>
    <t>602640 /1-2</t>
    <phoneticPr fontId="11" type="noConversion"/>
  </si>
  <si>
    <t>Remark:  PS job only  (public cloud configuration $ 33,480) + T2 support 
[14-Jan-2020] Passed PS job order to PS team. Pending for job completion by PS team
[27-Jan-2-21] Passed PS job to T2 Cloud support team  as well ( NPO ) . 
Have to inform Thomas once complete in system for bill issue
[14-Apr-2021] UAT rec'd with signed on 12-Apr-2021. Completed order in CxS with completion date on 12-Apr-21.</t>
  </si>
  <si>
    <t>817924706531</t>
  </si>
  <si>
    <t>WF_CRE001</t>
  </si>
  <si>
    <t xml:space="preserve">
Login account : credit_infra@wfgold.com
(billing acc :  infrastructure@wfgold.com)</t>
  </si>
  <si>
    <t>CL545590</t>
    <phoneticPr fontId="11" type="noConversion"/>
  </si>
  <si>
    <t>253743./1-2</t>
    <phoneticPr fontId="11" type="noConversion"/>
  </si>
  <si>
    <t>102542</t>
    <phoneticPr fontId="11" type="noConversion"/>
  </si>
  <si>
    <r>
      <rPr>
        <b/>
        <sz val="11"/>
        <color theme="1"/>
        <rFont val="Aptos Narrow"/>
        <family val="1"/>
        <scheme val="minor"/>
      </rPr>
      <t>Customer Email: ronko@wfgold.com</t>
    </r>
    <r>
      <rPr>
        <sz val="11"/>
        <color theme="1"/>
        <rFont val="Aptos Narrow"/>
        <family val="2"/>
        <scheme val="minor"/>
      </rPr>
      <t xml:space="preserve">
Address:  20/F, Wing On House, 71 Des Voeux Road C, Central
[26-Jan-21] Submitted request to Ingram.
[27-Jan-21] Cs accepted the invitation. </t>
    </r>
    <r>
      <rPr>
        <sz val="11"/>
        <rFont val="Aptos Narrow"/>
        <family val="1"/>
        <charset val="136"/>
        <scheme val="minor"/>
      </rPr>
      <t>Completion   in CxS. Pending for usage for welcome letter
[1-Feb-21] Billing acc added . welcom letter sent</t>
    </r>
  </si>
  <si>
    <r>
      <t>K</t>
    </r>
    <r>
      <rPr>
        <sz val="11"/>
        <color theme="1"/>
        <rFont val="Aptos Narrow"/>
        <family val="2"/>
        <scheme val="minor"/>
      </rPr>
      <t xml:space="preserve">enneth Wong </t>
    </r>
  </si>
  <si>
    <t>Email : kennethwong@hksi.org</t>
    <phoneticPr fontId="11" type="noConversion"/>
  </si>
  <si>
    <t>644017739101</t>
  </si>
  <si>
    <t>HKSI</t>
  </si>
  <si>
    <t xml:space="preserve">
Root Login : it@hksi.org </t>
  </si>
  <si>
    <t xml:space="preserve">Address: Flat 510, 5/F, Wing On Centre, 111 Connaught Road Central , Sheung Wan </t>
    <phoneticPr fontId="11" type="noConversion"/>
  </si>
  <si>
    <t>CL554283</t>
    <phoneticPr fontId="11" type="noConversion"/>
  </si>
  <si>
    <t>570858/1-6</t>
    <phoneticPr fontId="11" type="noConversion"/>
  </si>
  <si>
    <t>102548</t>
    <phoneticPr fontId="11" type="noConversion"/>
  </si>
  <si>
    <t>Address: Flat 510, 5/F, Wing On Centre, 111 Connaught Road Central , Sheung Wan 
Email : kennethwong@hksi.org
[29-Jan-2021] sent request to ingram. Pending for cus accept
[1-Feb-2021] Cus got issue in joining to HKT. Cus has to contact previous org to disconnect for them. Pending cus reply
[2-Feb-2021] email to cus for update ( welcome letter with 3 x AWS acc ready in draft )
[24-Feb] Cus request resend invitation
[25-Feb-2021] AMHong replied cus accepted invitation. Completed order in CxS. welcome letter sent.  Pending for usage to add acc in portal 
[1-Mar-2021] Account added. Case Closed</t>
  </si>
  <si>
    <t>701425533496</t>
  </si>
  <si>
    <t>IT-UAT1</t>
  </si>
  <si>
    <t xml:space="preserve">
Root Login: it-uat1@hksi.org </t>
  </si>
  <si>
    <t>CL554291</t>
    <phoneticPr fontId="11" type="noConversion"/>
  </si>
  <si>
    <t>570858/1-6</t>
  </si>
  <si>
    <t>102547</t>
    <phoneticPr fontId="11" type="noConversion"/>
  </si>
  <si>
    <r>
      <t>Address: Flat 510, 5/F, Wing On Centre, 111 Connaught Road Central , Sheung Wan 
Email : kennethwong@hksi.org
[29-Jan-2021] sent request to ingram. Cus accept invitation. 
[1-Feb-2021] Completed in CxS with completion date on 29-Jan-2021.</t>
    </r>
    <r>
      <rPr>
        <sz val="11"/>
        <color rgb="FFFF0000"/>
        <rFont val="Aptos Narrow"/>
        <family val="1"/>
        <charset val="136"/>
        <scheme val="minor"/>
      </rPr>
      <t xml:space="preserve"> Pending for the reamining acc to send welcome letter ( group acc create and pending for user acc )
</t>
    </r>
    <r>
      <rPr>
        <sz val="11"/>
        <color theme="1"/>
        <rFont val="Aptos Narrow"/>
        <family val="1"/>
        <charset val="136"/>
        <scheme val="minor"/>
      </rPr>
      <t>[25-Feb-2021] welcome letter sent</t>
    </r>
  </si>
  <si>
    <t>599186243446</t>
  </si>
  <si>
    <t>HKSI Production1</t>
  </si>
  <si>
    <t xml:space="preserve">
Root Login : it-prod1@hksi.org</t>
  </si>
  <si>
    <t>CL554297</t>
    <phoneticPr fontId="11" type="noConversion"/>
  </si>
  <si>
    <r>
      <t>10254</t>
    </r>
    <r>
      <rPr>
        <sz val="11"/>
        <color theme="1"/>
        <rFont val="Aptos Narrow"/>
        <family val="2"/>
        <scheme val="minor"/>
      </rPr>
      <t>6</t>
    </r>
  </si>
  <si>
    <t>Customer Email: ronko@wfgold.com</t>
    <phoneticPr fontId="11" type="noConversion"/>
  </si>
  <si>
    <t>770974816075</t>
  </si>
  <si>
    <t>WF_SEC001</t>
  </si>
  <si>
    <t xml:space="preserve">
Root Login: sec_infra@wfgold.com</t>
  </si>
  <si>
    <t>Address:  20/F, Wing On House, 71 Des Voeux Road C, Central</t>
    <phoneticPr fontId="11" type="noConversion"/>
  </si>
  <si>
    <t>CL548143</t>
    <phoneticPr fontId="11" type="noConversion"/>
  </si>
  <si>
    <t>498026/1-2</t>
    <phoneticPr fontId="11" type="noConversion"/>
  </si>
  <si>
    <t>102550</t>
    <phoneticPr fontId="11" type="noConversion"/>
  </si>
  <si>
    <t xml:space="preserve">Customer Email: ronko@wfgold.com
Address:  20/F, Wing On House, 71 Des Voeux Road C, Central
[3-Feb-21] Submitted request to Ingram.
[4-Feb-21] Cus accepted. Completed order in CxS.  Pending for usgage for billing acc setup and welcome letter
[9-Feb-21] Welcome letter sent. </t>
    <phoneticPr fontId="11" type="noConversion"/>
  </si>
  <si>
    <t>465335/1-2</t>
    <phoneticPr fontId="11" type="noConversion"/>
  </si>
  <si>
    <t>102518</t>
  </si>
  <si>
    <r>
      <t xml:space="preserve">Remark: PS job order of 571314 /1-2 ( configuration charge $139253)
[16-Feb-2021] Passed order to Johnny's team. Completed order in system with SRD on 26-Jan-2021 by ASM Kelvin Yip requet. 
</t>
    </r>
    <r>
      <rPr>
        <sz val="11"/>
        <color theme="1"/>
        <rFont val="Aptos Narrow"/>
        <family val="2"/>
        <scheme val="minor"/>
      </rPr>
      <t xml:space="preserve">
</t>
    </r>
  </si>
  <si>
    <t>741606553494</t>
  </si>
  <si>
    <t>HKSI ITDEV</t>
  </si>
  <si>
    <t xml:space="preserve">
Root Login : it-dev1@hksi.org</t>
  </si>
  <si>
    <t>CL543498</t>
    <phoneticPr fontId="11" type="noConversion"/>
  </si>
  <si>
    <t>rn889504/1-2</t>
  </si>
  <si>
    <t>102557</t>
  </si>
  <si>
    <r>
      <t xml:space="preserve">Address: Flat 510, 5/F, Wing On Centre, 111 Connaught Road Central , Sheung Wan 
Email : kennethwong@hksi.org
[18-Feb-2021] Fail to submit request to ingram. Pending for ingram reply
[24-Feb-2021] Request to amend AWS ID. 
</t>
    </r>
    <r>
      <rPr>
        <sz val="11"/>
        <color theme="1"/>
        <rFont val="Aptos Narrow"/>
        <family val="1"/>
        <charset val="136"/>
        <scheme val="minor"/>
      </rPr>
      <t>[25-Feb-2021] Completed order in CxS. welcome letter sent. Pending for usage to add acc in portal 
[1-Mar-2021] Account added. Case closed</t>
    </r>
  </si>
  <si>
    <t>513913584737</t>
  </si>
  <si>
    <t>HKSI-WAM2021</t>
  </si>
  <si>
    <t xml:space="preserve">
Root Login : it-prodwam@hksi.org</t>
  </si>
  <si>
    <t>CL543918</t>
    <phoneticPr fontId="11" type="noConversion"/>
  </si>
  <si>
    <t>rn889504/3-4</t>
    <phoneticPr fontId="11" type="noConversion"/>
  </si>
  <si>
    <r>
      <t>10255</t>
    </r>
    <r>
      <rPr>
        <sz val="11"/>
        <color theme="1"/>
        <rFont val="Aptos Narrow"/>
        <family val="2"/>
        <scheme val="minor"/>
      </rPr>
      <t>6</t>
    </r>
  </si>
  <si>
    <t>Processing</t>
    <phoneticPr fontId="11" type="noConversion"/>
  </si>
  <si>
    <t>272113/1-2</t>
    <phoneticPr fontId="11" type="noConversion"/>
  </si>
  <si>
    <t xml:space="preserve">Remark: PS job order of 571314 /1-2 ( configuration charge $ 65330 )Enable Sentinal on Azure
[3-Mar-2021] Passed order to Johnny's team.
[9-Sep-2021] Sent to Lok for status update 
</t>
    <phoneticPr fontId="11" type="noConversion"/>
  </si>
  <si>
    <t>Y</t>
  </si>
  <si>
    <r>
      <t>R</t>
    </r>
    <r>
      <rPr>
        <sz val="11"/>
        <color theme="1"/>
        <rFont val="Aptos Narrow"/>
        <family val="2"/>
        <scheme val="minor"/>
      </rPr>
      <t>ex Chan</t>
    </r>
  </si>
  <si>
    <t>-</t>
    <phoneticPr fontId="11" type="noConversion"/>
  </si>
  <si>
    <t>CL543818</t>
    <phoneticPr fontId="11" type="noConversion"/>
  </si>
  <si>
    <t>527617/1-2</t>
    <phoneticPr fontId="11" type="noConversion"/>
  </si>
  <si>
    <t>Termination order 
[11-Mar-2021] Prodcut Peter confirmed that no action to be taken for this termination order. No need to delete</t>
  </si>
  <si>
    <t>Davidson Yau</t>
    <phoneticPr fontId="11" type="noConversion"/>
  </si>
  <si>
    <t>25837747 / 61558555</t>
    <phoneticPr fontId="11" type="noConversion"/>
  </si>
  <si>
    <t>Admin: admin@gawcapitalaz.onmicrosoft.com</t>
    <phoneticPr fontId="11" type="noConversion"/>
  </si>
  <si>
    <t>CL542691</t>
  </si>
  <si>
    <t>607148/1-2</t>
  </si>
  <si>
    <t>[12-Jan-2021] Tenant created and welcome letter sent. Completed order in CxS.</t>
    <phoneticPr fontId="11" type="noConversion"/>
  </si>
  <si>
    <t xml:space="preserve">Daniel Yeung </t>
    <phoneticPr fontId="11" type="noConversion"/>
  </si>
  <si>
    <t>31016889 / 98633579</t>
    <phoneticPr fontId="11" type="noConversion"/>
  </si>
  <si>
    <t xml:space="preserve">
Root Login :cartman.kh.lee@cityline.com.hk</t>
  </si>
  <si>
    <t>CL546388</t>
    <phoneticPr fontId="11" type="noConversion"/>
  </si>
  <si>
    <t>102569</t>
    <phoneticPr fontId="11" type="noConversion"/>
  </si>
  <si>
    <t>Address: 23/F, Legend Tower, 7 Shing Yip Street, Kwung Tong
[ 18-Mar-2021] AM Sammi provide root login. Pending for order no for completion, cus accepted invitation and pending for consumption to setup billing acc
[22-Mar-2021] Checked consumption started on 19-Mar-2021.  Pending for orer no for welcome letter and completion. 
[31-Mar-2021] Welcome letter sent. Pending for order reflected in CxS.
[1-Apr-2021] Completed order in CxS with completion date on 18-MAr-2021</t>
  </si>
  <si>
    <r>
      <t>T</t>
    </r>
    <r>
      <rPr>
        <sz val="11"/>
        <color theme="1"/>
        <rFont val="Aptos Narrow"/>
        <family val="2"/>
        <scheme val="minor"/>
      </rPr>
      <t>enant ID : umadxonline.onmicrosoft.com</t>
    </r>
  </si>
  <si>
    <t>CL540699</t>
    <phoneticPr fontId="11" type="noConversion"/>
  </si>
  <si>
    <t>rn651683/1-2</t>
  </si>
  <si>
    <t>102572</t>
    <phoneticPr fontId="11" type="noConversion"/>
  </si>
  <si>
    <t>PS job only :  Add on 1 x VM on existing cloud billing
[12-Apr-2021] Passed order to PS team 
[9-Aug-2021] Sent email to Lok for status update. Lok updated that consultant informed him no PS is required. Asked Sales to cxl order in CxS. 
[04-Jan-2024] Confirmed with Lok no PS Job required. Close order in CxS</t>
    <phoneticPr fontId="11" type="noConversion"/>
  </si>
  <si>
    <t>Wendy Ho</t>
    <phoneticPr fontId="11" type="noConversion"/>
  </si>
  <si>
    <r>
      <t>2296 8966</t>
    </r>
    <r>
      <rPr>
        <sz val="11"/>
        <color theme="1"/>
        <rFont val="Aptos Narrow"/>
        <family val="2"/>
        <scheme val="minor"/>
      </rPr>
      <t xml:space="preserve"> / 5586 8792</t>
    </r>
  </si>
  <si>
    <t>Cus email : wendy.sm.ho@pccw.com</t>
    <phoneticPr fontId="11" type="noConversion"/>
  </si>
  <si>
    <t>CL542921</t>
  </si>
  <si>
    <t>rn957422/1-2</t>
    <phoneticPr fontId="11" type="noConversion"/>
  </si>
  <si>
    <t>102574</t>
    <phoneticPr fontId="11" type="noConversion"/>
  </si>
  <si>
    <t xml:space="preserve">Cus email : wendy.sm.ho@pccw.com
[12-Apr-2021] No need to create tenant. Closed order in CxS. </t>
    <phoneticPr fontId="11" type="noConversion"/>
  </si>
  <si>
    <r>
      <t>T</t>
    </r>
    <r>
      <rPr>
        <sz val="11"/>
        <color theme="1"/>
        <rFont val="Aptos Narrow"/>
        <family val="2"/>
        <scheme val="minor"/>
      </rPr>
      <t>im NG</t>
    </r>
  </si>
  <si>
    <t>2783 2787 / 9662 5692</t>
    <phoneticPr fontId="11" type="noConversion"/>
  </si>
  <si>
    <t>Email : tim.ng@lukfook.com</t>
    <phoneticPr fontId="11" type="noConversion"/>
  </si>
  <si>
    <t xml:space="preserve">
Link email : alicloudga@jw28.com</t>
  </si>
  <si>
    <t>Address: 27/F, Metropole Square, 2 On Yiu Street, Shatin, NT</t>
    <phoneticPr fontId="11" type="noConversion"/>
  </si>
  <si>
    <t>CL547225</t>
    <phoneticPr fontId="11" type="noConversion"/>
  </si>
  <si>
    <t>rn 834282/1-2</t>
    <phoneticPr fontId="11" type="noConversion"/>
  </si>
  <si>
    <r>
      <t xml:space="preserve">Address: 27/F, Metropole Square, 2 On Yiu Street, Shatin, NT
Email : tim.ng@lukfook.com
</t>
    </r>
    <r>
      <rPr>
        <sz val="11"/>
        <color rgb="FFFF0000"/>
        <rFont val="Aptos Narrow"/>
        <family val="1"/>
        <charset val="136"/>
        <scheme val="minor"/>
      </rPr>
      <t xml:space="preserve">Remark: with Bdata b2b PS but still need to inform sales  to ceate 2nd order 
</t>
    </r>
    <r>
      <rPr>
        <sz val="11"/>
        <rFont val="Aptos Narrow"/>
        <family val="1"/>
        <charset val="136"/>
        <scheme val="minor"/>
      </rPr>
      <t xml:space="preserve">[15-Apr-2021] Cus linked acc under HKT. Informed sales to issue PS order. Pending for order no. to close case. </t>
    </r>
    <r>
      <rPr>
        <sz val="11"/>
        <color rgb="FFFF0000"/>
        <rFont val="Aptos Narrow"/>
        <family val="1"/>
        <charset val="136"/>
        <scheme val="minor"/>
      </rPr>
      <t xml:space="preserve">
</t>
    </r>
    <r>
      <rPr>
        <sz val="11"/>
        <rFont val="Aptos Narrow"/>
        <family val="1"/>
        <charset val="136"/>
        <scheme val="minor"/>
      </rPr>
      <t>[16-Apr-2021] Order issued. Pending for order to reflect in CxS to close case and inform order team &amp; sales for 2nd order creation. 
[19-Apr-2021] Completed order in CxS with completion date on 15-Apr-2021.</t>
    </r>
  </si>
  <si>
    <t>Cancelled</t>
  </si>
  <si>
    <t>Tim NG</t>
  </si>
  <si>
    <t>NA</t>
  </si>
  <si>
    <t>Remark: PS job only. (refer to CL547225
[15-Apr-2021] Inform sales to issue 2nd PS job order. Pending for order no. 
[22-Jun-2021] email to sales Sammi for status ( thomas said not involved johnny's team lastly )
[22-Jun-2021] Thomas informed me that the PS job was handled by sercurity team finally instead. No PS job for our side. case cxl</t>
  </si>
  <si>
    <t>444977/1-2</t>
    <phoneticPr fontId="11" type="noConversion"/>
  </si>
  <si>
    <t>Remark:  PS job order only (Load Test $6,480). [ refer to CL548769] 
[27-Apr-2021] Informed by Thomas there is two PS jobs in total and one PS order is missing. PS job ( Load test UAT ) completed and UAT rec'd on 14-Apr-2021 together with 2nd PS job. Pending for order team to issue PS order in CxS and order can be completed once issue
[29-Apr-2021] Orderissued &amp; pending for order to reflect in system
[12-Jul-2021] Completed order in System with completion &amp;  SRD on 3-May-2021 ( actually completion date on 14-Apr-2021)</t>
  </si>
  <si>
    <t>NA</t>
    <phoneticPr fontId="11" type="noConversion"/>
  </si>
  <si>
    <t>Alibaba UID: 460182270398259
Link email : hktali.taskforce@hkt-cloud.com</t>
    <phoneticPr fontId="11" type="noConversion"/>
  </si>
  <si>
    <t>[28-Apr-2021] Migration request from Zens to B-Data  by Thomas ( For Internal use No order record )
[17-Jul-2021] Checked migration completed on 2-Jun-2021</t>
  </si>
  <si>
    <t>New Install</t>
  </si>
  <si>
    <t>Jack</t>
  </si>
  <si>
    <t>Jack.xiong@bacn.com.cn</t>
  </si>
  <si>
    <t>5333230838981772</t>
  </si>
  <si>
    <t>Alibaba UID : 5333230838981772
Root Email : hk.infra.support@win-hanverky.com.hk</t>
    <phoneticPr fontId="11" type="noConversion"/>
  </si>
  <si>
    <t>6/F, BLK B, HK Spinners Ind Building, Phase 6,481-483 Castle Peak Road, Cheung Sha Wan, KLN</t>
  </si>
  <si>
    <t>CL541610</t>
  </si>
  <si>
    <t>RN 825521/1-2</t>
  </si>
  <si>
    <t>UE24-00004918\1(OM)</t>
  </si>
  <si>
    <t>SD11702886</t>
    <phoneticPr fontId="11" type="noConversion"/>
  </si>
  <si>
    <t>[19-Nov-2024] Receive Order, CxS Complete  Date : 18-Nov-2024. Create CL only, No need create Alibaba Account. [Kilson]</t>
    <phoneticPr fontId="11" type="noConversion"/>
  </si>
  <si>
    <t>No</t>
  </si>
  <si>
    <t>Kilson</t>
  </si>
  <si>
    <t>http://10.10.10.209/OASIS_FILE_MANAGER/zip_files_download.php?qid=1327428&amp;serialno=UE24-00004918&amp;itemno=1&amp;token=3fe28986e3408121df10cdcd105d2535</t>
  </si>
  <si>
    <t>Victor Lee</t>
    <phoneticPr fontId="11" type="noConversion"/>
  </si>
  <si>
    <t>T: +852 2883 0323</t>
    <phoneticPr fontId="11" type="noConversion"/>
  </si>
  <si>
    <t>Victor.PW.Lee@pccw.com</t>
    <phoneticPr fontId="11" type="noConversion"/>
  </si>
  <si>
    <t>635921559641</t>
  </si>
  <si>
    <t>gustolab</t>
  </si>
  <si>
    <t>635921559641
Root Email : john.wong@thisisgusto.com</t>
  </si>
  <si>
    <t xml:space="preserve">Victor Lee
T: +852 2883 0323
E: Victor.PW.Lee@pccw.com
[28-Apr-2021] Migration request from eCloudvalley  to ingram  by Thomas
[29-Apr-2021] Thomas updated that cus has accepted the invitation but checked that still can't find the cus in cloud checkr
[18-May-2021] billing acc created. </t>
    <phoneticPr fontId="11" type="noConversion"/>
  </si>
  <si>
    <r>
      <t xml:space="preserve">CHOW TAI FOOK JEWELLERY CO LTD </t>
    </r>
    <r>
      <rPr>
        <sz val="11"/>
        <color rgb="FFFF0000"/>
        <rFont val="Aptos Narrow"/>
        <family val="2"/>
        <scheme val="minor"/>
      </rPr>
      <t>(vcchoi)</t>
    </r>
  </si>
  <si>
    <t xml:space="preserve">Managed Service only </t>
  </si>
  <si>
    <t>CL556466</t>
    <phoneticPr fontId="11" type="noConversion"/>
  </si>
  <si>
    <t>831955/1-2</t>
    <phoneticPr fontId="11" type="noConversion"/>
  </si>
  <si>
    <t>100580</t>
    <phoneticPr fontId="11" type="noConversion"/>
  </si>
  <si>
    <t>Remark: MS job only for AWS ID 757895108869
[10-May-2021] Passed case to T3 support team for MS onboardnig
[9-Sep-2021] Completed order in CxS with SRD on 11-May-2021</t>
    <phoneticPr fontId="11" type="noConversion"/>
  </si>
  <si>
    <t>benky chiu</t>
    <phoneticPr fontId="11" type="noConversion"/>
  </si>
  <si>
    <t>36691865 / 9125 8138</t>
    <phoneticPr fontId="11" type="noConversion"/>
  </si>
  <si>
    <t>Benkychiu@tps.cntaiping.com</t>
    <phoneticPr fontId="11" type="noConversion"/>
  </si>
  <si>
    <t xml:space="preserve">
Alibaba Cloud root login email address : ishelpdesk@tps.cntaiping.com</t>
  </si>
  <si>
    <t>CL541747</t>
    <phoneticPr fontId="11" type="noConversion"/>
  </si>
  <si>
    <t>040360/1-2</t>
  </si>
  <si>
    <t>102584</t>
  </si>
  <si>
    <r>
      <t xml:space="preserve">Contact email :  Benkychiu@tps.cntaiping.com
[18-May-2021] Submit migration request to Bdata. Pending for reply ( ~2 weeks )
[26-May-2021] Email to support for status update
[1-Jun-2021] email to support for status update again. 
[2-Jun-2021] Grouping under HKT completed. completed order in </t>
    </r>
    <r>
      <rPr>
        <sz val="11"/>
        <rFont val="Aptos Narrow"/>
        <family val="1"/>
        <charset val="136"/>
        <scheme val="minor"/>
      </rPr>
      <t>CxS. Welcome letter sent</t>
    </r>
  </si>
  <si>
    <t>Calven Wong</t>
  </si>
  <si>
    <t>2888 7333</t>
    <phoneticPr fontId="11" type="noConversion"/>
  </si>
  <si>
    <t>521618880771</t>
  </si>
  <si>
    <t>calven.ch.wong</t>
  </si>
  <si>
    <t>AWS ID: 521618880771
Root Login: calven.ch.wong@pccw.com</t>
  </si>
  <si>
    <t>Address: BPF 13</t>
    <phoneticPr fontId="11" type="noConversion"/>
  </si>
  <si>
    <r>
      <t>Remark : For HKT internal use. 
Address: BPF 13
[17-May-2021] Submit request to ingram and pending for linkage
[18-May-2021] Invitation sent.
[22-May-2021]Checked acc joined on 21-May-2021.  Billing acc created on 22-May-2021. No welcome letter
[15-Jun-2021] Thomas informed that the company named is changed to</t>
    </r>
    <r>
      <rPr>
        <b/>
        <sz val="11"/>
        <rFont val="Aptos Narrow"/>
        <family val="1"/>
        <charset val="136"/>
        <scheme val="minor"/>
      </rPr>
      <t xml:space="preserve"> HKT Teleservice International Ltd (Prod)</t>
    </r>
  </si>
  <si>
    <t>Ken Kwok</t>
  </si>
  <si>
    <t>2888 5404</t>
    <phoneticPr fontId="11" type="noConversion"/>
  </si>
  <si>
    <t>851055693828</t>
  </si>
  <si>
    <t>KenKwok</t>
  </si>
  <si>
    <t>AWS ID: 851055693828
Root Login: ken.cf.kwok@pccw.com</t>
    <phoneticPr fontId="11" type="noConversion"/>
  </si>
  <si>
    <t xml:space="preserve">Address: BPF 13
[17-May-2021] Submit request to ingram and pending for linkage
[24-May-2021] still pending for usage to create billing portal . 
[15-Jun-2021] Thomas informed that the company named should be  HKT Teleservice International Ltd 
[27-Jul-2021] checked acc joined on 24-Jul-2021. Billing acc created on 27-Jul-2021. No Welcome letter.
</t>
    <phoneticPr fontId="11" type="noConversion"/>
  </si>
  <si>
    <t>Angus Lau/ Kelvin Ng</t>
    <phoneticPr fontId="11" type="noConversion"/>
  </si>
  <si>
    <t>3972 0701 / 3972 0780
6083 0014 / 6977 1055</t>
    <phoneticPr fontId="11" type="noConversion"/>
  </si>
  <si>
    <t>kelvinng@heungkongfinnancial.com / auguslau@heungkongfinancial.com</t>
    <phoneticPr fontId="11" type="noConversion"/>
  </si>
  <si>
    <t xml:space="preserve">
Link email : 1690stock_app@heungkongfinancial.com</t>
  </si>
  <si>
    <t>CL553989</t>
    <phoneticPr fontId="11" type="noConversion"/>
  </si>
  <si>
    <t>341916/1-2</t>
    <phoneticPr fontId="11" type="noConversion"/>
  </si>
  <si>
    <t>102588</t>
    <phoneticPr fontId="11" type="noConversion"/>
  </si>
  <si>
    <r>
      <rPr>
        <b/>
        <sz val="11"/>
        <color theme="1"/>
        <rFont val="Aptos Narrow"/>
        <family val="1"/>
        <charset val="136"/>
        <scheme val="minor"/>
      </rPr>
      <t>Contact : kelvinng@heungkongfinnancial.com / auguslau@heungkongfinancial.com</t>
    </r>
    <r>
      <rPr>
        <sz val="11"/>
        <color theme="1"/>
        <rFont val="Aptos Narrow"/>
        <family val="1"/>
        <charset val="136"/>
        <scheme val="minor"/>
      </rPr>
      <t xml:space="preserve">
[22-May-2021] Submit migration request to Bdata. Pending for reply ( ~2 weeks )
[1-Jun-2021] email to support for status update.
[15-Jun-2021] Seems the target consumption does not meet the basic requirement. May have to withdraw the order
</t>
    </r>
    <r>
      <rPr>
        <sz val="11"/>
        <color rgb="FFFF0000"/>
        <rFont val="Aptos Narrow"/>
        <family val="1"/>
        <charset val="136"/>
        <scheme val="minor"/>
      </rPr>
      <t xml:space="preserve">[12-Nov-2021] Sent email to Krad for status update and confirm. </t>
    </r>
    <r>
      <rPr>
        <sz val="11"/>
        <color theme="1"/>
        <rFont val="Aptos Narrow"/>
        <family val="1"/>
        <charset val="136"/>
        <scheme val="minor"/>
      </rPr>
      <t xml:space="preserve">
[11-Jan-2024] Order Cancelled</t>
    </r>
  </si>
  <si>
    <t>wai chung</t>
    <phoneticPr fontId="11" type="noConversion"/>
  </si>
  <si>
    <t>2610 8769 / 90323685</t>
    <phoneticPr fontId="11" type="noConversion"/>
  </si>
  <si>
    <t>cus email:waichung@chowtaifook.com</t>
    <phoneticPr fontId="11" type="noConversion"/>
  </si>
  <si>
    <t xml:space="preserve">
Acc name : HKT Chow Tai Fook Jewellery Co Ltd 
805193327859 ( create by KCY for gravity project but tony said cus will create their own. Can this AWS ID be ignore / delete? )
root email :  ctfhkt@hkt-cloud.com
PW:  Ctfhkt_cus006
</t>
  </si>
  <si>
    <t>CL557522</t>
    <phoneticPr fontId="11" type="noConversion"/>
  </si>
  <si>
    <t>669199/1-2</t>
    <phoneticPr fontId="11" type="noConversion"/>
  </si>
  <si>
    <t>102954</t>
    <phoneticPr fontId="11" type="noConversion"/>
  </si>
  <si>
    <t xml:space="preserve">Remark: PS job ( $ 47,520 ) only Gravity Deployment UAT + production  (cus email:waichung@chowtaifook.com)
[31-May-2021] Passed case to johnny's team and  T3 support team 
submit request to ingram. Pending for linking
[31-May-2021] Tony Tso request withdraw linking request as cus will create their own AWS master acc and will then group the existing acc under their master acc instead of HKT. which mean this one is only PS job order. 
[9-Sep-2021] A CloudChekcr admin acc was created to T3 STanley for their MS role 
[15-Sep-2021] Lok updated that still pending for cus input to proceed the PS job. 
[19-Apr-2022] Thomas informed that the PS job has been completed. Asking Lok for the UAT. Completed CxS order with SRD on 19-Apr-2022. </t>
  </si>
  <si>
    <t>TBC</t>
    <phoneticPr fontId="11" type="noConversion"/>
  </si>
  <si>
    <t>Alibaba UID : 5460182270398259
Link email  : hktali.taskforce@hkt-cloud.com</t>
    <phoneticPr fontId="11" type="noConversion"/>
  </si>
  <si>
    <r>
      <t xml:space="preserve">[28-Apr-2021] Migration request from Zens to B-Data  by Thomas
</t>
    </r>
    <r>
      <rPr>
        <sz val="11"/>
        <color theme="1"/>
        <rFont val="Aptos Narrow"/>
        <family val="1"/>
        <charset val="136"/>
        <scheme val="minor"/>
      </rPr>
      <t>[2-Jun-2021] Migration done on 2-Jun-2021.</t>
    </r>
  </si>
  <si>
    <r>
      <t xml:space="preserve">Alibaba UID : 5913782617694384
Link email :  itsoc@macausjm-glp.com
</t>
    </r>
    <r>
      <rPr>
        <b/>
        <sz val="11"/>
        <color theme="1"/>
        <rFont val="Calibri"/>
        <family val="2"/>
      </rPr>
      <t>This customer UID is under "HKT-Macau/Bdata Main Account"</t>
    </r>
  </si>
  <si>
    <r>
      <t xml:space="preserve">Account creation not handled by SP team.
[28-Apr-2021] Migration request to Bdata on 28-Apr-2021 by thomas
[17-Jul-2021] Bdata updated that migration completed but </t>
    </r>
    <r>
      <rPr>
        <b/>
        <sz val="11"/>
        <color rgb="FFFF0000"/>
        <rFont val="Aptos Narrow"/>
        <family val="1"/>
        <charset val="136"/>
        <scheme val="minor"/>
      </rPr>
      <t>not reflected in portal</t>
    </r>
  </si>
  <si>
    <t xml:space="preserve">  Link email : hostmaster@naverhk.com          </t>
  </si>
  <si>
    <r>
      <t xml:space="preserve">CL542163 </t>
    </r>
    <r>
      <rPr>
        <sz val="11"/>
        <color theme="1"/>
        <rFont val="Aptos Narrow"/>
        <family val="1"/>
        <scheme val="minor"/>
      </rPr>
      <t>( one order for 2 UID )</t>
    </r>
  </si>
  <si>
    <r>
      <rPr>
        <b/>
        <sz val="11"/>
        <color rgb="FFFF0000"/>
        <rFont val="Aptos Narrow"/>
        <family val="1"/>
        <charset val="136"/>
        <scheme val="minor"/>
      </rPr>
      <t>Remark : One order no. for 2 x alibaba UID ( pls refer to CL542163 for another UID)</t>
    </r>
    <r>
      <rPr>
        <b/>
        <sz val="11"/>
        <rFont val="Aptos Narrow"/>
        <family val="1"/>
        <charset val="136"/>
        <scheme val="minor"/>
      </rPr>
      <t xml:space="preserve">
[28-Apr-2021] Migration request to Bdata on 28-Apr-2021 by thomas
[17-Jul-2021] Checked migration done by B-Data on 5-Jun-2021</t>
    </r>
  </si>
  <si>
    <t>Dennis</t>
    <phoneticPr fontId="11" type="noConversion"/>
  </si>
  <si>
    <t>21791531/93868536</t>
    <phoneticPr fontId="11" type="noConversion"/>
  </si>
  <si>
    <t>Cus email : dennis@dbpower.com.hk</t>
    <phoneticPr fontId="11" type="noConversion"/>
  </si>
  <si>
    <t xml:space="preserve">
Root Email: dennis@dbpower.com.hk
Sent to email: cfyeung@dbpower.com.hk</t>
  </si>
  <si>
    <t>Address: FT E 19/F EGL TOWER, 83 HUNG TO ROAD, KWUN TONG KOWLOON</t>
    <phoneticPr fontId="11" type="noConversion"/>
  </si>
  <si>
    <t>CL543001</t>
  </si>
  <si>
    <t>Rn879160/1-2</t>
    <phoneticPr fontId="11" type="noConversion"/>
  </si>
  <si>
    <t>102602</t>
  </si>
  <si>
    <t xml:space="preserve">Address: FT E 19/F EGL TOWER, 83 HUNG TO ROAD, KWUN TONG KOWLOON
Cus email : dennis@dbpower.com.hk
[22-Jun-2021] Pending sales to provide  for root email. Request sent to vendor
[28-Jun-2021] acc linked. Welcome letter sent. SRD 24-Jun-2021. Completed in SRS. </t>
    <phoneticPr fontId="11" type="noConversion"/>
  </si>
  <si>
    <r>
      <t xml:space="preserve">Azure domain: </t>
    </r>
    <r>
      <rPr>
        <sz val="11"/>
        <color rgb="FFFF0000"/>
        <rFont val="Aptos Narrow"/>
        <family val="1"/>
        <charset val="136"/>
        <scheme val="minor"/>
      </rPr>
      <t>haesl</t>
    </r>
    <r>
      <rPr>
        <sz val="11"/>
        <color theme="1"/>
        <rFont val="Aptos Narrow"/>
        <family val="2"/>
        <scheme val="minor"/>
      </rPr>
      <t xml:space="preserve">.onmicrosoft.com
</t>
    </r>
  </si>
  <si>
    <t>CL553471</t>
    <phoneticPr fontId="11" type="noConversion"/>
  </si>
  <si>
    <t>102604</t>
    <phoneticPr fontId="11" type="noConversion"/>
  </si>
  <si>
    <r>
      <t xml:space="preserve">[22-Jun-2021] Rec'd order. Account created(haesl2.onmicrosoft.com). Welcome Letter sent. 
[22-Jun-2021] Cus request to use their existing tenant haesl.onmicrosoft.com instead. Cus accept the relationship request. Revised welcome letter sent. suspended the service of haesl2.onmicrosoft.com
[22-Jun-2021] </t>
    </r>
    <r>
      <rPr>
        <sz val="11"/>
        <color rgb="FFFF0000"/>
        <rFont val="Aptos Narrow"/>
        <family val="1"/>
        <charset val="136"/>
        <scheme val="minor"/>
      </rPr>
      <t xml:space="preserve">Pending for Order team to amend SRD for case completion in system </t>
    </r>
    <r>
      <rPr>
        <sz val="11"/>
        <color theme="1"/>
        <rFont val="Aptos Narrow"/>
        <family val="2"/>
        <scheme val="minor"/>
      </rPr>
      <t xml:space="preserve">
[28-Jun-2021] Completed in CxS with completion date on 22-Jun. </t>
    </r>
  </si>
  <si>
    <t>Pasquale KWAN</t>
  </si>
  <si>
    <t>29962658 / 98519151</t>
  </si>
  <si>
    <t>Cus email : pasquale.kwan@shkcredit.com.hk</t>
    <phoneticPr fontId="11" type="noConversion"/>
  </si>
  <si>
    <t>Tenant ID: HE00344011.onmicrosoft.com
Admin login; admin@HE00344011.onmicrosoft.com</t>
    <phoneticPr fontId="11" type="noConversion"/>
  </si>
  <si>
    <t>CL541245</t>
  </si>
  <si>
    <t>48024</t>
    <phoneticPr fontId="11" type="noConversion"/>
  </si>
  <si>
    <r>
      <rPr>
        <b/>
        <sz val="11"/>
        <color rgb="FF000000"/>
        <rFont val="Aptos Narrow"/>
        <family val="2"/>
        <scheme val="minor"/>
      </rPr>
      <t xml:space="preserve">PS job : VDI project ( handle by Lok Wong)
Remark: Shared tenant with O365 HE00344011.onmicrosoft.com
Cus email : pasquale.kwan@shkcredit.com.hk
</t>
    </r>
    <r>
      <rPr>
        <sz val="11"/>
        <color rgb="FF000000"/>
        <rFont val="Aptos Narrow"/>
        <family val="2"/>
        <scheme val="minor"/>
      </rPr>
      <t xml:space="preserve">[12-Jul-2021] Passed order to  PS team . </t>
    </r>
    <r>
      <rPr>
        <sz val="11"/>
        <color rgb="FFFF0000"/>
        <rFont val="Aptos Narrow"/>
        <family val="2"/>
        <scheme val="minor"/>
      </rPr>
      <t xml:space="preserve">Welcome Letter sent. Pending for order reflect in CxS and UAT for case completion 
</t>
    </r>
    <r>
      <rPr>
        <sz val="11"/>
        <color rgb="FF000000"/>
        <rFont val="Aptos Narrow"/>
        <family val="2"/>
        <scheme val="minor"/>
      </rPr>
      <t>[8-Sep-2021] Sent to Lok for status update.</t>
    </r>
    <r>
      <rPr>
        <sz val="11"/>
        <color rgb="FFFF0000"/>
        <rFont val="Aptos Narrow"/>
        <family val="2"/>
        <scheme val="minor"/>
      </rPr>
      <t xml:space="preserve"> Pending for cus signed off 
[12-Nov-2021] Sent to Lok for status update. Lok updated that still waiting for cus signed off 
</t>
    </r>
    <r>
      <rPr>
        <sz val="11"/>
        <color rgb="FF000000"/>
        <rFont val="Aptos Narrow"/>
        <family val="2"/>
        <scheme val="minor"/>
      </rPr>
      <t>[18-Dec-2023] Confirm by Lok. Completed order in CxS</t>
    </r>
  </si>
  <si>
    <t>Roger Lau</t>
  </si>
  <si>
    <t>2587 0776</t>
    <phoneticPr fontId="11" type="noConversion"/>
  </si>
  <si>
    <t>Cus email : roger.lau@viu.tv</t>
    <phoneticPr fontId="11" type="noConversion"/>
  </si>
  <si>
    <t>430122988663</t>
  </si>
  <si>
    <t xml:space="preserve">
Account: hkt-viutv001@hkt-cloud.com</t>
  </si>
  <si>
    <t>CL548718</t>
  </si>
  <si>
    <t>903907/1-2</t>
  </si>
  <si>
    <r>
      <rPr>
        <b/>
        <sz val="11"/>
        <color theme="1"/>
        <rFont val="Aptos Narrow"/>
        <family val="1"/>
        <charset val="136"/>
        <scheme val="minor"/>
      </rPr>
      <t>Cus email : roger.lau@viu.tv</t>
    </r>
    <r>
      <rPr>
        <sz val="11"/>
        <color theme="1"/>
        <rFont val="Aptos Narrow"/>
        <family val="2"/>
        <scheme val="minor"/>
      </rPr>
      <t xml:space="preserve">
</t>
    </r>
    <r>
      <rPr>
        <sz val="11"/>
        <color rgb="FFFF0000"/>
        <rFont val="Aptos Narrow"/>
        <family val="1"/>
        <charset val="136"/>
        <scheme val="minor"/>
      </rPr>
      <t>Remark : This is the HKT AWS EDP account and is handled directly by Cloud Product Team. No action by SP team Please contact Thomas Kwan (x30930) or Stanley Tang (x38247) for any issues.</t>
    </r>
    <r>
      <rPr>
        <sz val="11"/>
        <color theme="1"/>
        <rFont val="Aptos Narrow"/>
        <family val="2"/>
        <scheme val="minor"/>
      </rPr>
      <t xml:space="preserve">
[13-Jul-2021] Pending for service no &amp; tenant. Will be handle by product team drectly</t>
    </r>
    <r>
      <rPr>
        <sz val="11"/>
        <color theme="1"/>
        <rFont val="Aptos Narrow"/>
        <family val="1"/>
        <charset val="136"/>
        <scheme val="minor"/>
      </rPr>
      <t xml:space="preserve">
[19-Jul-2021] Thomas confrimed order completed. Completed in CxS with SRD date on 16-Jul-2021</t>
    </r>
  </si>
  <si>
    <t>Daniel Li</t>
  </si>
  <si>
    <t>28832833 / 91203157</t>
    <phoneticPr fontId="11" type="noConversion"/>
  </si>
  <si>
    <t>Customer email:  daniel.wm.li@pccw.com</t>
    <phoneticPr fontId="11" type="noConversion"/>
  </si>
  <si>
    <t>380208573250</t>
  </si>
  <si>
    <t>AWS ID: 380208573250</t>
  </si>
  <si>
    <t>CL548766</t>
  </si>
  <si>
    <t>552486/1-2</t>
  </si>
  <si>
    <r>
      <rPr>
        <b/>
        <sz val="11"/>
        <color theme="1"/>
        <rFont val="Aptos Narrow"/>
        <family val="1"/>
        <charset val="136"/>
        <scheme val="minor"/>
      </rPr>
      <t>Customer email:  daniel.wm.li@pccw.com</t>
    </r>
    <r>
      <rPr>
        <sz val="11"/>
        <color theme="1"/>
        <rFont val="Aptos Narrow"/>
        <family val="2"/>
        <scheme val="minor"/>
      </rPr>
      <t xml:space="preserve">
</t>
    </r>
    <r>
      <rPr>
        <sz val="11"/>
        <color rgb="FFFF0000"/>
        <rFont val="Aptos Narrow"/>
        <family val="1"/>
        <charset val="136"/>
        <scheme val="minor"/>
      </rPr>
      <t>Remark : This is the HKT AWS EDP account and is handled directly by Cloud Product Team. No action by SP team. Please contact</t>
    </r>
    <r>
      <rPr>
        <sz val="11"/>
        <color theme="1"/>
        <rFont val="Aptos Narrow"/>
        <family val="2"/>
        <scheme val="minor"/>
      </rPr>
      <t xml:space="preserve"> </t>
    </r>
    <r>
      <rPr>
        <sz val="11"/>
        <color rgb="FFFF0000"/>
        <rFont val="Aptos Narrow"/>
        <family val="1"/>
        <charset val="136"/>
        <scheme val="minor"/>
      </rPr>
      <t xml:space="preserve">Thomas Kwan (x30930) or Stanley Tang (x38247) for any issues.
</t>
    </r>
    <r>
      <rPr>
        <sz val="11"/>
        <color theme="1"/>
        <rFont val="Aptos Narrow"/>
        <family val="1"/>
        <charset val="136"/>
        <scheme val="minor"/>
      </rPr>
      <t>[13-Jul-2021] Pending for service no &amp; tenant. Will be handle by product team drectly
[19-Jul-2021] Thomas confrimed order completed. Completed in CxS with SRD date on 16-Jul-2021</t>
    </r>
  </si>
  <si>
    <t>Sunny Chan</t>
    <phoneticPr fontId="11" type="noConversion"/>
  </si>
  <si>
    <t>Email : _x0002__x0003__x0003_sunnysychan@phillip.com.hk_x000E_</t>
    <phoneticPr fontId="11" type="noConversion"/>
  </si>
  <si>
    <r>
      <rPr>
        <strike/>
        <sz val="11"/>
        <color theme="1"/>
        <rFont val="Aptos Narrow"/>
        <family val="1"/>
        <charset val="136"/>
        <scheme val="minor"/>
      </rPr>
      <t>UID: 5640019423062990
root email : sunnysychan@phillip.com.hk</t>
    </r>
    <r>
      <rPr>
        <sz val="11"/>
        <color theme="1"/>
        <rFont val="Aptos Narrow"/>
        <family val="2"/>
        <scheme val="minor"/>
      </rPr>
      <t>_x000E_
UID : 5335926315358570
Email : alicloud@cyberquote.com.hk</t>
    </r>
  </si>
  <si>
    <t>CL540358</t>
    <phoneticPr fontId="11" type="noConversion"/>
  </si>
  <si>
    <t>821524/1-2</t>
  </si>
  <si>
    <t xml:space="preserve">102686 </t>
  </si>
  <si>
    <t>Email : _x0002__x0003__x0003_sunnysychan@phillip.com.hk_x000E_
[14-Jul-2021] request sent to bdata. Pending for linkage.  Confrirmed with AM Rosanna that cus would like to create a new UID instead of using existing UID as the old UID is using his personal email 
[22-Jul-2021] Cus &amp; salesRosanna didn't reply the email. Ali support closed the case. Sent email to cus reminded that there may have problem in using the service w/o bind to mobile. Case temp closed. 
[12-Nov-2021] Completed case with completion date on 15-Jul-2021</t>
  </si>
  <si>
    <t>N/A</t>
  </si>
  <si>
    <t>Sam So</t>
    <phoneticPr fontId="11" type="noConversion"/>
  </si>
  <si>
    <t>25011085 / 91303670</t>
    <phoneticPr fontId="11" type="noConversion"/>
  </si>
  <si>
    <t>Alibaba UID : 5018389255684101</t>
  </si>
  <si>
    <t xml:space="preserve">
emial: it@ssif.com.hk</t>
  </si>
  <si>
    <t>Remark: sam.so@ssif.com.hk</t>
    <phoneticPr fontId="11" type="noConversion"/>
  </si>
  <si>
    <t>CL553485</t>
    <phoneticPr fontId="11" type="noConversion"/>
  </si>
  <si>
    <t>282594/1-2</t>
    <phoneticPr fontId="11" type="noConversion"/>
  </si>
  <si>
    <t>102969</t>
    <phoneticPr fontId="11" type="noConversion"/>
  </si>
  <si>
    <t>Remark: sam.so@ssif.com.hk
[21-Jul-21] Submitted request to Bdata
[31-aug-2021] Sales Wyman chase for the statsus. BdataKitty replied will push the support 
[15-Sep-2021] Just checked the acc is migrated on 14-Sep-2021. welcome letter sent. Completed order in Cxs with SRD on 14-Sep-2021</t>
  </si>
  <si>
    <t>Galen Kong</t>
    <phoneticPr fontId="11" type="noConversion"/>
  </si>
  <si>
    <t>28331193 / 60559597</t>
    <phoneticPr fontId="11" type="noConversion"/>
  </si>
  <si>
    <t>Domain :  ricohapdc.onmicrosoft.com</t>
    <phoneticPr fontId="11" type="noConversion"/>
  </si>
  <si>
    <t>CL552706</t>
  </si>
  <si>
    <t>102694</t>
  </si>
  <si>
    <t xml:space="preserve">Cus email : galen.kong@rapo.com.hk
[ 22-Jul-2021] Pending for PS team Stanley to confirm the Azure Plan type for Peter to verify the migration approach. 
[23-Jul-2021] Pending for cus current partner HKBN to sign back the transfer form 
[3-Aug-2021] HKBN signed the form and pending for HKT peter for signature
[4-Aug-2021] Peter signed &amp; passed the form to cutsomer for their current partner to create ticket to MS 
[11-Aug-2021] CSP migration completed. Pending for T3 support team to perfom PS job. 
[13-Aug-2021] T3 support Elvis conifrmed that there is no PS job but MS only which will start on 23-Aug only. Completed in CxS with SRD on 6-Aug-2021. </t>
  </si>
  <si>
    <t xml:space="preserve">Samuel Chan </t>
    <phoneticPr fontId="11" type="noConversion"/>
  </si>
  <si>
    <t>Cus email : galen.kong@rapo.com.hk</t>
    <phoneticPr fontId="11" type="noConversion"/>
  </si>
  <si>
    <r>
      <rPr>
        <b/>
        <sz val="11"/>
        <color rgb="FFFF0000"/>
        <rFont val="Aptos Narrow"/>
        <family val="1"/>
        <charset val="136"/>
        <scheme val="minor"/>
      </rPr>
      <t>NEW</t>
    </r>
    <r>
      <rPr>
        <sz val="11"/>
        <color theme="1"/>
        <rFont val="Aptos Narrow"/>
        <family val="2"/>
        <scheme val="minor"/>
      </rPr>
      <t xml:space="preserve">
Domain : tasteofasiagroupltd.onmicrosoft.com</t>
    </r>
  </si>
  <si>
    <t>Adress: Flat D, 13/F, Luk Hop IND BLDG, 8 Luk Hop St, San Po Kong, KLN</t>
    <phoneticPr fontId="11" type="noConversion"/>
  </si>
  <si>
    <t>CL544893</t>
    <phoneticPr fontId="11" type="noConversion"/>
  </si>
  <si>
    <t>985227/1-2</t>
    <phoneticPr fontId="11" type="noConversion"/>
  </si>
  <si>
    <t>102727</t>
    <phoneticPr fontId="11" type="noConversion"/>
  </si>
  <si>
    <r>
      <t xml:space="preserve">Cus email : samuel.chan@tasteofasia.com.hk
Adress: Flat D, 13/F, Luk Hop IND BLDG, 8 Luk Hop St, San Po Kong, KLN
[9-Aug-2021] Tenant created and welcome letter sent. </t>
    </r>
    <r>
      <rPr>
        <b/>
        <sz val="11"/>
        <color theme="1"/>
        <rFont val="Aptos Narrow"/>
        <family val="1"/>
        <charset val="136"/>
        <scheme val="minor"/>
      </rPr>
      <t>Completed in CxS with SRD on 9-Aug-2021</t>
    </r>
    <r>
      <rPr>
        <sz val="11"/>
        <color theme="1"/>
        <rFont val="Aptos Narrow"/>
        <family val="2"/>
        <scheme val="minor"/>
      </rPr>
      <t xml:space="preserve">. Passed welcome letter to PS team for action. 
[8-Sep-2021] sent to Lok for status update
[9-Sep-2021] Lok replied there was no PS job. Passed order to MS team or T2 support
</t>
    </r>
    <r>
      <rPr>
        <b/>
        <sz val="11"/>
        <color rgb="FFFF0000"/>
        <rFont val="Aptos Narrow"/>
        <family val="1"/>
        <charset val="136"/>
        <scheme val="minor"/>
      </rPr>
      <t>Remark: Termination order (CxS 253610/1-2 )issued with SRD on 13-Jan-2022</t>
    </r>
  </si>
  <si>
    <t>T2</t>
    <phoneticPr fontId="11" type="noConversion"/>
  </si>
  <si>
    <t>753652787035</t>
  </si>
  <si>
    <t>( migarte in UAT)</t>
  </si>
  <si>
    <r>
      <rPr>
        <b/>
        <sz val="11"/>
        <color rgb="FF0070C0"/>
        <rFont val="Aptos Narrow"/>
        <family val="2"/>
        <scheme val="minor"/>
      </rPr>
      <t xml:space="preserve">
</t>
    </r>
    <r>
      <rPr>
        <sz val="11"/>
        <color rgb="FF000000"/>
        <rFont val="Aptos Narrow"/>
        <family val="2"/>
        <scheme val="minor"/>
      </rPr>
      <t>Linked email : aws_gravityuat@chowtaifook.com
CloudCheckr login ID : jackleung2@chowtaifook.com</t>
    </r>
  </si>
  <si>
    <t>CL542254</t>
  </si>
  <si>
    <t>310712/1-2</t>
    <phoneticPr fontId="11" type="noConversion"/>
  </si>
  <si>
    <t>Remark: under Master Acc / Payer Acc (AWS ID  726125834629 ) Gravity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t>
  </si>
  <si>
    <t>T3</t>
  </si>
  <si>
    <t>x</t>
    <phoneticPr fontId="11" type="noConversion"/>
  </si>
  <si>
    <t>313183573294</t>
  </si>
  <si>
    <r>
      <rPr>
        <b/>
        <sz val="11"/>
        <color rgb="FF0070C0"/>
        <rFont val="Aptos Narrow"/>
        <family val="2"/>
        <scheme val="minor"/>
      </rPr>
      <t xml:space="preserve">
</t>
    </r>
    <r>
      <rPr>
        <sz val="11"/>
        <color rgb="FF000000"/>
        <rFont val="Aptos Narrow"/>
        <family val="2"/>
        <scheme val="minor"/>
      </rPr>
      <t>Linked email : aws_archivelog@chowtaifook.com
CloudCheckr login ID : jackleung2@chowtaifook.com</t>
    </r>
  </si>
  <si>
    <t>CL542332</t>
    <phoneticPr fontId="11" type="noConversion"/>
  </si>
  <si>
    <t>310712/3-4</t>
  </si>
  <si>
    <t>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refer to CL557522</t>
  </si>
  <si>
    <t>726125834629</t>
  </si>
  <si>
    <t xml:space="preserve">Master acc/Payer acc
726125834629   (***belong to HKT not customer)
( remark: cus will create their own AWS master acc and will then group the existing acc under their master acc instead of HKT )  </t>
  </si>
  <si>
    <t>CL542489</t>
    <phoneticPr fontId="11" type="noConversion"/>
  </si>
  <si>
    <t>310712/5-6</t>
  </si>
  <si>
    <t xml:space="preserve"> Master Acc / Payer Acc (AWS ID  726125834629 )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
refer to CL557522</t>
  </si>
  <si>
    <r>
      <rPr>
        <b/>
        <sz val="11"/>
        <color rgb="FF0070C0"/>
        <rFont val="Aptos Narrow"/>
        <family val="2"/>
        <scheme val="minor"/>
      </rPr>
      <t xml:space="preserve">
</t>
    </r>
    <r>
      <rPr>
        <sz val="11"/>
        <color rgb="FF000000"/>
        <rFont val="Aptos Narrow"/>
        <family val="2"/>
        <scheme val="minor"/>
      </rPr>
      <t>Linked email: aws_atlog@chowtaifook.com
CloudCheckr login ID : jackleung2@chowtaifook.com</t>
    </r>
  </si>
  <si>
    <t>CL542707</t>
    <phoneticPr fontId="11" type="noConversion"/>
  </si>
  <si>
    <t>310712/7-8</t>
  </si>
  <si>
    <t>Remark: under Master Acc / Payer Acc (AWS ID  726125834629 )  Landing Zone Project UAT
[ 6-Aug-2021 ] Thomas provided AWD ID x 4 for record and pending for order issue ( ID group under CTF's master account
[10-Aug-2021] Migration by ingram completed. Pending for Lok to reply if PS need or not
[19-Aug-2021] Welcome letter sent
[31-Aug-2021] Advised by ASM SeiKei order is completed. Completed order in CxS with completion date on 1-Aug-2021</t>
  </si>
  <si>
    <t xml:space="preserve">Benny Fung </t>
    <phoneticPr fontId="11" type="noConversion"/>
  </si>
  <si>
    <t>Cus email " Bennyfung@pricerite.com.hk</t>
    <phoneticPr fontId="11" type="noConversion"/>
  </si>
  <si>
    <t>Alibaba UID: 5621709720635669</t>
  </si>
  <si>
    <t>CL542499</t>
    <phoneticPr fontId="11" type="noConversion"/>
  </si>
  <si>
    <t>416613/1-2</t>
    <phoneticPr fontId="11" type="noConversion"/>
  </si>
  <si>
    <t>102737</t>
    <phoneticPr fontId="11" type="noConversion"/>
  </si>
  <si>
    <t>Cus email " Bennyfung@pricerite.com.hk
[12-Aug-2021] Requset sent to Bdata 
[23-Aug-2021] Acc Migration completed. Case completed in CxS with SRD on 21-Aug-2021</t>
    <phoneticPr fontId="11" type="noConversion"/>
  </si>
  <si>
    <t xml:space="preserve">Stephen Ho </t>
    <phoneticPr fontId="11" type="noConversion"/>
  </si>
  <si>
    <t>Cus enail : stephen.ho@cfsg.com.hk</t>
    <phoneticPr fontId="11" type="noConversion"/>
  </si>
  <si>
    <t>Alibaba UID: 5951813071732990</t>
  </si>
  <si>
    <r>
      <rPr>
        <sz val="11"/>
        <color rgb="FF000000"/>
        <rFont val="Aptos Narrow"/>
        <family val="2"/>
        <scheme val="minor"/>
      </rPr>
      <t xml:space="preserve">
</t>
    </r>
    <r>
      <rPr>
        <b/>
        <sz val="11"/>
        <color rgb="FFFF0000"/>
        <rFont val="Aptos Narrow"/>
        <family val="2"/>
        <scheme val="minor"/>
      </rPr>
      <t>This one is a special case that customer is using a share pool. Please notice Bonnie if receive any alarm from this account</t>
    </r>
  </si>
  <si>
    <t>CL547671</t>
    <phoneticPr fontId="11" type="noConversion"/>
  </si>
  <si>
    <t>171903/1-2</t>
    <phoneticPr fontId="11" type="noConversion"/>
  </si>
  <si>
    <t>102736</t>
    <phoneticPr fontId="11" type="noConversion"/>
  </si>
  <si>
    <t>Cus enail : stephen.ho@cfsg.com.hk
[12-Aug-2021] pending for sales to reply UID 
[19-Aug-2021] sent email to sales for status again. Sent request to Bdata
[25-Aug-2021] migration completed on 24-Aug-2021. Completed order in CxS with SRD on 24-Aug-2021. WElcome letter sent</t>
    <phoneticPr fontId="11" type="noConversion"/>
  </si>
  <si>
    <t>Steven Chung</t>
    <phoneticPr fontId="11" type="noConversion"/>
  </si>
  <si>
    <t>25824579 / 67410995</t>
    <phoneticPr fontId="11" type="noConversion"/>
  </si>
  <si>
    <t>Cus email : ssfchung@ogcio.gov.hk</t>
    <phoneticPr fontId="11" type="noConversion"/>
  </si>
  <si>
    <t>Domain : ogciosmartlampost.onmicrosoft.com</t>
    <phoneticPr fontId="11" type="noConversion"/>
  </si>
  <si>
    <t>CL549500</t>
    <phoneticPr fontId="11" type="noConversion"/>
  </si>
  <si>
    <t>313182/1-2</t>
    <phoneticPr fontId="11" type="noConversion"/>
  </si>
  <si>
    <t>102742</t>
    <phoneticPr fontId="11" type="noConversion"/>
  </si>
  <si>
    <t>Backdate order with SRD on 21-Jun-2021 (Tenant ID: a049c7ae-112c-467b-bbb2-9b8367ab6ab6)
Cus email : ssfchung@ogcio.gov.hk
[19-Aug-21] Provisioning was done by product team. Completed CxS order with SRD on 21-Jun-2021.</t>
    <phoneticPr fontId="11" type="noConversion"/>
  </si>
  <si>
    <t xml:space="preserve">Wai Chung </t>
  </si>
  <si>
    <t>26108769 / 90323685</t>
    <phoneticPr fontId="11" type="noConversion"/>
  </si>
  <si>
    <t>867641674091</t>
  </si>
  <si>
    <r>
      <rPr>
        <b/>
        <sz val="11"/>
        <color rgb="FF0070C0"/>
        <rFont val="Aptos Narrow"/>
        <family val="2"/>
        <scheme val="minor"/>
      </rPr>
      <t xml:space="preserve">
</t>
    </r>
    <r>
      <rPr>
        <sz val="11"/>
        <color rgb="FF000000"/>
        <rFont val="Aptos Narrow"/>
        <family val="2"/>
        <scheme val="minor"/>
      </rPr>
      <t>Linked email : aws_gravitypro@chowtaifook.com
CloudCheckr login ID : jackleung2@chowtaifook.com</t>
    </r>
  </si>
  <si>
    <t>Addresss:25/F, World Peace Centre, 41-55 Wo Tong Tsui St, Kwai Chung</t>
    <phoneticPr fontId="11" type="noConversion"/>
  </si>
  <si>
    <t>CL540430</t>
  </si>
  <si>
    <t>325589/1-2</t>
    <phoneticPr fontId="11" type="noConversion"/>
  </si>
  <si>
    <t>102779</t>
  </si>
  <si>
    <t>UD24-00000835\1(OM)</t>
    <phoneticPr fontId="11" type="noConversion"/>
  </si>
  <si>
    <t xml:space="preserve">
Remark: under Master Acc / Payer Acc (AWS ID  726125834629 ) Gravity Project Production
Addresss:25/F, World Peace Centre, 41-55 Wo Tong Tsui St, Kwai Chung
[ 6-Aug-2021 ] Thomas checked that newly AWS ID was created and Lok replied two acc were created. Pending for new order for these two acc. Refer to CL557522 for PS +  T3 MS
[31-Aug-2021] Account added to cloudCheckr
[9-Sep-2021] Passed order to T3 MS for ref. completed order in CxS with SRD on 3-Sep-2021
refer to CL557522</t>
  </si>
  <si>
    <t>http://10.10.10.209/OASIS_FILE_MANAGER/zip_files_download.php?qid=1204809&amp;serialno=UD24-00000835&amp;itemno=1&amp;token=d2fcc63539ab421111515b95e3d48e8c</t>
    <phoneticPr fontId="11" type="noConversion"/>
  </si>
  <si>
    <t>791996056914</t>
  </si>
  <si>
    <r>
      <rPr>
        <b/>
        <sz val="11"/>
        <color rgb="FF0070C0"/>
        <rFont val="Aptos Narrow"/>
        <family val="2"/>
        <scheme val="minor"/>
      </rPr>
      <t xml:space="preserve">
</t>
    </r>
    <r>
      <rPr>
        <sz val="11"/>
        <color rgb="FF000000"/>
        <rFont val="Aptos Narrow"/>
        <family val="2"/>
        <scheme val="minor"/>
      </rPr>
      <t>Linked email : aws_vmsnapshot@chowtaifook.com
CloudCheckr login ID : jackleung2@chowtaifook.com</t>
    </r>
  </si>
  <si>
    <t>Address: 25/F, World Peace Centre, 41-55 Wo Tong Tsui St, Kwai Chung</t>
    <phoneticPr fontId="11" type="noConversion"/>
  </si>
  <si>
    <t>CL540801</t>
    <phoneticPr fontId="11" type="noConversion"/>
  </si>
  <si>
    <t>325589/3-4</t>
  </si>
  <si>
    <t>102778</t>
  </si>
  <si>
    <t xml:space="preserve">
Remark: under Master Acc / Payer Acc (AWS ID  726125834629 ) Landing Zone Project Production
Address: 25/F, World Peace Centre, 41-55 Wo Tong Tsui St, Kwai Chung
[ 6-Aug-2021 ] Thomas checked that newly AWS ID was created and Lok replied two acc were created. Pending for new order for these two acc. Refer to CL557522 for PS +  T3 MS
[31-Aug-2021] Submitted request to Ingram. Pending for cus accept 
[9-Sep-2021] Passed order to T3 MS team for ref.  completed order in CxS with SRD on 3-Sep-2021
refer to CL557522</t>
  </si>
  <si>
    <t>Mark Mak</t>
    <phoneticPr fontId="11" type="noConversion"/>
  </si>
  <si>
    <t>2883 4776 / 5188 0210</t>
    <phoneticPr fontId="11" type="noConversion"/>
  </si>
  <si>
    <t>UID : 5670430916413004</t>
  </si>
  <si>
    <t xml:space="preserve">
Associated Email: hktcloudems@pccw.com</t>
  </si>
  <si>
    <t>CL553232</t>
  </si>
  <si>
    <t>RN 070678/1-2</t>
    <phoneticPr fontId="11" type="noConversion"/>
  </si>
  <si>
    <t>102789</t>
    <phoneticPr fontId="11" type="noConversion"/>
  </si>
  <si>
    <r>
      <t>[6-Sep-2021] Account created by KC a</t>
    </r>
    <r>
      <rPr>
        <sz val="11"/>
        <rFont val="Aptos Narrow"/>
        <family val="1"/>
        <charset val="136"/>
        <scheme val="minor"/>
      </rPr>
      <t xml:space="preserve">nd pending for order to close case. </t>
    </r>
    <r>
      <rPr>
        <sz val="11"/>
        <color theme="1"/>
        <rFont val="Aptos Narrow"/>
        <family val="2"/>
        <scheme val="minor"/>
      </rPr>
      <t xml:space="preserve">
[8-Sep-2021] Order issued bu</t>
    </r>
    <r>
      <rPr>
        <sz val="11"/>
        <rFont val="Aptos Narrow"/>
        <family val="1"/>
        <charset val="136"/>
        <scheme val="minor"/>
      </rPr>
      <t xml:space="preserve">t pending for order to reflect in system
</t>
    </r>
    <r>
      <rPr>
        <sz val="11"/>
        <color theme="1"/>
        <rFont val="Aptos Narrow"/>
        <family val="2"/>
        <scheme val="minor"/>
      </rPr>
      <t>[9-Sep-2021] Completed order in CxS with</t>
    </r>
    <r>
      <rPr>
        <b/>
        <sz val="11"/>
        <rFont val="Aptos Narrow"/>
        <family val="1"/>
        <charset val="136"/>
        <scheme val="minor"/>
      </rPr>
      <t xml:space="preserve"> remark actual SRD on 6-Sep-2021</t>
    </r>
  </si>
  <si>
    <t>Daniel Ng /Andy Chan</t>
    <phoneticPr fontId="11" type="noConversion"/>
  </si>
  <si>
    <t>Cus email:info@wec.com.hk</t>
    <phoneticPr fontId="11" type="noConversion"/>
  </si>
  <si>
    <t>695383021145</t>
  </si>
  <si>
    <t xml:space="preserve">
Root ID: info@nuthon.com</t>
  </si>
  <si>
    <t>CL543182</t>
  </si>
  <si>
    <t>397267/1-2</t>
    <phoneticPr fontId="11" type="noConversion"/>
  </si>
  <si>
    <t>102780</t>
  </si>
  <si>
    <r>
      <t>Cus email:info@wec.com.hk
Techinical support :  info@nuthon.com
Address: 3/F, Causeway Corner, 18 Percival Street, Causeway Bay, HK
[7-Sep-2021] Submitted request to ingram.</t>
    </r>
    <r>
      <rPr>
        <sz val="11"/>
        <color rgb="FFFF0000"/>
        <rFont val="Aptos Narrow"/>
        <family val="1"/>
        <charset val="136"/>
        <scheme val="minor"/>
      </rPr>
      <t>Pending for cus to accept invitation</t>
    </r>
    <r>
      <rPr>
        <sz val="11"/>
        <color theme="1"/>
        <rFont val="Aptos Narrow"/>
        <family val="2"/>
        <scheme val="minor"/>
      </rPr>
      <t xml:space="preserve">
[15-Sep-2021] sent email to cus again for update
[12-Nov-2021] still no record in CloudCheckr</t>
    </r>
  </si>
  <si>
    <t xml:space="preserve">Andrew Poon </t>
    <phoneticPr fontId="11" type="noConversion"/>
  </si>
  <si>
    <r>
      <rPr>
        <b/>
        <u/>
        <sz val="11"/>
        <color rgb="FF000000"/>
        <rFont val="Calibri"/>
        <family val="2"/>
      </rPr>
      <t xml:space="preserve">
</t>
    </r>
    <r>
      <rPr>
        <sz val="11"/>
        <color rgb="FF000000"/>
        <rFont val="Calibri"/>
        <family val="2"/>
      </rPr>
      <t>Root logn: crhkt@hkt-cloud.com
AWS PW: Crhkt-cus007 ( MS team may change the PW  )</t>
    </r>
  </si>
  <si>
    <t>Address: 29/F, high block, Queensway Government Office,  66 Queensway, Admirlty</t>
    <phoneticPr fontId="11" type="noConversion"/>
  </si>
  <si>
    <t>andrewpoon@cr.gov.com (dmin )  /(technical ) itdadmin-psi@cr.gov.com</t>
    <phoneticPr fontId="11" type="noConversion"/>
  </si>
  <si>
    <t>CL557214</t>
    <phoneticPr fontId="11" type="noConversion"/>
  </si>
  <si>
    <t>799401/1-2</t>
  </si>
  <si>
    <t>102799</t>
    <phoneticPr fontId="11" type="noConversion"/>
  </si>
  <si>
    <r>
      <t xml:space="preserve">andrewpoon@cr.gov.com (dmin )  /(technical ) itdadmin-psi@cr.gov.com
Address: 29/F, high block, Queensway Government Office,  66 Queensway, Admirlty
[9-Sep-2021] Account created &amp; accepted invitation. Passed to T2 support team for MS onboarding with Biznetvigator logn &amp; AWD login. Completed order in System. </t>
    </r>
    <r>
      <rPr>
        <sz val="11"/>
        <color rgb="FFFF0000"/>
        <rFont val="Aptos Narrow"/>
        <family val="1"/>
        <charset val="136"/>
        <scheme val="minor"/>
      </rPr>
      <t>Pending for usage to create acc in cloud checkr</t>
    </r>
    <r>
      <rPr>
        <sz val="11"/>
        <color theme="1"/>
        <rFont val="Aptos Narrow"/>
        <family val="2"/>
        <scheme val="minor"/>
      </rPr>
      <t xml:space="preserve">
[13-Sep-2021] acc created in CloudCheck. welcome letter sent</t>
    </r>
  </si>
  <si>
    <t>Yvonne Tsang</t>
    <phoneticPr fontId="11" type="noConversion"/>
  </si>
  <si>
    <t xml:space="preserve">Tenant ID : admin@HE00102841.onmicrosoft.com ( create by O365 order team ) </t>
    <phoneticPr fontId="11" type="noConversion"/>
  </si>
  <si>
    <t>CL557795</t>
  </si>
  <si>
    <t>381303/1-2</t>
  </si>
  <si>
    <t>102823</t>
  </si>
  <si>
    <t>[14-Sep-2021] Add subscription and welcome letter sent . Completed order in Cxs with SRD oin 14-Sep-2021</t>
    <phoneticPr fontId="11" type="noConversion"/>
  </si>
  <si>
    <t>Ryan Ng</t>
    <phoneticPr fontId="11" type="noConversion"/>
  </si>
  <si>
    <t>Cus email : ryanng@winbull.vip</t>
    <phoneticPr fontId="11" type="noConversion"/>
  </si>
  <si>
    <t>Alibaba UID : 5645831604274110</t>
  </si>
  <si>
    <t xml:space="preserve">
emial: ryanng@winbull.vip</t>
  </si>
  <si>
    <t>Address: Room 1204B,  12/F, TOWER TWO LIPPO CTR ADMIRALTY HK</t>
    <phoneticPr fontId="11" type="noConversion"/>
  </si>
  <si>
    <t>CL557807</t>
    <phoneticPr fontId="11" type="noConversion"/>
  </si>
  <si>
    <t>425489/1-2</t>
  </si>
  <si>
    <t>102822</t>
    <phoneticPr fontId="11" type="noConversion"/>
  </si>
  <si>
    <t>Cus email : ryanng@winbull.vip
Address: Room 1204B,  12/F, TOWER TWO LIPPO CTR ADMIRALTY HK
[14-Sep-2021] Invitation sent. Cus created the acc . Welcom letter sent. Completed order in CxS with SRD on 14-Sep-2021</t>
    <phoneticPr fontId="11" type="noConversion"/>
  </si>
  <si>
    <t>694031834333
985365434826
373851634295</t>
  </si>
  <si>
    <r>
      <rPr>
        <b/>
        <sz val="11"/>
        <color rgb="FF0070C0"/>
        <rFont val="Calibri"/>
        <family val="2"/>
      </rPr>
      <t xml:space="preserve">
</t>
    </r>
    <r>
      <rPr>
        <sz val="11"/>
        <color rgb="FF000000"/>
        <rFont val="Calibri"/>
        <family val="2"/>
      </rPr>
      <t xml:space="preserve">Root : aws_sseuat@chowtaifook.com
</t>
    </r>
    <r>
      <rPr>
        <b/>
        <sz val="11"/>
        <color rgb="FF000000"/>
        <rFont val="Calibri"/>
        <family val="2"/>
      </rPr>
      <t xml:space="preserve">
</t>
    </r>
    <r>
      <rPr>
        <sz val="11"/>
        <color rgb="FF000000"/>
        <rFont val="Calibri"/>
        <family val="2"/>
      </rPr>
      <t xml:space="preserve">Root : aws_sse@chowtaifook.com
</t>
    </r>
    <r>
      <rPr>
        <b/>
        <sz val="11"/>
        <color rgb="FF000000"/>
        <rFont val="Calibri"/>
        <family val="2"/>
      </rPr>
      <t xml:space="preserve">
</t>
    </r>
    <r>
      <rPr>
        <sz val="11"/>
        <color rgb="FF000000"/>
        <rFont val="Calibri"/>
        <family val="2"/>
      </rPr>
      <t xml:space="preserve">Root : aws_ad@chowtaifook.com
</t>
    </r>
  </si>
  <si>
    <t>CL558897</t>
  </si>
  <si>
    <t>085648/1-2</t>
    <phoneticPr fontId="11" type="noConversion"/>
  </si>
  <si>
    <t xml:space="preserve">102920 </t>
  </si>
  <si>
    <t xml:space="preserve">Professional Fee: HK$23,062 ( Internal Web Site SSE )
[21-Sep-2021] Pending for Lok to provide AWS ID info. 
[29-Sep-2021] Lok replied project just started and provided AWS ID x 3 ( joined cloudcheckr on 28-Sep-2021)
[4-Mar-2022] UAT received from Lok. Order not found in CxS. 
[18-Jun-2024] PS job finish, waiting C order for this PS job. Both CL553355 &amp; CL558897, SRD is 7/Hun/2024
</t>
  </si>
  <si>
    <t>694031834333</t>
  </si>
  <si>
    <t xml:space="preserve">SSEUAT_internal_web
</t>
  </si>
  <si>
    <r>
      <rPr>
        <b/>
        <sz val="11"/>
        <color rgb="FF2F75B5"/>
        <rFont val="Calibri"/>
        <family val="2"/>
      </rPr>
      <t xml:space="preserve">
</t>
    </r>
    <r>
      <rPr>
        <sz val="11"/>
        <color rgb="FF000000"/>
        <rFont val="Calibri"/>
        <family val="2"/>
      </rPr>
      <t xml:space="preserve">Root : aws_sseuat@chowtaifook.com
</t>
    </r>
  </si>
  <si>
    <t>CL552101</t>
    <phoneticPr fontId="11" type="noConversion"/>
  </si>
  <si>
    <t>873404/1-6</t>
  </si>
  <si>
    <t>102928</t>
    <phoneticPr fontId="11" type="noConversion"/>
  </si>
  <si>
    <t>Remark : For PS CL558897 ( Internal Web Site SSE ) 
[7-Oct-2021] Pending for sales issue order to complete
[20-Oct-2021] Pending for Ran to provide CxS no/Tenant I D/ SRD as well
[21-Oct-2021] Completed order in CxS with remark actual SRD on 28-Sep-2021
refer to CL558897</t>
  </si>
  <si>
    <t>985365434826</t>
  </si>
  <si>
    <t>SSE_internal_web</t>
  </si>
  <si>
    <r>
      <rPr>
        <b/>
        <sz val="11"/>
        <color rgb="FF2F75B5"/>
        <rFont val="Aptos Narrow"/>
        <family val="2"/>
        <scheme val="minor"/>
      </rPr>
      <t xml:space="preserve">
</t>
    </r>
    <r>
      <rPr>
        <sz val="11"/>
        <color rgb="FF000000"/>
        <rFont val="Aptos Narrow"/>
        <family val="2"/>
        <scheme val="minor"/>
      </rPr>
      <t xml:space="preserve">Root : aws_sse@chowtaifook.com
</t>
    </r>
  </si>
  <si>
    <t>CL552105</t>
    <phoneticPr fontId="11" type="noConversion"/>
  </si>
  <si>
    <t>102929</t>
    <phoneticPr fontId="11" type="noConversion"/>
  </si>
  <si>
    <t>373851634295</t>
  </si>
  <si>
    <t>AWS_AD_Service</t>
  </si>
  <si>
    <r>
      <rPr>
        <b/>
        <sz val="11"/>
        <color rgb="FF2F75B5"/>
        <rFont val="Aptos Narrow"/>
        <family val="2"/>
        <scheme val="minor"/>
      </rPr>
      <t xml:space="preserve">
</t>
    </r>
    <r>
      <rPr>
        <sz val="11"/>
        <color rgb="FF000000"/>
        <rFont val="Aptos Narrow"/>
        <family val="2"/>
        <scheme val="minor"/>
      </rPr>
      <t xml:space="preserve">Root : aws_ad@chowtaifook.com
</t>
    </r>
  </si>
  <si>
    <t>CL553355</t>
  </si>
  <si>
    <t>102930</t>
  </si>
  <si>
    <t>Remark : For PS CL558897 ( Internal Web Site SSE ) 
[7-Oct-2021] Pending for sales issue order to complete
[20-Oct-2021] Pending for Ran to provide CxS no/Tenant I D/ SRD as well
[21-Oct-2021] Completed order in CxS with remark actual SRD on 28-Sep-2021
refer to CL558897
[25-Jun-24] Receive C Order of CL553355 record at Row636 RN 367372/1-2</t>
  </si>
  <si>
    <t>CL553931</t>
  </si>
  <si>
    <t>873404/7-8</t>
  </si>
  <si>
    <t>102931</t>
  </si>
  <si>
    <r>
      <t>[21-Oct-2021] Pending for Seikei to verify if order duplicarte or not (</t>
    </r>
    <r>
      <rPr>
        <sz val="11"/>
        <color rgb="FFFF0000"/>
        <rFont val="Aptos Narrow"/>
        <family val="1"/>
        <charset val="136"/>
        <scheme val="minor"/>
      </rPr>
      <t>duplicate w/ CL558897)</t>
    </r>
    <r>
      <rPr>
        <sz val="11"/>
        <color theme="1"/>
        <rFont val="Aptos Narrow"/>
        <family val="2"/>
        <scheme val="minor"/>
      </rPr>
      <t xml:space="preserve">
[26-Oct-2021] AM confirmed order duplicated. Pending for cxl order. 
[12-Nov-2021] Confirmed that this order will be cxl
[13-Nov-2021] cxl order issued by ordered team. checked order cxl in CxS. </t>
    </r>
  </si>
  <si>
    <t>Vincent Wong</t>
    <phoneticPr fontId="11" type="noConversion"/>
  </si>
  <si>
    <t>2207 2456 / 9723 0880</t>
    <phoneticPr fontId="11" type="noConversion"/>
  </si>
  <si>
    <t xml:space="preserve">Root :vincent.wong@shacombank.com.hk 
</t>
  </si>
  <si>
    <t>CL559408</t>
  </si>
  <si>
    <t>394883/1-2</t>
    <phoneticPr fontId="11" type="noConversion"/>
  </si>
  <si>
    <t>102934</t>
  </si>
  <si>
    <t xml:space="preserve">Remark: PS Job $ 387,433(Ansible Tower Setup)
[27-Ocr-2021] Pending for Jackie reply if it is PS job only or migration of AWS ID included . Need forward to support team. Thomas updated that this is not a standard workflow and it is a back to back PS job ( ingram ) only. Cus will not migrate the billing to HKT. Pending for official reply from Marketing Jackie. 
[31-Mar-2022] sent email to Jackie and check if the order can be close. Jackie said the project will be completed in Apr.
[3-May-2022] Rec'd cconfrimation from Jackies and completed order in CxS with SRD on 25-Apr. </t>
  </si>
  <si>
    <t xml:space="preserve">
Root : pw.cheng@leverstyle.com</t>
  </si>
  <si>
    <t>CL559517</t>
    <phoneticPr fontId="11" type="noConversion"/>
  </si>
  <si>
    <t>043833/1-2</t>
    <phoneticPr fontId="11" type="noConversion"/>
  </si>
  <si>
    <t>102940</t>
  </si>
  <si>
    <r>
      <t>Remark : Migrate to HKT long time ago but no order issue. Issue order for dateback the charge. Nothing to do in provisioing job. 
[28-Oct-2021] Sent welcome letter only.</t>
    </r>
    <r>
      <rPr>
        <sz val="11"/>
        <color rgb="FFFF0000"/>
        <rFont val="Aptos Narrow"/>
        <family val="1"/>
        <charset val="136"/>
        <scheme val="minor"/>
      </rPr>
      <t xml:space="preserve"> </t>
    </r>
    <r>
      <rPr>
        <sz val="11"/>
        <rFont val="Aptos Narrow"/>
        <family val="1"/>
        <charset val="136"/>
        <scheme val="minor"/>
      </rPr>
      <t>Pending for order to reflect  in CxS.</t>
    </r>
    <r>
      <rPr>
        <sz val="11"/>
        <color rgb="FFFF0000"/>
        <rFont val="Aptos Narrow"/>
        <family val="1"/>
        <charset val="136"/>
        <scheme val="minor"/>
      </rPr>
      <t xml:space="preserve">
[30-Mar-2022] Marked completed with SRD on 28-Oct-2021</t>
    </r>
  </si>
  <si>
    <t>427524/1-2</t>
  </si>
  <si>
    <t>102470</t>
  </si>
  <si>
    <t>Professional Fee:HK$155,940 ( Phase II Cloudfront setup)
[1-Nov-2021] Passed PS job to Lok &amp; MS team 
[22-Sep-2022] Sales connie update that Phase II is to install PA Cloud Firewall,  pending due to reselect the cloud Firwall. Pending by End user. 
[18-Dec-2023] Confirm by Lok PS Job has done. Completed order in CxS</t>
  </si>
  <si>
    <t>Watson Fu</t>
    <phoneticPr fontId="11" type="noConversion"/>
  </si>
  <si>
    <t>39290721 / 98766114</t>
    <phoneticPr fontId="11" type="noConversion"/>
  </si>
  <si>
    <t>raymond.tong@belle.com.hk
watson.fu@belle.com.hk
marcus.kk.chan@belle.com.hk
itsup@belle.com.hk</t>
    <phoneticPr fontId="11" type="noConversion"/>
  </si>
  <si>
    <t>CL540525</t>
    <phoneticPr fontId="11" type="noConversion"/>
  </si>
  <si>
    <t>881853-1-2</t>
  </si>
  <si>
    <t>102943</t>
  </si>
  <si>
    <t xml:space="preserve">Address: Floor 6, The Edge, 30-34 Kwai Wing Road, Kwai Chung 
[1-Nov-2021] Pending for customer to create the AWS acc for proceed the billing migration </t>
  </si>
  <si>
    <t>829459/1-2</t>
    <phoneticPr fontId="11" type="noConversion"/>
  </si>
  <si>
    <t xml:space="preserve">102416 </t>
  </si>
  <si>
    <t>PS job for K8SE-Auction UAT ( HK$ 30,000)
[5-Nov-2021] Passed order to Lok &amp; T3 support. 
[22-Sep-2022] Connie updated that  The application vendor is suspended to deploy the auction program/ application as a result to delays entires project.</t>
  </si>
  <si>
    <t>Patrick LAI</t>
  </si>
  <si>
    <t>28349877 / 68861621</t>
  </si>
  <si>
    <t>Cus email : clai@wahsum.com.hk</t>
    <phoneticPr fontId="11" type="noConversion"/>
  </si>
  <si>
    <t xml:space="preserve">
Root : clai@wahsum.com.hk</t>
  </si>
  <si>
    <t>CL549545</t>
  </si>
  <si>
    <t>RN 753415/1-2</t>
  </si>
  <si>
    <t>102949</t>
  </si>
  <si>
    <r>
      <t xml:space="preserve">Cus email : clai@wahsum.com.hk
[11-Nov-21] Received order. Invitation sent.
[15-Nov-21] Sent email to cus for the activation status. 
[23-Nov-21] checked cus acitvated on 19-Nov. Update email address to Bdata-Kitty YU. Completed order in system
</t>
    </r>
    <r>
      <rPr>
        <sz val="11"/>
        <color rgb="FFFF0000"/>
        <rFont val="Aptos Narrow"/>
        <family val="1"/>
        <charset val="136"/>
        <scheme val="minor"/>
      </rPr>
      <t>Remark: need provide registered email to B-data for coupon apply once register complete by cus</t>
    </r>
  </si>
  <si>
    <t>Root :  jacky.hui@ddaapp.com</t>
    <phoneticPr fontId="11" type="noConversion"/>
  </si>
  <si>
    <t>CL550071</t>
  </si>
  <si>
    <t>860188/1-2</t>
  </si>
  <si>
    <t>102948</t>
  </si>
  <si>
    <t>[12-Nov-2021] Order rec'd. 
[12-Nov-2021] Billing account setup done. Sent email to cus for project setup
[15-Nov-2021] Welcome letter sent. Completed CxS order with SRD on 12-Nov-2021.</t>
    <phoneticPr fontId="11" type="noConversion"/>
  </si>
  <si>
    <t>Mr Kelvin TANG</t>
  </si>
  <si>
    <t>Cus email : kelvintang@eif.com.hk</t>
    <phoneticPr fontId="11" type="noConversion"/>
  </si>
  <si>
    <t xml:space="preserve">
Root : itdept@eif.com.hk</t>
  </si>
  <si>
    <t>CL544777</t>
  </si>
  <si>
    <t>RN 834947/1-2
RN 527770/1-2</t>
  </si>
  <si>
    <t>102952</t>
  </si>
  <si>
    <t>Cus email : kelvintang@eif.com.hk
[19-Nov-21] Received Order. Sent A/C Migration Request
[24-Nov-21] A/C Migration completed on 24-Nov-21. Sent WL. Completed in CxS (Completion Date : 24-Nov-21)
[15-Oct-2024] Receive order customer request change the Company Name form &lt;ESSENCE INT'L FINANCIAL HOLDINGS LIMITED&gt; to &lt;SDIC SECURITIESE INT'L FINANCIAL HOLDINGS LIMITED&gt;, Cindy confirming customer is change whole profile or only company name [ Kilson]
[15-Oct-2024] CxS order is auto-completed by system with subtype no.00 [Helen]</t>
  </si>
  <si>
    <t>/</t>
  </si>
  <si>
    <t>Helen</t>
  </si>
  <si>
    <t xml:space="preserve">http://10.10.10.209/OASIS_FILE_MANAGER/zip_files_download.php?qid=1307686&amp;serialno=TI24-00009894&amp;itemno=1&amp;token=6fbe529a4a66811c5de6f5ab471f328d
</t>
  </si>
  <si>
    <t>Alvin Cheung</t>
    <phoneticPr fontId="11" type="noConversion"/>
  </si>
  <si>
    <t>Enail : hktbotproduct@gmail.com</t>
    <phoneticPr fontId="11" type="noConversion"/>
  </si>
  <si>
    <t>CL548687</t>
    <phoneticPr fontId="11" type="noConversion"/>
  </si>
  <si>
    <t>445899/3-4</t>
  </si>
  <si>
    <t>102962</t>
  </si>
  <si>
    <r>
      <t>[22-Nov-2021] Pre-Provisioning case. Received order from Thomas by email to create sub acc for CSL internal use. Account created and p</t>
    </r>
    <r>
      <rPr>
        <sz val="11"/>
        <rFont val="Aptos Narrow"/>
        <family val="1"/>
        <charset val="136"/>
        <scheme val="minor"/>
      </rPr>
      <t xml:space="preserve">ending for order issue. </t>
    </r>
    <r>
      <rPr>
        <sz val="11"/>
        <color theme="1"/>
        <rFont val="Aptos Narrow"/>
        <family val="2"/>
        <scheme val="minor"/>
      </rPr>
      <t xml:space="preserve">
[29-Nov-2021] Pending for order reflected in system
[30-Nov-2021] Completed order in CxS with completion date marked on 30-Nov-2021
[3-Dec-2021] Welcome letter sent</t>
    </r>
  </si>
  <si>
    <t>Sunny CHAN</t>
  </si>
  <si>
    <t>Cus email : sunnysvchan@phillip.com.hk</t>
    <phoneticPr fontId="11" type="noConversion"/>
  </si>
  <si>
    <r>
      <rPr>
        <sz val="11"/>
        <color rgb="FF000000"/>
        <rFont val="Aptos Narrow"/>
        <family val="2"/>
        <scheme val="minor"/>
      </rPr>
      <t xml:space="preserve">
Root : </t>
    </r>
    <r>
      <rPr>
        <strike/>
        <sz val="11"/>
        <color rgb="FF000000"/>
        <rFont val="Aptos Narrow"/>
        <family val="2"/>
        <scheme val="minor"/>
      </rPr>
      <t>alicloud@phillip.com.hk</t>
    </r>
    <r>
      <rPr>
        <sz val="11"/>
        <color rgb="FF000000"/>
        <rFont val="Aptos Narrow"/>
        <family val="2"/>
        <scheme val="minor"/>
      </rPr>
      <t xml:space="preserve"> / alicloud@cyberquote.com.hk</t>
    </r>
  </si>
  <si>
    <t>CL559296</t>
  </si>
  <si>
    <t>RN 473791/1-2</t>
  </si>
  <si>
    <t>102956</t>
  </si>
  <si>
    <t>Cus email : sunnysvchan@phillip.com.hk
[24-Nov-21] Received Order. Missing UID (sent email to AM &amp; ASM enquire). Received UID. Sent A/C Migration Request.
[25-Nov-21] Sent email to AM (Pang, Simon TC) clarify UID. Solutions Specialist (Chin, Calvin KC) reply the UID already on our customer list which the MS can be directly apply on this UID.
There is no need for any ID migration.
[26-Nov-21] Completed in CxS (Completion Date : 26-Nov-21]</t>
    <phoneticPr fontId="11" type="noConversion"/>
  </si>
  <si>
    <t>T2</t>
  </si>
  <si>
    <t>Benny Tang</t>
  </si>
  <si>
    <t>915359174201</t>
  </si>
  <si>
    <t xml:space="preserve">Root: hkt-lda001@hkt-cloud.com
</t>
  </si>
  <si>
    <t>CL547833</t>
    <phoneticPr fontId="11" type="noConversion"/>
  </si>
  <si>
    <t>445899/1-2</t>
    <phoneticPr fontId="11" type="noConversion"/>
  </si>
  <si>
    <r>
      <t xml:space="preserve">Remark: This is an internal order to setup AWS new EDP account for LDA department (Loyalty, Digital and Analytics)
[25-Nov-2021] There is no need to do carry out any SP from Bonnie's team. </t>
    </r>
    <r>
      <rPr>
        <b/>
        <sz val="11"/>
        <color theme="1"/>
        <rFont val="新細明體"/>
        <family val="1"/>
        <charset val="136"/>
      </rPr>
      <t>All was done by product team and AWS</t>
    </r>
    <r>
      <rPr>
        <b/>
        <sz val="11"/>
        <rFont val="新細明體"/>
        <family val="1"/>
        <charset val="136"/>
      </rPr>
      <t xml:space="preserve">. </t>
    </r>
    <r>
      <rPr>
        <sz val="11"/>
        <rFont val="新細明體"/>
        <family val="1"/>
        <charset val="136"/>
      </rPr>
      <t>Pending for order creation to complete in CxS</t>
    </r>
    <r>
      <rPr>
        <sz val="11"/>
        <color theme="1"/>
        <rFont val="Aptos Narrow"/>
        <family val="2"/>
        <scheme val="minor"/>
      </rPr>
      <t xml:space="preserve">
[29-Nov-2021] Pending for order reflected in system 
[30-Nov-2021] Completed order in CxS with completion date marked on 30-Nov-2021</t>
    </r>
  </si>
  <si>
    <r>
      <rPr>
        <b/>
        <sz val="11"/>
        <color rgb="FF2F75B5"/>
        <rFont val="Aptos Narrow"/>
        <family val="2"/>
        <scheme val="minor"/>
      </rPr>
      <t xml:space="preserve">
</t>
    </r>
    <r>
      <rPr>
        <sz val="11"/>
        <color rgb="FF000000"/>
        <rFont val="Aptos Narrow"/>
        <family val="2"/>
        <scheme val="minor"/>
      </rPr>
      <t>Root: : aws_eauctionuat@chowtaifook.com</t>
    </r>
  </si>
  <si>
    <t>CL541167</t>
  </si>
  <si>
    <t>238335/1-2</t>
    <phoneticPr fontId="11" type="noConversion"/>
  </si>
  <si>
    <t>Remark:AWS ID created for  PS job  K8SE-Auction UAT ( HK$ 30,000) CxS 829459/1-2 
[7-Dec-2021] Pending for Lok to confirm and issue order
[8-Dec-2021] PS team Emily confirmed the acc for E-Auction UAT. Thomas informed connie to issue order and we can complete the order once rec'd
[14-Dec-2021] Completed in CxS with SRD on 13-Dec-2021</t>
  </si>
  <si>
    <t>28885404 / 6020 0681</t>
    <phoneticPr fontId="11" type="noConversion"/>
  </si>
  <si>
    <t>Billing sub account : 01820C-9BBCBF-5D984E</t>
    <phoneticPr fontId="11" type="noConversion"/>
  </si>
  <si>
    <t>CL554027</t>
    <phoneticPr fontId="11" type="noConversion"/>
  </si>
  <si>
    <t xml:space="preserve">103022   </t>
    <phoneticPr fontId="11" type="noConversion"/>
  </si>
  <si>
    <r>
      <t xml:space="preserve">Remarrk: This is an internal order to setup GCP account for HKT Teleservices 
</t>
    </r>
    <r>
      <rPr>
        <sz val="11"/>
        <color theme="1"/>
        <rFont val="Aptos Narrow"/>
        <family val="1"/>
        <charset val="136"/>
        <scheme val="minor"/>
      </rPr>
      <t xml:space="preserve">[10-Dec-2021] Account created. Pending for order issue and send welcome letter and close case in CxS. 
[11-Apr-2022] sent email to order team for order status
</t>
    </r>
    <r>
      <rPr>
        <sz val="11"/>
        <color theme="1"/>
        <rFont val="Aptos Narrow"/>
        <family val="2"/>
        <scheme val="minor"/>
      </rPr>
      <t>[13-Apr-2022] completed order in CxS with completion date on 13-Apr-2022 and remark acc created on 14-Dec-2021.</t>
    </r>
  </si>
  <si>
    <t>David Chan</t>
    <phoneticPr fontId="11" type="noConversion"/>
  </si>
  <si>
    <t>Customer email: david.chan@ifshk.com</t>
    <phoneticPr fontId="11" type="noConversion"/>
  </si>
  <si>
    <t>092267684219</t>
  </si>
  <si>
    <t xml:space="preserve">Root: ifs_support@ifshk.com
</t>
  </si>
  <si>
    <t>CL542851</t>
  </si>
  <si>
    <t>775205/1-2</t>
  </si>
  <si>
    <t>102969</t>
  </si>
  <si>
    <t>Customer email: david.chan@ifshk.com
[14-Dec-2021] Submitted request to ingram. Cus accepted invitation. Pending for usage to reflect in cloudcheckr for welcome letter issue
[16-Dec-2021] Checked usage and created cloudcheckr billing acc. Sent welcome letter to cus.completed case in CXS with completion date on 15-Dec-2021</t>
  </si>
  <si>
    <t xml:space="preserve">Samuel Chan / Tyrong Leung </t>
  </si>
  <si>
    <t>97799612/34652166</t>
  </si>
  <si>
    <t>CL544893</t>
  </si>
  <si>
    <t>253610/1-2</t>
  </si>
  <si>
    <t>102724</t>
  </si>
  <si>
    <r>
      <rPr>
        <b/>
        <sz val="11"/>
        <color rgb="FFFF0000"/>
        <rFont val="Aptos Narrow"/>
        <family val="2"/>
        <scheme val="minor"/>
      </rPr>
      <t xml:space="preserve">Termination order 
</t>
    </r>
    <r>
      <rPr>
        <sz val="11"/>
        <color rgb="FF000000"/>
        <rFont val="Aptos Narrow"/>
        <family val="2"/>
        <scheme val="minor"/>
      </rPr>
      <t xml:space="preserve">[13-Jan-2022] Licensed suspended. Completed order in CxS wuth SRD on 13-Jan-2022
</t>
    </r>
  </si>
  <si>
    <t>refer to CL557214</t>
  </si>
  <si>
    <t>637696/1-2</t>
  </si>
  <si>
    <t>&lt;Change order ps job&gt;
[18-Jan-2022] Rec'd handover form from Lojk. Sent email to AM  for PS job order issue. Pending for order issue to close case. Pls inform jackie once complete. 
[15-Mar-2022] Completed order in system/</t>
  </si>
  <si>
    <t>Thomas Lo</t>
    <phoneticPr fontId="11" type="noConversion"/>
  </si>
  <si>
    <t>2370 5364 / 9650 2528</t>
    <phoneticPr fontId="11" type="noConversion"/>
  </si>
  <si>
    <t>124805380682</t>
  </si>
  <si>
    <t>Email : cloudservice@laisun.com</t>
  </si>
  <si>
    <t>CL543096</t>
    <phoneticPr fontId="11" type="noConversion"/>
  </si>
  <si>
    <t>968906/1-2</t>
  </si>
  <si>
    <t>102995</t>
    <phoneticPr fontId="11" type="noConversion"/>
  </si>
  <si>
    <r>
      <rPr>
        <sz val="11"/>
        <color rgb="FF000000"/>
        <rFont val="Aptos Narrow"/>
        <family val="2"/>
        <scheme val="minor"/>
      </rPr>
      <t xml:space="preserve">Address:Floor 11, Lai Sun Commercial Center, 680 Cheung Sha Wan Rd, Cheung Sha Wan  
Email : cloudservices@laisun.com / thomaslo@laisun.com
[26-Jan-2022] customer accepted invitation. Case completed in CxS. </t>
    </r>
    <r>
      <rPr>
        <sz val="11"/>
        <color rgb="FFFF0000"/>
        <rFont val="Aptos Narrow"/>
        <family val="2"/>
        <scheme val="minor"/>
      </rPr>
      <t xml:space="preserve">Pending for usage to create billing portal and send welcome letter. 
</t>
    </r>
    <r>
      <rPr>
        <sz val="11"/>
        <color rgb="FF000000"/>
        <rFont val="Aptos Narrow"/>
        <family val="2"/>
        <scheme val="minor"/>
      </rPr>
      <t xml:space="preserve">[22-Feb-2022] welcome letter sent. </t>
    </r>
  </si>
  <si>
    <t>CL549845</t>
    <phoneticPr fontId="11" type="noConversion"/>
  </si>
  <si>
    <t>361954/1-2</t>
  </si>
  <si>
    <t>102999</t>
  </si>
  <si>
    <t>PS job for E-Catalog ( HK$43,200) 
AWS ID  (UAT) :  208195159028
AWS ID ( Production) : 422233975236
[11-Feb-2022] Passed PS job to PS team. 
[23-Feb-2022] Completed order (for AWS ID ) in CxS. Asked ASM Seikei &amp; Connie Lam to issue change order for PS job 
[25-FEb-2022] PS team emily updated that the job is still processing. 
[11-Mar-2022] confirmed with connie &amp; seikei that last order with PS job and no change order have to be issue. connie will inform cus billing will be sent. Pending for PS team to update PS job status to complete case in excel only
[22-Sep-2022] connie updated that check with ASM</t>
  </si>
  <si>
    <t>CL541173</t>
    <phoneticPr fontId="11" type="noConversion"/>
  </si>
  <si>
    <t>361954/3-4</t>
    <phoneticPr fontId="11" type="noConversion"/>
  </si>
  <si>
    <t>103006</t>
    <phoneticPr fontId="11" type="noConversion"/>
  </si>
  <si>
    <t xml:space="preserve">[23-Feb-2022] Order completed in CxS. 
</t>
  </si>
  <si>
    <t>Hin Liu</t>
    <phoneticPr fontId="11" type="noConversion"/>
  </si>
  <si>
    <t xml:space="preserve">
Root : gtsservice@gtshk.net</t>
  </si>
  <si>
    <t>CL550531</t>
    <phoneticPr fontId="11" type="noConversion"/>
  </si>
  <si>
    <t>598891/1-2</t>
    <phoneticPr fontId="11" type="noConversion"/>
  </si>
  <si>
    <t>103004</t>
  </si>
  <si>
    <t>[14-Feb-20222] welcome letter sent to cus. sent migration request to Bdata. Pending for Bdata reply
[31-Mar-2022] AM Ruby updated that no 3% discount offer is needed for this cus. Sent email to Bdata for the migration status update. 
[11-Apr-2022] B-data Kitty confirmed acc is migrated to HKT w/  effective on 11-Apr. completed cxs order with SRD on 14-apr-2022</t>
  </si>
  <si>
    <t xml:space="preserve">
Root : alicloud_approvalcenter@chowtaifook.com</t>
  </si>
  <si>
    <t>CL551776</t>
    <phoneticPr fontId="11" type="noConversion"/>
  </si>
  <si>
    <t>790612/1-2</t>
    <phoneticPr fontId="11" type="noConversion"/>
  </si>
  <si>
    <r>
      <rPr>
        <b/>
        <sz val="11"/>
        <color theme="1"/>
        <rFont val="Aptos Narrow"/>
        <family val="1"/>
        <charset val="136"/>
        <scheme val="minor"/>
      </rPr>
      <t>PS job charge ( $28,880)</t>
    </r>
    <r>
      <rPr>
        <sz val="11"/>
        <color theme="1"/>
        <rFont val="Aptos Narrow"/>
        <family val="1"/>
        <charset val="136"/>
        <scheme val="minor"/>
      </rPr>
      <t xml:space="preserve">
[16-Feb-2022] new acc creation was sent and cus accepted the invitation. Passed PS order to PS team + T3 support. Pending for order no to send welcome letter
[23-Feb-2022] 1st new Order completed( Ali UID) in CxS and asked ASM seikei to issue change order for PS job. 
[11-Mar-2022] confirmed with connie &amp; seikei that last order with PS job and </t>
    </r>
    <r>
      <rPr>
        <sz val="11"/>
        <color rgb="FFFF0000"/>
        <rFont val="Aptos Narrow"/>
        <family val="1"/>
        <charset val="136"/>
        <scheme val="minor"/>
      </rPr>
      <t>no change order have to be</t>
    </r>
    <r>
      <rPr>
        <sz val="11"/>
        <color theme="1"/>
        <rFont val="Aptos Narrow"/>
        <family val="1"/>
        <charset val="136"/>
        <scheme val="minor"/>
      </rPr>
      <t xml:space="preserve"> </t>
    </r>
    <r>
      <rPr>
        <sz val="11"/>
        <color rgb="FFFF0000"/>
        <rFont val="Aptos Narrow"/>
        <family val="1"/>
        <charset val="136"/>
        <scheme val="minor"/>
      </rPr>
      <t>issue</t>
    </r>
    <r>
      <rPr>
        <sz val="11"/>
        <color theme="1"/>
        <rFont val="Aptos Narrow"/>
        <family val="1"/>
        <charset val="136"/>
        <scheme val="minor"/>
      </rPr>
      <t>. connie will inform cus billing will be sent. Pending for PS team to update PS job status to complete case in excel only
[22-Apr-2022] UAT form recieved with cus signed on 19-Apr-2022. No C-order in CxS have to be completed as order with PS job was closed in Feb</t>
    </r>
  </si>
  <si>
    <t>CL547225</t>
  </si>
  <si>
    <t>695613/3-4</t>
    <phoneticPr fontId="11" type="noConversion"/>
  </si>
  <si>
    <t>102576</t>
  </si>
  <si>
    <r>
      <rPr>
        <b/>
        <sz val="11"/>
        <rFont val="Aptos Narrow"/>
        <family val="1"/>
        <charset val="136"/>
        <scheme val="minor"/>
      </rPr>
      <t>Remark:  B2B PS job  $49.330  (by B&amp; DATA)</t>
    </r>
    <r>
      <rPr>
        <b/>
        <sz val="11"/>
        <color rgb="FFFF0000"/>
        <rFont val="Aptos Narrow"/>
        <family val="1"/>
        <charset val="136"/>
        <scheme val="minor"/>
      </rPr>
      <t xml:space="preserve">
</t>
    </r>
    <r>
      <rPr>
        <sz val="11"/>
        <rFont val="Aptos Narrow"/>
        <family val="1"/>
        <charset val="136"/>
        <scheme val="minor"/>
      </rPr>
      <t>[1-Mar-2022] Passed order to B&amp; Data. 
[26-Apr-2022] Checking with Connie if this order can ben completed? 
[11-May-2022] B&amp;Data Kitty updated job completed with UAT. Completed CxS order with completion on 11-May-2022</t>
    </r>
  </si>
  <si>
    <t>Allan Lau</t>
    <phoneticPr fontId="11" type="noConversion"/>
  </si>
  <si>
    <t>22968700/ 94631294</t>
    <phoneticPr fontId="11" type="noConversion"/>
  </si>
  <si>
    <t>169755660275</t>
  </si>
  <si>
    <t xml:space="preserve">Root: Kelvin.MK.Mak@pccw.com
</t>
  </si>
  <si>
    <t>CL552814</t>
    <phoneticPr fontId="11" type="noConversion"/>
  </si>
  <si>
    <t>462747/1-2</t>
  </si>
  <si>
    <t xml:space="preserve">103010  </t>
  </si>
  <si>
    <t>Admin contact: allan.kt.lau@pccw.com
[4-Mar-2022] Internal order . Submitted requeted to ingram and pending for invitation. 
[9-Mar-2022] Kelvin accepted invitaion. Completed in CxS.  Pending for usage for cloudcheckr portal creation.
28-Mar-2022] Welcome letter sent. Account linked on 23-MAr-2022
[13-Jul-2022]  Product Katie request to rename company name from PCCW Solutions to " PCCW Techincal Srvices Limited " in cloud checkr</t>
  </si>
  <si>
    <r>
      <t xml:space="preserve">OFFICE OF THE GOVERNMENTT CHIEF INFORMATION OFFICER (new name: DIGITAL POLICY OFFICE)
</t>
    </r>
    <r>
      <rPr>
        <sz val="11"/>
        <color rgb="FFFF0000"/>
        <rFont val="Aptos Narrow"/>
        <family val="1"/>
        <charset val="136"/>
        <scheme val="minor"/>
      </rPr>
      <t>(Name in CSP Portal : Office of the Government Chief Information Officer)</t>
    </r>
  </si>
  <si>
    <t>Cus email : ssfchung@ogcio.gov.hk</t>
  </si>
  <si>
    <t>CL553522</t>
    <phoneticPr fontId="11" type="noConversion"/>
  </si>
  <si>
    <t xml:space="preserve">741320/1-2 </t>
  </si>
  <si>
    <t>103011</t>
  </si>
  <si>
    <t>Remark:  For lampposts project. (Tenant ID: a049c7ae-112c-467b-bbb2-9b8367ab6ab6)
Cus email : ssfchung@ogcio.gov.hk
[10-Mar-22] order rec'd. Checking with Sales Wayne if a new o365 require.</t>
    <phoneticPr fontId="11" type="noConversion"/>
  </si>
  <si>
    <t>183248171250</t>
  </si>
  <si>
    <t>UAT_ Dev/Ops for SFTP</t>
  </si>
  <si>
    <t>CL545974</t>
  </si>
  <si>
    <t>816493/3-4</t>
    <phoneticPr fontId="11" type="noConversion"/>
  </si>
  <si>
    <t>103025</t>
    <phoneticPr fontId="11" type="noConversion"/>
  </si>
  <si>
    <t xml:space="preserve">PS job for SFTP ( $29760) I order 
Remark: I + C order
183248171250 ( UAT_ Dev/Ops for SFTP)
577535611680 (Prod_ Dev/Ops for SFTP)
[11-Mar-2022] ASM subnit request and Pending for I order issue
[20-Apr-2022] I order completed and informed connie to issue c-order for ps job </t>
  </si>
  <si>
    <t>Prod_ Dev/Ops for SFTP</t>
  </si>
  <si>
    <t>CL546551</t>
  </si>
  <si>
    <t>816493/5-6</t>
  </si>
  <si>
    <t xml:space="preserve">
root: alicloud_securitycenter@chowtaifook.com</t>
  </si>
  <si>
    <t>CL546419</t>
    <phoneticPr fontId="11" type="noConversion"/>
  </si>
  <si>
    <t xml:space="preserve">016398/1-2 </t>
    <phoneticPr fontId="11" type="noConversion"/>
  </si>
  <si>
    <t xml:space="preserve">103014 </t>
  </si>
  <si>
    <r>
      <rPr>
        <b/>
        <sz val="11"/>
        <color theme="1"/>
        <rFont val="Aptos Narrow"/>
        <family val="1"/>
        <charset val="136"/>
        <scheme val="minor"/>
      </rPr>
      <t>Remark I + C order</t>
    </r>
    <r>
      <rPr>
        <sz val="11"/>
        <color theme="1"/>
        <rFont val="Aptos Narrow"/>
        <family val="2"/>
        <scheme val="minor"/>
      </rPr>
      <t xml:space="preserve">
[17-Mar-2022]  sent New account Invitation to customer. </t>
    </r>
    <r>
      <rPr>
        <sz val="11"/>
        <rFont val="Aptos Narrow"/>
        <family val="1"/>
        <charset val="136"/>
        <scheme val="minor"/>
      </rPr>
      <t xml:space="preserve">Cus has created new ali uid and completed I order in CxS. </t>
    </r>
  </si>
  <si>
    <t xml:space="preserve"> 5883247502837177</t>
  </si>
  <si>
    <t xml:space="preserve">refer to CxS no. 016398/1-2 </t>
    <phoneticPr fontId="11" type="noConversion"/>
  </si>
  <si>
    <t>836441/1-2</t>
    <phoneticPr fontId="11" type="noConversion"/>
  </si>
  <si>
    <r>
      <rPr>
        <b/>
        <sz val="11"/>
        <color rgb="FF000000"/>
        <rFont val="Aptos Narrow"/>
        <family val="2"/>
        <scheme val="minor"/>
      </rPr>
      <t xml:space="preserve">Remark I + C order (PS job charge $25920 )
(Alibaba UID : 5883247502837177
root: alicloud_securitycenter@chowtaifook.com)
</t>
    </r>
    <r>
      <rPr>
        <sz val="11"/>
        <color rgb="FF000000"/>
        <rFont val="Aptos Narrow"/>
        <family val="2"/>
        <scheme val="minor"/>
      </rPr>
      <t>[17-Mar-2022]  sent New account Invitation to customer.</t>
    </r>
    <r>
      <rPr>
        <b/>
        <sz val="11"/>
        <color rgb="FF000000"/>
        <rFont val="Aptos Narrow"/>
        <family val="2"/>
        <scheme val="minor"/>
      </rPr>
      <t xml:space="preserve"> </t>
    </r>
    <r>
      <rPr>
        <sz val="11"/>
        <color rgb="FF000000"/>
        <rFont val="Aptos Narrow"/>
        <family val="2"/>
        <scheme val="minor"/>
      </rPr>
      <t>Cus has created new ali uid and completed I order in CxS. Informed connie to issue C order for PS job 
[28-Mar-2022] C order issued. Pass case to PS team. Pending for UAT 
[22-Apr-2022] UAT form recieved with cus signed on 19-Apr-2022. Completed C-order in CxS.</t>
    </r>
  </si>
  <si>
    <t>Sam Wong</t>
    <phoneticPr fontId="11" type="noConversion"/>
  </si>
  <si>
    <r>
      <rPr>
        <b/>
        <sz val="11"/>
        <color rgb="FF000000"/>
        <rFont val="Aptos Narrow"/>
        <family val="2"/>
        <scheme val="minor"/>
      </rPr>
      <t xml:space="preserve"> 
</t>
    </r>
    <r>
      <rPr>
        <sz val="11"/>
        <color rgb="FF000000"/>
        <rFont val="Aptos Narrow"/>
        <family val="2"/>
        <scheme val="minor"/>
      </rPr>
      <t xml:space="preserve">Linked email : sec-it-infra-admin@crypto.com
</t>
    </r>
  </si>
  <si>
    <t>CL542769</t>
    <phoneticPr fontId="11" type="noConversion"/>
  </si>
  <si>
    <t>519535/1-2</t>
    <phoneticPr fontId="11" type="noConversion"/>
  </si>
  <si>
    <t>103016</t>
    <phoneticPr fontId="11" type="noConversion"/>
  </si>
  <si>
    <t>Estimated usage HKD 177242
Email : sam.wong@crypto.com
[22-Mar-2022] pending for cus reply 
[30-Mar-2022] No feedback from cus so far. Ask AM Ruby Choy to check. Checked in portal that customer use another email address for registration and linked to HKT on24-Mar-2022. Completed order in CxS
[12-Aug-2022] offset done. &lt;&lt;SD11524745&gt;&gt;
[10-Jan-2024] CxS order has closed by someone</t>
  </si>
  <si>
    <t>AIRPORT AUTHORITY</t>
    <phoneticPr fontId="11" type="noConversion"/>
  </si>
  <si>
    <t>CL552789</t>
    <phoneticPr fontId="11" type="noConversion"/>
  </si>
  <si>
    <t>254870/3-4</t>
    <phoneticPr fontId="11" type="noConversion"/>
  </si>
  <si>
    <t>Corder
PS job charge : $756600 ( Deploy landing zone project for AA AWS account
[28-Mar-2022] Pending for AM to clarify if the charge are for both Azure &amp; AWS ps job.Clarified with AM Diva the order for Azure should be issued wrongly. Pls ignore. 
[28-Mar-2022] Passed order to PS team. Pending for UAT to cmplete case in syste 
[21-Mar-2023] Thomas informed PS job completed. Completed CxS order in system with completion dat eon 16-Mar-2023</t>
  </si>
  <si>
    <t>On</t>
  </si>
  <si>
    <t>2587 0776 /9555 8809</t>
    <phoneticPr fontId="11" type="noConversion"/>
  </si>
  <si>
    <t xml:space="preserve">
Root Login: hkt-viutv002@hkt-cloud.com</t>
  </si>
  <si>
    <t>CL553938</t>
  </si>
  <si>
    <t>478734/1-2</t>
    <phoneticPr fontId="11" type="noConversion"/>
  </si>
  <si>
    <r>
      <t xml:space="preserve">Remark:  Internal order. No provisioing work is required.. 
Email : hkt-viutv002@hkt-cloud.com
</t>
    </r>
    <r>
      <rPr>
        <sz val="11"/>
        <rFont val="Aptos Narrow"/>
        <family val="1"/>
        <charset val="136"/>
        <scheme val="minor"/>
      </rPr>
      <t xml:space="preserve">[11-Apr-2022] pending for order issue and then complete in cxs. 
[12-Apr-2022] order issued. Pending for Thomas to update the onboarding status and the close case. 
[28-Jul-2022] confirmed with Thomas onboarding is completed.  case completed in system with SRD on 28-Jul-2022. </t>
    </r>
    <r>
      <rPr>
        <sz val="11"/>
        <color rgb="FFFF0000"/>
        <rFont val="Aptos Narrow"/>
        <family val="1"/>
        <charset val="136"/>
        <scheme val="minor"/>
      </rPr>
      <t>Pending for usage to send Welcome letter (template ready).</t>
    </r>
  </si>
  <si>
    <t>347307636967</t>
  </si>
  <si>
    <t xml:space="preserve">
Root Login: itsd-brand-cms@vtc.edu.hk</t>
  </si>
  <si>
    <t>CL553936</t>
    <phoneticPr fontId="11" type="noConversion"/>
  </si>
  <si>
    <t xml:space="preserve">603525/1-2 </t>
    <phoneticPr fontId="11" type="noConversion"/>
  </si>
  <si>
    <t>103020</t>
  </si>
  <si>
    <t>Remark: Migrate existing AWS ID under HKT ( VTC project)
[12-Apr-2022] Passed order to T2 support. Invitation sent by Ingram. Pending for cus accpet invitation. 
[14-Apr-2022]  Resent on 14-Apr last email can't be sent out with the wrong acc. Pending for cus accpet invitation. 
[23-Jun-2022] Customer accepted invitation on 19-Jun. Updated acc in cloudcheckr. Welcome Letter sent and completed order in CxS with SRD on 19-Jun</t>
    <phoneticPr fontId="11" type="noConversion"/>
  </si>
  <si>
    <t>Network services Direct connnect circuits</t>
  </si>
  <si>
    <t>CL545725</t>
    <phoneticPr fontId="11" type="noConversion"/>
  </si>
  <si>
    <t>816493/1-2</t>
    <phoneticPr fontId="11" type="noConversion"/>
  </si>
  <si>
    <t xml:space="preserve">936618183152 ( Network services Direct connnect circuits)  record in CTFJ cloudcheckr but no order receive /  no alert from sales 
[13-Apr-2022] Pending for connie / Seikei to issue I order then C-order ( I+ C order )
[20-Apr-2022] Completed order in CxS </t>
  </si>
  <si>
    <t>Cicero MA</t>
    <phoneticPr fontId="11" type="noConversion"/>
  </si>
  <si>
    <t>529801864882</t>
  </si>
  <si>
    <t>AWS ID: 529801864882
Root:  mahoching@gmail.com</t>
  </si>
  <si>
    <t>[19-Apr-2022]  request by Thomas that migration from eCloudValley to Ingram ( Internal acc / no order record ). Sent request to ingram. 
[27-Apr-2022] Usage reflected since 21-Apr. Billing account created in CMx.  Welcome letter sent</t>
    <phoneticPr fontId="11" type="noConversion"/>
  </si>
  <si>
    <t>773069/1-2</t>
  </si>
  <si>
    <t xml:space="preserve">PS job for SFTP ( $29760) C order
Remark: I + C order
183248171250 ( UAT_ Dev/Ops for SFTP)
577535611680 (Prod_ Dev/Ops for SFTP)
[20-Apr-2022] I order completed. Pending for C order issue
[5-May-2022] C-order rec'd. Pass to PS team. Pending for UAT to close
[22-Sep-2022]  connie updated that 50% of PS billed  @Jul 28 2022 . EU reqired additional reqirement of Application雲櫃檯      
[19-Jun-2023] Connie confirmed job completed that customer agree to issue billing on 17-Oct-2022. Complete order in system. </t>
  </si>
  <si>
    <t>936618183152 ( Network services Direct connnect circuits)  record in CTFJ cloudcheckr but no order receive /  no alert from sales 
[13-Apr-2022] Pending for connie / Seikei to issue I order then C-order ( I+ C order )
[20-Apr-2022] Completed I-order &amp; pending for C-order issued for PS job
[15-Jun-2022] Email to connie for C-order status
[4-Aug-2022] email to TAmmy Wu for c-order status</t>
  </si>
  <si>
    <t>161934/1-2</t>
    <phoneticPr fontId="11" type="noConversion"/>
  </si>
  <si>
    <r>
      <rPr>
        <b/>
        <sz val="11"/>
        <color rgb="FF000000"/>
        <rFont val="Aptos Narrow"/>
        <family val="2"/>
        <scheme val="minor"/>
      </rPr>
      <t xml:space="preserve">Remark:  B2B PS job  $21,840  (by B&amp; DATA)
</t>
    </r>
    <r>
      <rPr>
        <sz val="11"/>
        <color rgb="FF000000"/>
        <rFont val="Aptos Narrow"/>
        <family val="2"/>
        <scheme val="minor"/>
      </rPr>
      <t>[26-Apr-2022]  Connie confirmed that the job will be handled by B&amp;Data. Pending for change order issue
[15-Jun-2022] email to connie for c-order status</t>
    </r>
    <r>
      <rPr>
        <sz val="11"/>
        <color rgb="FFFF0000"/>
        <rFont val="Aptos Narrow"/>
        <family val="2"/>
        <scheme val="minor"/>
      </rPr>
      <t>. C</t>
    </r>
    <r>
      <rPr>
        <sz val="11"/>
        <color rgb="FF000000"/>
        <rFont val="Aptos Narrow"/>
        <family val="2"/>
        <scheme val="minor"/>
      </rPr>
      <t xml:space="preserve">onnie updated that the order will be raised once P Sjob complete
[4-Jul-2022] Connie updated that job completed and UAT will be sent to us once ready. Staacy to issue change order
[11-Jul-2022] order issued but pending order reflected in system. Pending for UAT to close case in excel. 
[12-Jul-2022] completed order in cxs with SRD on 12-jul-2022.  Pending for UAT to close case in excel. 
[4-Aug-2022] sent email to connie for PS job acceptance. Email accpetance is received. </t>
    </r>
  </si>
  <si>
    <t>Ben Li</t>
  </si>
  <si>
    <t>email: benli@ffml.com.hk</t>
    <phoneticPr fontId="11" type="noConversion"/>
  </si>
  <si>
    <t>UID:  5638051140401072
Root: benli@ffml.com.hk</t>
    <phoneticPr fontId="11" type="noConversion"/>
  </si>
  <si>
    <r>
      <t xml:space="preserve">email: benli@ffml.com.hk
UDS4693
[28-Apr-2022] Kitty has created the acc and pending for cus accept and </t>
    </r>
    <r>
      <rPr>
        <sz val="11"/>
        <color rgb="FFFF0000"/>
        <rFont val="Aptos Narrow"/>
        <family val="1"/>
        <charset val="136"/>
        <scheme val="minor"/>
      </rPr>
      <t xml:space="preserve">to issue order </t>
    </r>
    <r>
      <rPr>
        <sz val="11"/>
        <color theme="1"/>
        <rFont val="Aptos Narrow"/>
        <family val="2"/>
        <scheme val="minor"/>
      </rPr>
      <t xml:space="preserve">
[4-May-2022] Cus accpeted invitation. 
[15-Jun-2022] Sennt email to connie for order status udpate	
[16-Jun-2022] Connie updated that AliSD-WAN Schedule</t>
    </r>
    <r>
      <rPr>
        <sz val="11"/>
        <color rgb="FFFF0000"/>
        <rFont val="Aptos Narrow"/>
        <family val="1"/>
        <charset val="136"/>
        <scheme val="minor"/>
      </rPr>
      <t xml:space="preserve"> postpone to end of June
</t>
    </r>
    <r>
      <rPr>
        <sz val="11"/>
        <rFont val="Aptos Narrow"/>
        <family val="1"/>
        <charset val="136"/>
        <scheme val="minor"/>
      </rPr>
      <t xml:space="preserve">[4-Aug-2022] sent email to connie for status </t>
    </r>
  </si>
  <si>
    <t xml:space="preserve">aws_tmarkwebappuat@chowtaifook.com  </t>
    <phoneticPr fontId="11" type="noConversion"/>
  </si>
  <si>
    <t>CL555213</t>
    <phoneticPr fontId="11" type="noConversion"/>
  </si>
  <si>
    <t>32818/5-6</t>
    <phoneticPr fontId="11" type="noConversion"/>
  </si>
  <si>
    <t>103039</t>
    <phoneticPr fontId="11" type="noConversion"/>
  </si>
  <si>
    <t xml:space="preserve">AWS new ID creation Tmark UAT 
[28-Apr-2022] Pending for order issue
[5-May-2022] AWS ID created by Lok. Pending for order to close case and issue C-order
[12-May-2022] Completed I-order in CxS. </t>
  </si>
  <si>
    <t>aws_tmarkwebapppro@chowtaifook.com</t>
    <phoneticPr fontId="11" type="noConversion"/>
  </si>
  <si>
    <t>CL555219</t>
  </si>
  <si>
    <t>32818/7-8</t>
  </si>
  <si>
    <t>103042</t>
  </si>
  <si>
    <t xml:space="preserve">AWS new ID creation Tmark Prod 
[28-Apr-2022] Pending for order issue
[5-May-2022] AWS ID created by Lok. Pending for order to close case and issue C-order
[12-May-2022] Completed I-order in CxS. </t>
  </si>
  <si>
    <t xml:space="preserve">	
5434651575160564</t>
    <phoneticPr fontId="11" type="noConversion"/>
  </si>
  <si>
    <t xml:space="preserve">Alicloud_tmarkwebappuat@chowtaifook.com
</t>
    <phoneticPr fontId="11" type="noConversion"/>
  </si>
  <si>
    <t>CL555111</t>
    <phoneticPr fontId="11" type="noConversion"/>
  </si>
  <si>
    <t>32818/1-2</t>
  </si>
  <si>
    <t>103041</t>
    <phoneticPr fontId="11" type="noConversion"/>
  </si>
  <si>
    <t xml:space="preserve">Ali new ID creation Tmark UAT
[28-Apr-2022] Pending for order issue
[3-May-2022] connie update that cus will provide a new email acc for ali creation. Invitation sent and pending for cus accept. 
[4-May-2022] checked the cus accepted the invitation on 3-May. Pending for order to close case and issue C-order
[12-May-2022] Completed I-order in CxS. </t>
  </si>
  <si>
    <t>5094051574972847</t>
    <phoneticPr fontId="11" type="noConversion"/>
  </si>
  <si>
    <t xml:space="preserve">Alicloud_tmarkwebapppro@chowtaifook.com
</t>
    <phoneticPr fontId="11" type="noConversion"/>
  </si>
  <si>
    <t>CL555134</t>
  </si>
  <si>
    <t>32818/3-4</t>
  </si>
  <si>
    <t>Ali new ID creation Tmark Prod
[28-Apr-2022] Pending for order issue
[3-May-2022] connie update that cus will provide a new email acc for ali creation. Invitation sent and pending for cus accept. 
[4-May-2022] checked the cus accepted the invitation on 3-May. Pending for order to close case and issue C-order
[12-May-2022] Completed I-order in CxS. 
[18-Dec-2023] Confirm by Lok PS Job has done. Close CxS no.: 241429/1</t>
  </si>
  <si>
    <t>Ray Fung</t>
    <phoneticPr fontId="11" type="noConversion"/>
  </si>
  <si>
    <t xml:space="preserve">
email: cloudservice@rayfung.hk</t>
  </si>
  <si>
    <t>CL550050</t>
  </si>
  <si>
    <t>935634/1-2</t>
    <phoneticPr fontId="11" type="noConversion"/>
  </si>
  <si>
    <t>[3-May-2022] BdataKitty infomred me this order for recorded. Pending for order issue
[4-May-2022] Order rec'd. Pending for Bdata to update migration progress. 
[16-Jun-2022] Sent email to Kitty for migration status
[4-Aug-2022] Checked migration was done on 12-May-22. Completed order in system with SRD on 22-MAy</t>
  </si>
  <si>
    <t>512228/1-2</t>
    <phoneticPr fontId="11" type="noConversion"/>
  </si>
  <si>
    <t>102594</t>
  </si>
  <si>
    <t xml:space="preserve">PS: cost $87520 Gravity ( C-order ) this order should replace 669199/1-2
[5-May-2022] order rec'd &amp; completed order in informed thomas </t>
  </si>
  <si>
    <t>CL555134</t>
    <phoneticPr fontId="11" type="noConversion"/>
  </si>
  <si>
    <t>RN241429/1-2</t>
    <phoneticPr fontId="11" type="noConversion"/>
  </si>
  <si>
    <t>103040</t>
    <phoneticPr fontId="11" type="noConversion"/>
  </si>
  <si>
    <t>AWS + Ali Tmark PS job ( C-order) $80,480 (Project Management $ 20,000 + PS  $60,480)  One order for both AWS &amp; Ali PS job ( T mark project )
[12-May-2022] I order completed. Pending for C-order issue
[19-May-2022] COrder issued and pending for UAT to close case in system</t>
  </si>
  <si>
    <t>Alex Cheung</t>
    <phoneticPr fontId="11" type="noConversion"/>
  </si>
  <si>
    <t>37868 5901 / 2730 6883</t>
    <phoneticPr fontId="11" type="noConversion"/>
  </si>
  <si>
    <t>acheung@esrichina.hk</t>
    <phoneticPr fontId="11" type="noConversion"/>
  </si>
  <si>
    <r>
      <rPr>
        <b/>
        <sz val="11"/>
        <color theme="1"/>
        <rFont val="Aptos Narrow"/>
        <family val="1"/>
        <charset val="136"/>
        <scheme val="minor"/>
      </rPr>
      <t xml:space="preserve">MASTER AWS ID: 119798678442 ( HKT as role of ingram ) </t>
    </r>
    <r>
      <rPr>
        <sz val="11"/>
        <color theme="1"/>
        <rFont val="Aptos Narrow"/>
        <family val="2"/>
        <scheme val="minor"/>
      </rPr>
      <t xml:space="preserve">
Account Name: HKT-SPP-001 </t>
    </r>
  </si>
  <si>
    <r>
      <rPr>
        <sz val="11"/>
        <color rgb="FFFF0000"/>
        <rFont val="Aptos Narrow"/>
        <family val="1"/>
        <charset val="136"/>
        <scheme val="minor"/>
      </rPr>
      <t xml:space="preserve">this order will go directly to the HKT SPP account and NOT with Ingram ( no need to inform ingram &amp; no cloudcheckr portal )
</t>
    </r>
    <r>
      <rPr>
        <sz val="11"/>
        <rFont val="Aptos Narrow"/>
        <family val="1"/>
        <charset val="136"/>
        <scheme val="minor"/>
      </rPr>
      <t xml:space="preserve">Monthly charge : HKD38,779.8 (Included Managed service + Professional Service + monthly consumption)
</t>
    </r>
    <r>
      <rPr>
        <b/>
        <sz val="11"/>
        <rFont val="Aptos Narrow"/>
        <family val="1"/>
        <charset val="136"/>
        <scheme val="minor"/>
      </rPr>
      <t>Customer email:</t>
    </r>
    <r>
      <rPr>
        <sz val="11"/>
        <rFont val="Aptos Narrow"/>
        <family val="1"/>
        <charset val="136"/>
        <scheme val="minor"/>
      </rPr>
      <t xml:space="preserve"> acheung@esrichina.hk</t>
    </r>
    <r>
      <rPr>
        <sz val="11"/>
        <color theme="1"/>
        <rFont val="Aptos Narrow"/>
        <family val="2"/>
        <scheme val="minor"/>
      </rPr>
      <t xml:space="preserve">
[16-May-2022] Migration case : master account is created for this cus. order will be isued later with PS job &amp; MS</t>
    </r>
  </si>
  <si>
    <t xml:space="preserve">Bonnie Liang </t>
    <phoneticPr fontId="11" type="noConversion"/>
  </si>
  <si>
    <t>bonnie.liang@keysen.com.hk</t>
  </si>
  <si>
    <t>Billing Account : 014D57-370465-D48365 (cancelled)</t>
    <phoneticPr fontId="11" type="noConversion"/>
  </si>
  <si>
    <t>CL546752</t>
  </si>
  <si>
    <t>983002/1-2</t>
    <phoneticPr fontId="11" type="noConversion"/>
  </si>
  <si>
    <t>103050</t>
  </si>
  <si>
    <t xml:space="preserve">Once off usage charge ($18,000 )
[25-May-2022] Thomas clarified that the order form mislead. It is not PS job and should be once off charge for the usage only. ( Name in order form : KEYSEN PROPERTY MANAGEMENT SERVICES LTD  ). Great Eagle is managed by Keysen
[16-Jun-2022] Product Katie confirmed that billing is issued. Completed order in CxS. </t>
  </si>
  <si>
    <t>duplicated</t>
  </si>
  <si>
    <t xml:space="preserve">Wai Chung </t>
    <phoneticPr fontId="11" type="noConversion"/>
  </si>
  <si>
    <t>(SICHK_UAT) ,(SICHK_PROD)</t>
  </si>
  <si>
    <t xml:space="preserve">Created on 19-Jun-2022
</t>
  </si>
  <si>
    <t>CL549661</t>
  </si>
  <si>
    <t>RN945368/1-2</t>
    <phoneticPr fontId="11" type="noConversion"/>
  </si>
  <si>
    <t>AWS PS Job :  SICHK-Web App ( $43, 200) + PM ( $15,000)I+C??
[28-Jun-2022] I-order completed. Pending for the 2nd i-order 
[7-Jul-2022]Connie issue another 3 x order for 2 x aws ID + PS job order. Should this order be cxl? 
[15-Jul-2022] C-order issue on this order ( 3 x CL orders in total 
[18-Dec-2023] Confirm by Lok PS Job has done. Completed order in CxS</t>
  </si>
  <si>
    <t>CL553063</t>
  </si>
  <si>
    <t>637337/1-2</t>
    <phoneticPr fontId="11" type="noConversion"/>
  </si>
  <si>
    <t>103066</t>
  </si>
  <si>
    <r>
      <rPr>
        <b/>
        <sz val="11"/>
        <color theme="1"/>
        <rFont val="Aptos Narrow"/>
        <family val="1"/>
        <charset val="136"/>
        <scheme val="minor"/>
      </rPr>
      <t>AWS PS Job :  SICHK-Web App</t>
    </r>
    <r>
      <rPr>
        <sz val="11"/>
        <color theme="1"/>
        <rFont val="Aptos Narrow"/>
        <family val="2"/>
        <scheme val="minor"/>
      </rPr>
      <t xml:space="preserve"> ( $43, 200) + PM ( $15,000)
[7-Jul-2022] I-order completed AWS ID of UAT.</t>
    </r>
    <r>
      <rPr>
        <sz val="11"/>
        <color rgb="FFFF0000"/>
        <rFont val="Aptos Narrow"/>
        <family val="1"/>
        <charset val="136"/>
        <scheme val="minor"/>
      </rPr>
      <t xml:space="preserve"> </t>
    </r>
  </si>
  <si>
    <t>Created on 19-Jun-2022
234935811258 (SICHK_PROD)</t>
  </si>
  <si>
    <t>CL553544</t>
    <phoneticPr fontId="11" type="noConversion"/>
  </si>
  <si>
    <t>832562/3-4</t>
    <phoneticPr fontId="11" type="noConversion"/>
  </si>
  <si>
    <t>103067</t>
  </si>
  <si>
    <t>AWS PS Job :  SICHK-Web App ( $43, 200) + PM ( $15,000)
[7-Jul-2022] I penidng Ran to confirm Requst no. Ran confirmed that it request no should be 832562/3-4 instead. I Completed order AWS ID of PROD</t>
  </si>
  <si>
    <t>CL549661</t>
    <phoneticPr fontId="11" type="noConversion"/>
  </si>
  <si>
    <t>17663/1-2</t>
  </si>
  <si>
    <t>103061</t>
    <phoneticPr fontId="11" type="noConversion"/>
  </si>
  <si>
    <t>AWS PS Job :  SICHK-Web App ( $43, 200) + PM ( $15,000) C-order
[28-Jun-2022] I-order completed. Pending for the 2nd i-order 
[7-Jul-2022]Connie issue another 3 x order for 2 x aws ID + PS job order. 
[15-Jul-2022] C-order issue on 549661 instead of CL553544 ( 4 x CxS record  in total ) .Pending for PS job UAT to close 
[18-Dec-2023] Confirm by Lok PS Job has done. Completed order in CxS</t>
  </si>
  <si>
    <t>Jacky Sezto</t>
  </si>
  <si>
    <t xml:space="preserve">
Root email: admin@diamwarehouse.com</t>
  </si>
  <si>
    <t>CL558258</t>
    <phoneticPr fontId="11" type="noConversion"/>
  </si>
  <si>
    <t>996353/1-2</t>
    <phoneticPr fontId="11" type="noConversion"/>
  </si>
  <si>
    <r>
      <rPr>
        <sz val="11"/>
        <color rgb="FF000000"/>
        <rFont val="Aptos Narrow"/>
        <family val="2"/>
        <scheme val="minor"/>
      </rPr>
      <t xml:space="preserve">AWS PS Job : WebApp ( $29,376) </t>
    </r>
    <r>
      <rPr>
        <sz val="11"/>
        <color rgb="FFFF0000"/>
        <rFont val="Aptos Narrow"/>
        <family val="2"/>
        <scheme val="minor"/>
      </rPr>
      <t xml:space="preserve">I-order  &lt;SD11524927&gt;
</t>
    </r>
    <r>
      <rPr>
        <sz val="11"/>
        <color rgb="FF000000"/>
        <rFont val="Aptos Narrow"/>
        <family val="2"/>
        <scheme val="minor"/>
      </rPr>
      <t xml:space="preserve">Email :jackyszeto@chowtaifook.com
[28-Jun-2022] Pending for I-order issue.
[2-Aug-2022] </t>
    </r>
    <r>
      <rPr>
        <sz val="11"/>
        <color rgb="FFFF0000"/>
        <rFont val="Aptos Narrow"/>
        <family val="2"/>
        <scheme val="minor"/>
      </rPr>
      <t xml:space="preserve">Customer accept the invition. Pending for usage to create account in cloudcheckr and send welcome letter. Then pending for order issue to close case in system 
</t>
    </r>
    <r>
      <rPr>
        <sz val="11"/>
        <color rgb="FF000000"/>
        <rFont val="Aptos Narrow"/>
        <family val="2"/>
        <scheme val="minor"/>
      </rPr>
      <t>[12-aug-2022] Completed I-order in system. Pending for C-order issue. 
[17-Aug-2022] Get TID from Connie. Welcome letter sent</t>
    </r>
  </si>
  <si>
    <t>Ah Yiu</t>
  </si>
  <si>
    <t xml:space="preserve">
Existing Microsoft A/C : chowsangsang.com</t>
  </si>
  <si>
    <t>CL554574</t>
  </si>
  <si>
    <t>942035/1-2</t>
  </si>
  <si>
    <t>103074</t>
  </si>
  <si>
    <t>[27-Jul-22] Received Order
[29-Jul-22] Added Azure subscription and sent welcome letter. Completed in CxS /w SRD on 29-Jul-22</t>
  </si>
  <si>
    <t>Dennis Chan</t>
  </si>
  <si>
    <t>28886188 / 9198 9167</t>
    <phoneticPr fontId="11" type="noConversion"/>
  </si>
  <si>
    <t>dennis.tc.chan@pccw.com</t>
    <phoneticPr fontId="11" type="noConversion"/>
  </si>
  <si>
    <t>Remark :  Record only. No provisioning job is required 
Email  dennis.tc.chan@pccw.com
[29-Jul-2022] Pending for order issue</t>
    <phoneticPr fontId="11" type="noConversion"/>
  </si>
  <si>
    <t>Mr. CM  HO</t>
    <phoneticPr fontId="11" type="noConversion"/>
  </si>
  <si>
    <t>27605809</t>
    <phoneticPr fontId="11" type="noConversion"/>
  </si>
  <si>
    <t xml:space="preserve">
Root: ceddhkt@hkt-cloud.com 
PW: Hktcus008_cedd</t>
  </si>
  <si>
    <t>CL549520</t>
    <phoneticPr fontId="11" type="noConversion"/>
  </si>
  <si>
    <t>984564/1-2</t>
  </si>
  <si>
    <t>103086</t>
    <phoneticPr fontId="11" type="noConversion"/>
  </si>
  <si>
    <t>GA24-00000974\1(OM)</t>
  </si>
  <si>
    <t>Remark: PS job 
Address: CIVIL ENGINEERING AND DEVELOPMENT Building, 101 Margaret Princess Rd, Ho Man Tin
Email : cmho@cedd.gov.hk
[10-Aug-2022] Passed order to PS team + T2
[26-Aug-2022] Account created &amp; linked under HKT. Passed account to T2 &amp; ps team for support. 
[29-Aug-2022] Order completed with SRD on 26-Aug-2022. HKT Managed account. No welcome letter send
[28-Feb-2023] CloudCheckr account is created for cmho@cedd.gov.hk. Welcome letter sent
[26-Apr-2024] Lok replies that PS job for CEDD has finished
[3-May-2024] Close CxS Order on 3-May-2024</t>
  </si>
  <si>
    <t>http://10.10.10.209/OASIS_FILE_MANAGER/zip_files_download.php?qid=1173081&amp;serialno=GA24-00000974&amp;itemno=1&amp;token=4c9c8052ef72fa96bad22a04d363ee62</t>
  </si>
  <si>
    <t xml:space="preserve">AWS PS Job : WebApp ( $29,376) C--order
[5-Aug-2022] I-Order completed and sent email to connie for C-order issue. 
[25-Oct-2022] Connie confirmed that PS job completed. Completed C-order in CxS. </t>
    <phoneticPr fontId="11" type="noConversion"/>
  </si>
  <si>
    <t>Ronald Tin</t>
    <phoneticPr fontId="11" type="noConversion"/>
  </si>
  <si>
    <t>28838840 / 96476011</t>
    <phoneticPr fontId="11" type="noConversion"/>
  </si>
  <si>
    <t>googleone_support@hkcsl.com</t>
  </si>
  <si>
    <t>CL542959</t>
  </si>
  <si>
    <t>676936/1-2</t>
    <phoneticPr fontId="11" type="noConversion"/>
  </si>
  <si>
    <t>103102</t>
    <phoneticPr fontId="11" type="noConversion"/>
  </si>
  <si>
    <t xml:space="preserve">Remark : Ronald.HF.Tin@pccw.com
Project Name: Google One Project
[22-Aug-2022] Account created. Pending for order issue and order no. for welcome letter issue
[8-Sep-2022] Welcome letter sent. 
[24-Nov-2022] Completed order in CxS on 24-Nov with SRD on 8-Sep
</t>
    <phoneticPr fontId="11" type="noConversion"/>
  </si>
  <si>
    <t>Mr Hannson IP</t>
  </si>
  <si>
    <t>hasson.ip@6ixty8ight.com</t>
  </si>
  <si>
    <t xml:space="preserve">
New Microsoft A/C : 6ixty8ightltd.onmicrosoft.com</t>
  </si>
  <si>
    <t>CL543920</t>
  </si>
  <si>
    <t>542960/1-2</t>
  </si>
  <si>
    <t>103104</t>
  </si>
  <si>
    <t>&lt;&lt;SD11531964&gt;&gt;
Professional Service HKD $101400 (PS amount include in CxS Order)
[15-Sep-22] Received Order. Passed Order to Lo Erik YT
[19-Sep-22] Added Azure subscription and sent welcome letter. Passed welcome letter to Lo Erik YT + T2
[18-Dec-2023] Confirm by Lok PS Job has done. Completed order in CxS</t>
  </si>
  <si>
    <t>Philip Chan</t>
    <phoneticPr fontId="11" type="noConversion"/>
  </si>
  <si>
    <t xml:space="preserve">Root : aws_bc_poc@sfc.hk
</t>
  </si>
  <si>
    <t>CL550804</t>
    <phoneticPr fontId="11" type="noConversion"/>
  </si>
  <si>
    <t>384478/1-2</t>
    <phoneticPr fontId="11" type="noConversion"/>
  </si>
  <si>
    <t>103118</t>
  </si>
  <si>
    <t>Remark: PS job $48600
Email : philipchan@sfc.hk
[28-Sep-2022] Sales Simon confirmed that it is PS job only. Customer will not migrate the existing AWS ID to HKT. Passed order Lok. 
[24-Nov-22] Sent email to Lok for status update. UAT recieve ( not signed off by cus yet )
[1-Dec-22] Completed order in system with SRD on 19-Oct-2022 as chase by Thomas ( signed UAT not rec'd yet)</t>
  </si>
  <si>
    <t>Closed</t>
  </si>
  <si>
    <t>Danny Ho</t>
  </si>
  <si>
    <t>26603768</t>
  </si>
  <si>
    <t>danny.ho@lkk.com</t>
  </si>
  <si>
    <t>Microsoft ID : cd7e99dd-4e43-43bf-8ccf-0e0e87a938c6
Azure ID : f0a6d8a1-87e8-4bce-ab51-030211954207</t>
  </si>
  <si>
    <t xml:space="preserve">
NEW Microsoft A/C : lkkhldg.onmicrosoft.com</t>
  </si>
  <si>
    <t>CL549117</t>
  </si>
  <si>
    <t>507675/1-2</t>
    <phoneticPr fontId="11" type="noConversion"/>
  </si>
  <si>
    <t>103115</t>
  </si>
  <si>
    <r>
      <rPr>
        <b/>
        <strike/>
        <sz val="11"/>
        <color rgb="FF000000"/>
        <rFont val="Aptos Narrow"/>
        <family val="2"/>
        <scheme val="minor"/>
      </rPr>
      <t xml:space="preserve">With existing Microsoft Account provided by HKT
</t>
    </r>
    <r>
      <rPr>
        <sz val="11"/>
        <color rgb="FF000000"/>
        <rFont val="Aptos Narrow"/>
        <family val="2"/>
        <scheme val="minor"/>
      </rPr>
      <t>NEW Microsoft 365 Account
&lt;&lt;SD11537977&gt;&gt;
[27-Sep-22] Received Order
[28-Sep-22] Sent email to AM (Leung, Jefferson BY) lkkhk.onmicrosoft.com already subscriotions Azure Plan
[17-Oct-22] Senior AM (Choy, Ruby SY) confirmed create new Azure Subscription
[18-Oct-22] Created Microsoft 365 A/C, Added Azure subscription and sent welcome letter
[16-Jan-24]  Confirm by Lok "HK and SH implementation completed". Completed CxS order</t>
    </r>
  </si>
  <si>
    <t>David Pang</t>
    <phoneticPr fontId="11" type="noConversion"/>
  </si>
  <si>
    <t>CRC5-ODC-DEV</t>
    <phoneticPr fontId="11" type="noConversion"/>
  </si>
  <si>
    <t>hoitcsc5mobile@ha.org.hk</t>
    <phoneticPr fontId="11" type="noConversion"/>
  </si>
  <si>
    <t>Address: 3/F, Multi-service Centre, Queen Elizabeth Hospital, 30 Gascoigne Road, K.L.N</t>
    <phoneticPr fontId="11" type="noConversion"/>
  </si>
  <si>
    <t>CL544210</t>
    <phoneticPr fontId="11" type="noConversion"/>
  </si>
  <si>
    <t>585289/3-4</t>
    <phoneticPr fontId="11" type="noConversion"/>
  </si>
  <si>
    <t>Address: 3/F, Multi-service Centre, Queen Elizabeth Hospital, 30 Gascoigne Road, K.L.N
Customer Contact: David Pang
Email : hoitcsc5mobile@ha.org.hk
Huawei A/C Name : CRC5-ODC-DEV
Huawei ID : 70eb31a782bb440fbe14e7d102bef5ce
Remarks: mapped to CRC5-ODC-DEV Katie's record 
[11-Jan-2024] Close CxS order</t>
    <phoneticPr fontId="11" type="noConversion"/>
  </si>
  <si>
    <t>Nelson Ng</t>
    <phoneticPr fontId="11" type="noConversion"/>
  </si>
  <si>
    <t>CL552183</t>
  </si>
  <si>
    <t>973065/1-2</t>
    <phoneticPr fontId="11" type="noConversion"/>
  </si>
  <si>
    <t>103122</t>
  </si>
  <si>
    <r>
      <rPr>
        <b/>
        <sz val="11"/>
        <color theme="1"/>
        <rFont val="Aptos Narrow"/>
        <family val="1"/>
        <charset val="136"/>
        <scheme val="minor"/>
      </rPr>
      <t>PS job Charge : $29,000 (Consultancy service)</t>
    </r>
    <r>
      <rPr>
        <sz val="11"/>
        <color theme="1"/>
        <rFont val="Aptos Narrow"/>
        <family val="2"/>
        <scheme val="minor"/>
      </rPr>
      <t xml:space="preserve">
Address: C/O  Daiwa Capital Market Inv Asia Ltd, 28/F One Pacific Place, 88 Queenway, HK
Email : nelson.ng@hk.daiwacm.com</t>
    </r>
    <r>
      <rPr>
        <sz val="11"/>
        <color theme="1"/>
        <rFont val="Aptos Narrow"/>
        <family val="1"/>
        <charset val="136"/>
        <scheme val="minor"/>
      </rPr>
      <t xml:space="preserve">
[7-Oct] Consultancy service. No account creation is required. </t>
    </r>
    <r>
      <rPr>
        <sz val="11"/>
        <color rgb="FFFF0000"/>
        <rFont val="Aptos Narrow"/>
        <family val="1"/>
        <charset val="136"/>
        <scheme val="minor"/>
      </rPr>
      <t xml:space="preserve">Thomas reply that Stanley Tang will provide the consultancy service and will adivse us once complete for case closure. </t>
    </r>
    <r>
      <rPr>
        <sz val="11"/>
        <color theme="1"/>
        <rFont val="Aptos Narrow"/>
        <family val="1"/>
        <charset val="136"/>
        <scheme val="minor"/>
      </rPr>
      <t xml:space="preserve">
[7-Dec-2022] Thomas confirmed that order completed. Completed order with SRD on 2-Dec-2022. </t>
    </r>
  </si>
  <si>
    <t>Brenda Tse (Admin)
Frank Hui (tech. )</t>
    <phoneticPr fontId="11" type="noConversion"/>
  </si>
  <si>
    <t>2157 2657
2157 2658</t>
    <phoneticPr fontId="11" type="noConversion"/>
  </si>
  <si>
    <t xml:space="preserve">
Email : brenda@ebrokernet.com</t>
  </si>
  <si>
    <t>CL545203</t>
    <phoneticPr fontId="11" type="noConversion"/>
  </si>
  <si>
    <t>537067/1-2</t>
    <phoneticPr fontId="11" type="noConversion"/>
  </si>
  <si>
    <t>103126</t>
    <phoneticPr fontId="11" type="noConversion"/>
  </si>
  <si>
    <t>Alicloud Testing account 
Brenda Tse
email : brenda@ebrokernet.com
Estimated cost : US 2500 
[12-Oct-2022] Invitation sent to user and pending for acc creation. Also, still waiting for sales to confirm if one more account is require for HKT testing
[28-Oct-2022] Account creation completed by cus
[1-Nov-2022] ORder completed in system. Welcome letter sent</t>
    <phoneticPr fontId="11" type="noConversion"/>
  </si>
  <si>
    <t>Brenda Tse (Admin)
Frank Hui (tech. )</t>
  </si>
  <si>
    <t xml:space="preserve">
Email : kevinlo@ebrokernet.com</t>
  </si>
  <si>
    <t>CL545205</t>
    <phoneticPr fontId="11" type="noConversion"/>
  </si>
  <si>
    <t>537067/3-4</t>
    <phoneticPr fontId="11" type="noConversion"/>
  </si>
  <si>
    <t>103127</t>
    <phoneticPr fontId="11" type="noConversion"/>
  </si>
  <si>
    <t>Alicloud Testing account 
Brenda Tse
email : brenda@ebrokernet.com
Estimated cost : US 2500 
[12-Oct-2022] Invitation sent to user and pending for acc creation. Also, still waiting for sales to confirm if one more account is require for HKT testing
[1-Nov-2022] Account creation completed by cus.
[1-Nov-2022] ORder completed in system. Welcome letter sent</t>
    <phoneticPr fontId="11" type="noConversion"/>
  </si>
  <si>
    <t>CL541872</t>
    <phoneticPr fontId="11" type="noConversion"/>
  </si>
  <si>
    <t>103134</t>
    <phoneticPr fontId="11" type="noConversion"/>
  </si>
  <si>
    <r>
      <t xml:space="preserve">Remark: Project DXS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t>
    </r>
    <r>
      <rPr>
        <sz val="11"/>
        <color rgb="FFFF0000"/>
        <rFont val="Aptos Narrow"/>
        <family val="1"/>
        <charset val="136"/>
        <scheme val="minor"/>
      </rPr>
      <t xml:space="preserve">C-order on CL558258 will be issued. </t>
    </r>
    <r>
      <rPr>
        <sz val="11"/>
        <color theme="1"/>
        <rFont val="Aptos Narrow"/>
        <family val="2"/>
        <scheme val="minor"/>
      </rPr>
      <t xml:space="preserve">
</t>
    </r>
  </si>
  <si>
    <t>Jacky Sezto</t>
    <phoneticPr fontId="11" type="noConversion"/>
  </si>
  <si>
    <r>
      <t xml:space="preserve">HONG KONG DIAMOND WAREHOUSE COMPANY LIMITED 
</t>
    </r>
    <r>
      <rPr>
        <sz val="11"/>
        <color rgb="FFFF0000"/>
        <rFont val="Aptos Narrow"/>
        <family val="1"/>
        <scheme val="minor"/>
      </rPr>
      <t>&lt;group company of Chow Tai Fook ( aldy group under CTF) &gt;</t>
    </r>
  </si>
  <si>
    <t>979950820764</t>
  </si>
  <si>
    <t>IP range: 172.16.22.0/24
website domain name: rcs.diamwarehouse.com
DNS record:ns-1124.awsdns-12.org; ns-1726.awsdns-23.co.uk; ns-395.awsdns-49.com; ns-762.awsdns-31.net</t>
  </si>
  <si>
    <t>RN 742029/1</t>
  </si>
  <si>
    <t>Remark: Project DXS ($28,080)
[24-Oct-2022] I-order issue but pending for benson &amp; Lok to confirm if same model as CTF that cus will have their own master payer acc and MS team to create AWS ID on behalf
[24-Oct-2022] confirmed with Connie &amp; Lok that customer will use the same AWS ID ( CL558258) instead of new. No I-order is required. This  I -order will be cxl. and C-order on CL558258 will be issued. Pending for C-order to issue
[16-Jun-2023] Sent email to connie for status update. Connie said will get CTF jacky's approval for invoice issueing. Pending for Connie's update
[11-Jul-23] Received Order. Completed in CxS (Completion Date : 11-Jul-23)</t>
  </si>
  <si>
    <t>Matthew Lee</t>
    <phoneticPr fontId="11" type="noConversion"/>
  </si>
  <si>
    <t>Under HKMA Master Payer Account (544341884120)</t>
  </si>
  <si>
    <t>163182236872</t>
  </si>
  <si>
    <r>
      <rPr>
        <b/>
        <i/>
        <sz val="11"/>
        <color rgb="FFFF0000"/>
        <rFont val="Aptos Narrow"/>
        <family val="2"/>
        <scheme val="minor"/>
      </rPr>
      <t xml:space="preserve">
</t>
    </r>
    <r>
      <rPr>
        <sz val="11"/>
        <color rgb="FF000000"/>
        <rFont val="Aptos Narrow"/>
        <family val="2"/>
        <scheme val="minor"/>
      </rPr>
      <t xml:space="preserve">Email address : hkma_rtgs@hkma.gov.hk 
</t>
    </r>
  </si>
  <si>
    <t>CL549956</t>
    <phoneticPr fontId="11" type="noConversion"/>
  </si>
  <si>
    <r>
      <t>Address:  55/F, Two interntional Finance Centre, 8 Finance Street, HK
Customer’s Contact: Felix Wong fywwong@hkma.gov.hk
[26-Oct-2022] Sent request to Ingram for AWS migration.
[26-Oct-2022] Activation email sent to customer and cus accpeted the invitation.</t>
    </r>
    <r>
      <rPr>
        <sz val="11"/>
        <color rgb="FFFF0000"/>
        <rFont val="Aptos Narrow"/>
        <family val="1"/>
        <charset val="136"/>
        <scheme val="minor"/>
      </rPr>
      <t xml:space="preserve"> Pending for order issue  / send welcome letter &amp; then complete order in system.
[27-OCt-2022] Completed order in CxS and pending for usage comsumption to send welcome letter</t>
    </r>
    <r>
      <rPr>
        <sz val="11"/>
        <color theme="1"/>
        <rFont val="Aptos Narrow"/>
        <family val="2"/>
        <scheme val="minor"/>
      </rPr>
      <t xml:space="preserve">
[15-Nov-2022] checked reflect in system on 28-Oct-2022. Welcome letter sent
[28-Nov-2022] CloudCheckr invitation link sent. (hkma_rtgs@hkma.gov.hk ) </t>
    </r>
  </si>
  <si>
    <t>588607980446</t>
  </si>
  <si>
    <t>uat environment</t>
  </si>
  <si>
    <r>
      <rPr>
        <b/>
        <i/>
        <sz val="11"/>
        <color rgb="FFFF0000"/>
        <rFont val="Aptos Narrow"/>
        <family val="2"/>
        <scheme val="minor"/>
      </rPr>
      <t xml:space="preserve">
</t>
    </r>
    <r>
      <rPr>
        <sz val="11"/>
        <color rgb="FF000000"/>
        <rFont val="Aptos Narrow"/>
        <family val="2"/>
        <scheme val="minor"/>
      </rPr>
      <t xml:space="preserve">UAT Environment 
Email address: hkfmi_pcsp_ua@hkma.gov.hk 
</t>
    </r>
  </si>
  <si>
    <t>CL547331</t>
    <phoneticPr fontId="11" type="noConversion"/>
  </si>
  <si>
    <t>998101/1-2</t>
    <phoneticPr fontId="11" type="noConversion"/>
  </si>
  <si>
    <r>
      <t>[1-Nov-2022] Lok will create the acc for customer. Accounted creaetd.</t>
    </r>
    <r>
      <rPr>
        <sz val="11"/>
        <color rgb="FFFF0000"/>
        <rFont val="Aptos Narrow"/>
        <family val="1"/>
        <charset val="136"/>
        <scheme val="minor"/>
      </rPr>
      <t xml:space="preserve"> Pending for order issue</t>
    </r>
    <r>
      <rPr>
        <sz val="11"/>
        <color theme="1"/>
        <rFont val="Aptos Narrow"/>
        <family val="2"/>
        <scheme val="minor"/>
      </rPr>
      <t xml:space="preserve">
[14-Nov-2022] Order issued. TID missing and welcome letter will be sent once TID confirm
[21-Nov-2022] Checked acc is reflected in cloudcheckr. Welcome letter sent &amp; close case in CxS with SRD on 15-Nov
[28-Nov-2022] CloudCheckr invitation link sent.(hkma_rtgs@hkma.gov.hk )</t>
    </r>
  </si>
  <si>
    <t>544341884120</t>
    <phoneticPr fontId="11" type="noConversion"/>
  </si>
  <si>
    <t>901394530738</t>
  </si>
  <si>
    <t>Production environment</t>
  </si>
  <si>
    <r>
      <rPr>
        <b/>
        <i/>
        <sz val="11"/>
        <color rgb="FFFF0000"/>
        <rFont val="Aptos Narrow"/>
        <family val="2"/>
        <scheme val="minor"/>
      </rPr>
      <t xml:space="preserve">
</t>
    </r>
    <r>
      <rPr>
        <sz val="11"/>
        <color rgb="FF000000"/>
        <rFont val="Aptos Narrow"/>
        <family val="2"/>
        <scheme val="minor"/>
      </rPr>
      <t xml:space="preserve">Production Environment 
Email address: hkfmi_pcsp_pd@hkma.gov.hk 
</t>
    </r>
  </si>
  <si>
    <t>CL548985</t>
    <phoneticPr fontId="11" type="noConversion"/>
  </si>
  <si>
    <t>998101/3-4</t>
    <phoneticPr fontId="11" type="noConversion"/>
  </si>
  <si>
    <t>143823dc-c73a-462c-9a44-e2b17417b2e3</t>
  </si>
  <si>
    <t>ABPS</t>
  </si>
  <si>
    <t>Refer Worksheet</t>
  </si>
  <si>
    <t xml:space="preserve">CL542343
</t>
  </si>
  <si>
    <t xml:space="preserve">RN 557530/1-2
</t>
  </si>
  <si>
    <t xml:space="preserve">103278
</t>
  </si>
  <si>
    <t>Bulk order (Total x22)
[15-Nov-22] Received Order.
[21-Nov-22] Completed in CxS (Completion Date : 01-Oct-22)</t>
  </si>
  <si>
    <t>HAGo-Website-PRO</t>
  </si>
  <si>
    <t>CL546910</t>
  </si>
  <si>
    <t>RN 557530/3-4</t>
  </si>
  <si>
    <t>103277</t>
  </si>
  <si>
    <t>HAGo-Website-DEV</t>
  </si>
  <si>
    <t>CL547712</t>
  </si>
  <si>
    <t>RN 557530/5-6</t>
  </si>
  <si>
    <t>103276</t>
  </si>
  <si>
    <t>HAGO-GOPC-Booking</t>
  </si>
  <si>
    <t>CL551240</t>
  </si>
  <si>
    <t>RN 557530/7-8</t>
  </si>
  <si>
    <t>103275</t>
  </si>
  <si>
    <t>rg-node-aks-dev-hk-gopc-internal</t>
  </si>
  <si>
    <t>CL551288</t>
  </si>
  <si>
    <t>RN 557530/9-10</t>
  </si>
  <si>
    <t>103274</t>
  </si>
  <si>
    <t>EA1-CDRA-DEV</t>
  </si>
  <si>
    <t>CL551428</t>
  </si>
  <si>
    <t>RN 557530/11-12</t>
  </si>
  <si>
    <t>103273</t>
  </si>
  <si>
    <t>EA1-CDRA-PRD</t>
  </si>
  <si>
    <t>CL551627</t>
  </si>
  <si>
    <t>RN 557530/13-14</t>
  </si>
  <si>
    <t>103272</t>
  </si>
  <si>
    <t>ehrss-pro</t>
  </si>
  <si>
    <t>ehrss_pro</t>
  </si>
  <si>
    <t>CL551993</t>
  </si>
  <si>
    <t>RN 557530/15-16</t>
  </si>
  <si>
    <t>103271</t>
  </si>
  <si>
    <t>ehrss-uat</t>
  </si>
  <si>
    <t>ehrss_uat</t>
  </si>
  <si>
    <t>CL552016</t>
  </si>
  <si>
    <t>RN 557530/17-18</t>
  </si>
  <si>
    <t>103270</t>
  </si>
  <si>
    <t>cmsonramp-pro-csp</t>
  </si>
  <si>
    <t>CL552301</t>
  </si>
  <si>
    <t>RN 557530/19-20</t>
  </si>
  <si>
    <t>103269</t>
  </si>
  <si>
    <t>AzureBackupRG_eastasia_1</t>
  </si>
  <si>
    <t>CL552362</t>
  </si>
  <si>
    <t>RN 557530/21-22</t>
  </si>
  <si>
    <t>103268</t>
  </si>
  <si>
    <t>dashboards</t>
  </si>
  <si>
    <t xml:space="preserve">CL552667
</t>
  </si>
  <si>
    <t xml:space="preserve">RN 058490/1-2
</t>
  </si>
  <si>
    <t xml:space="preserve">103289
</t>
  </si>
  <si>
    <t>HA-pro-mysql</t>
  </si>
  <si>
    <t>CL552777</t>
  </si>
  <si>
    <t>RN 058490/3-4</t>
  </si>
  <si>
    <t>103288</t>
  </si>
  <si>
    <t>HAcostexport</t>
  </si>
  <si>
    <t>CL553060</t>
  </si>
  <si>
    <t>RN 058490/5-6</t>
  </si>
  <si>
    <t>103287</t>
  </si>
  <si>
    <t>ISO2-EVTHUB-PRD</t>
  </si>
  <si>
    <t>CL553170</t>
  </si>
  <si>
    <t>RN 058490/7-8</t>
  </si>
  <si>
    <t>103286</t>
  </si>
  <si>
    <t>pubcloudazure</t>
  </si>
  <si>
    <t>CL553373</t>
  </si>
  <si>
    <t>RN 058490/9-10</t>
  </si>
  <si>
    <t>103285</t>
  </si>
  <si>
    <t>CentralAdminNetwork</t>
  </si>
  <si>
    <t>CL553402</t>
  </si>
  <si>
    <t>RN 058490/11-12</t>
  </si>
  <si>
    <t>103284</t>
  </si>
  <si>
    <t>centrallogarchive</t>
  </si>
  <si>
    <t>CL553403</t>
  </si>
  <si>
    <t>RN 058490/13-14</t>
  </si>
  <si>
    <t>103283</t>
  </si>
  <si>
    <t>cloud-shell-storage-southeastasia</t>
  </si>
  <si>
    <t>CL553428</t>
  </si>
  <si>
    <t>RN 058490/15-16</t>
  </si>
  <si>
    <t>103282</t>
  </si>
  <si>
    <t>T7Testing</t>
  </si>
  <si>
    <t>CL553567</t>
  </si>
  <si>
    <t>RN 058490/17-18</t>
  </si>
  <si>
    <t>103281</t>
  </si>
  <si>
    <t>DefaultResourceGroup-SEA</t>
  </si>
  <si>
    <t>CL553568</t>
  </si>
  <si>
    <t>RN 058490/19-20</t>
  </si>
  <si>
    <t>103280</t>
  </si>
  <si>
    <t>NetworkWatcherRG</t>
  </si>
  <si>
    <t>CL554439</t>
  </si>
  <si>
    <t>RN 058490/21-22</t>
  </si>
  <si>
    <t>103279</t>
  </si>
  <si>
    <t>524889937358</t>
    <phoneticPr fontId="11" type="noConversion"/>
  </si>
  <si>
    <t>524889937358</t>
  </si>
  <si>
    <t>hk43</t>
  </si>
  <si>
    <t xml:space="preserve">CL557051
</t>
  </si>
  <si>
    <t xml:space="preserve">RN 270064/1-2
</t>
  </si>
  <si>
    <t xml:space="preserve">103156
</t>
  </si>
  <si>
    <t>Bulk order (Total x53)
[11-Nov-22] Received Order. Completed in CxS (Completion Date : 01-Oct-22)
CxS Remark :
*CAB PLEASE FIND ATTACHED UPDATED FORM. BOTH ONE OFF CHARGE &amp; UPCOMING MONTHLY BILL SHALL BE HANDLED BY PRODUCT TEAM. ORDER TEAM DO NOT REQUIRE ISSUE ANY BILL BUT TO ISSUE ORDER ONLY.</t>
  </si>
  <si>
    <t>049374870028</t>
  </si>
  <si>
    <t>HADSP-AWS-PRD</t>
  </si>
  <si>
    <t>CL557052</t>
  </si>
  <si>
    <t>RN 270064/3-4</t>
  </si>
  <si>
    <t>103155</t>
  </si>
  <si>
    <t>460743257238</t>
  </si>
  <si>
    <t>HADSP-AWS-TST</t>
  </si>
  <si>
    <t>CL557061</t>
  </si>
  <si>
    <t>RN 270064/5-6</t>
  </si>
  <si>
    <t>103154</t>
  </si>
  <si>
    <t>053591492963</t>
  </si>
  <si>
    <t>HADSP-AWS-DEV</t>
  </si>
  <si>
    <t>CL557063</t>
  </si>
  <si>
    <t>RN 270064/7-8</t>
  </si>
  <si>
    <t>103153</t>
  </si>
  <si>
    <t>543436471458</t>
  </si>
  <si>
    <t>CL557065</t>
  </si>
  <si>
    <t>RN 270064/9-10</t>
  </si>
  <si>
    <t>103152</t>
  </si>
  <si>
    <t>512535743304</t>
  </si>
  <si>
    <t>VIS</t>
  </si>
  <si>
    <t>CL557066</t>
  </si>
  <si>
    <t>RN 270064/11-12</t>
  </si>
  <si>
    <t>103151</t>
  </si>
  <si>
    <t>128001854195</t>
  </si>
  <si>
    <t>VIS-DEV</t>
  </si>
  <si>
    <t>CL557068</t>
  </si>
  <si>
    <t>RN 270064/13-14</t>
  </si>
  <si>
    <t>103150</t>
  </si>
  <si>
    <t>376052441174</t>
  </si>
  <si>
    <t>NLTD-DEV</t>
  </si>
  <si>
    <t>CL557074</t>
  </si>
  <si>
    <t>RN 270064/15-16</t>
  </si>
  <si>
    <t>103149</t>
  </si>
  <si>
    <t>176039711069</t>
  </si>
  <si>
    <t>NLTD-PROD</t>
  </si>
  <si>
    <t>CL557146</t>
  </si>
  <si>
    <t>RN 270064/17-18</t>
  </si>
  <si>
    <t>103148</t>
  </si>
  <si>
    <t>075662742746</t>
  </si>
  <si>
    <t>CRER-DEV</t>
  </si>
  <si>
    <t>CL547770</t>
  </si>
  <si>
    <t xml:space="preserve">RN 679141/1-2
</t>
  </si>
  <si>
    <t xml:space="preserve">103167
</t>
  </si>
  <si>
    <t>256955456914</t>
  </si>
  <si>
    <t>HA5-PAYHA-SHARESERVICE</t>
  </si>
  <si>
    <t>CL548302</t>
  </si>
  <si>
    <t>RN 679141/3-4</t>
  </si>
  <si>
    <t>103166</t>
  </si>
  <si>
    <t>639907841745</t>
  </si>
  <si>
    <t>HA5-PAYHA-PRD</t>
  </si>
  <si>
    <t>CL548515</t>
  </si>
  <si>
    <t>RN 679141/5-6</t>
  </si>
  <si>
    <t>103165</t>
  </si>
  <si>
    <t>122535610696</t>
  </si>
  <si>
    <t>HA5-PAYHA-TST</t>
  </si>
  <si>
    <t>CL550286</t>
  </si>
  <si>
    <t>RN 679141/7-8</t>
  </si>
  <si>
    <t>103164</t>
  </si>
  <si>
    <t>049957933998</t>
  </si>
  <si>
    <t>HA5-PAYHA-DEV</t>
  </si>
  <si>
    <t>CL550781</t>
  </si>
  <si>
    <t>RN 679141/9-10</t>
  </si>
  <si>
    <t>103163</t>
  </si>
  <si>
    <t>188779517673</t>
  </si>
  <si>
    <t>CP2-HAGO-CORE-GW-SIT</t>
  </si>
  <si>
    <t>CL555998</t>
  </si>
  <si>
    <t>RN 679141/11-12</t>
  </si>
  <si>
    <t>103162</t>
  </si>
  <si>
    <t>467674278180</t>
  </si>
  <si>
    <t>CP2-HAGO-CORE-GW-AAT</t>
  </si>
  <si>
    <t>CL556559</t>
  </si>
  <si>
    <t>RN 679141/13-14</t>
  </si>
  <si>
    <t>103161</t>
  </si>
  <si>
    <t>457035395698</t>
  </si>
  <si>
    <t>CP2-HAGO-CORE-GW-PRD</t>
  </si>
  <si>
    <t>CL557560</t>
  </si>
  <si>
    <t>RN 679141/15-16</t>
  </si>
  <si>
    <t>103160</t>
  </si>
  <si>
    <t>844535754549</t>
  </si>
  <si>
    <t>CP2-HAGO-CORE-HABOT-PRD</t>
  </si>
  <si>
    <t>CL557568</t>
  </si>
  <si>
    <t>RN 679141/17-18</t>
  </si>
  <si>
    <t>103159</t>
  </si>
  <si>
    <t>012014491798</t>
  </si>
  <si>
    <t>CDS-APP-DEV</t>
  </si>
  <si>
    <t>CL557726</t>
  </si>
  <si>
    <t>RN 679141/19-20</t>
  </si>
  <si>
    <t>103158</t>
  </si>
  <si>
    <t>696505919154</t>
  </si>
  <si>
    <t xml:space="preserve">CL557727
</t>
  </si>
  <si>
    <t xml:space="preserve">RN 028201/1-2
</t>
  </si>
  <si>
    <t xml:space="preserve">103177
</t>
  </si>
  <si>
    <t>759356819132</t>
  </si>
  <si>
    <t>CD1-MYHEALTH-DEV</t>
  </si>
  <si>
    <t>CL557730</t>
  </si>
  <si>
    <t>RN 028201/3-4</t>
  </si>
  <si>
    <t>103176</t>
  </si>
  <si>
    <t>694667180569</t>
  </si>
  <si>
    <t>CD1-MYHEALTH-TST</t>
  </si>
  <si>
    <t>CL557893</t>
  </si>
  <si>
    <t>RN 028201/5-6</t>
  </si>
  <si>
    <t>103175</t>
  </si>
  <si>
    <t>654807731179</t>
  </si>
  <si>
    <t>PMS-DEV</t>
  </si>
  <si>
    <t>CL557927</t>
  </si>
  <si>
    <t>RN 028201/7-8</t>
  </si>
  <si>
    <t>103174</t>
  </si>
  <si>
    <t>697870019002</t>
  </si>
  <si>
    <t>PMS-TST</t>
  </si>
  <si>
    <t>CL557967</t>
  </si>
  <si>
    <t>RN 028201/9-10</t>
  </si>
  <si>
    <t>103173</t>
  </si>
  <si>
    <t>603144460229</t>
  </si>
  <si>
    <t>EA1-AWS</t>
  </si>
  <si>
    <t>CL557974</t>
  </si>
  <si>
    <t>RN 028201/11-12</t>
  </si>
  <si>
    <t>103172</t>
  </si>
  <si>
    <t>756301147953</t>
  </si>
  <si>
    <t>EA1-DEV-AWS</t>
  </si>
  <si>
    <t>CL558269</t>
  </si>
  <si>
    <t>RN 028201/13-14</t>
  </si>
  <si>
    <t>103171</t>
  </si>
  <si>
    <t>343630618342</t>
  </si>
  <si>
    <t>EA1-TEST-AWS</t>
  </si>
  <si>
    <t>CL558313</t>
  </si>
  <si>
    <t>RN 028201/15-16</t>
  </si>
  <si>
    <t>103170</t>
  </si>
  <si>
    <t>625555642064</t>
  </si>
  <si>
    <t>HA Convention</t>
  </si>
  <si>
    <t>CL558382</t>
  </si>
  <si>
    <t>RN 028201/17-18</t>
  </si>
  <si>
    <t>103169</t>
  </si>
  <si>
    <t>323300206444</t>
  </si>
  <si>
    <t>CL558406</t>
  </si>
  <si>
    <t>RN 028201/19-20</t>
  </si>
  <si>
    <t>103168</t>
  </si>
  <si>
    <t>577522762620</t>
  </si>
  <si>
    <t xml:space="preserve">CL559220
</t>
  </si>
  <si>
    <t xml:space="preserve">RN 827637/21-22
</t>
  </si>
  <si>
    <t xml:space="preserve">103187
</t>
  </si>
  <si>
    <t>668573157785</t>
  </si>
  <si>
    <t>EA2-HA-ALS-DEV</t>
  </si>
  <si>
    <t>CL559221</t>
  </si>
  <si>
    <t>RN 827637/23-24</t>
  </si>
  <si>
    <t>103186</t>
  </si>
  <si>
    <t>770158123269</t>
  </si>
  <si>
    <t>PCD-IOT </t>
  </si>
  <si>
    <t>CL559245</t>
  </si>
  <si>
    <t>RN 827637/25-26</t>
  </si>
  <si>
    <t>103185</t>
  </si>
  <si>
    <t>836175332282</t>
  </si>
  <si>
    <t>HA CDE Central Admin</t>
  </si>
  <si>
    <t>CL559258</t>
  </si>
  <si>
    <t>RN 827637/27-28</t>
  </si>
  <si>
    <t>103184</t>
  </si>
  <si>
    <t>900276383916</t>
  </si>
  <si>
    <t>HA CDE DEV</t>
  </si>
  <si>
    <t>CL559266</t>
  </si>
  <si>
    <t>RN 827637/29-30</t>
  </si>
  <si>
    <t>103183</t>
  </si>
  <si>
    <t>303498446923</t>
  </si>
  <si>
    <t>HA CDE TST</t>
  </si>
  <si>
    <t>CL559277</t>
  </si>
  <si>
    <t>RN 827637/31-32</t>
  </si>
  <si>
    <t>103182</t>
  </si>
  <si>
    <t>170287327282</t>
  </si>
  <si>
    <t>HA CDE PRD</t>
  </si>
  <si>
    <t>CL559289</t>
  </si>
  <si>
    <t>RN 827637/33-34</t>
  </si>
  <si>
    <t>103181</t>
  </si>
  <si>
    <t>850482043059</t>
  </si>
  <si>
    <t>HA-SED-IOT-PRD</t>
  </si>
  <si>
    <t>CL559305</t>
  </si>
  <si>
    <t>RN 827637/35-26</t>
  </si>
  <si>
    <t>103180</t>
  </si>
  <si>
    <t>950775305730</t>
  </si>
  <si>
    <t>HA-SED-IOT-DEV</t>
  </si>
  <si>
    <t>CL559324</t>
  </si>
  <si>
    <t>RN 827637/37-38</t>
  </si>
  <si>
    <t>103179</t>
  </si>
  <si>
    <t>284255161359</t>
  </si>
  <si>
    <t>HA-SED-IOT-TST</t>
  </si>
  <si>
    <t>CL559335</t>
  </si>
  <si>
    <t>RN 827637/39-40</t>
  </si>
  <si>
    <t>103178</t>
  </si>
  <si>
    <t>813047678849</t>
  </si>
  <si>
    <t>DHC IoT Cloud Service</t>
    <phoneticPr fontId="11" type="noConversion"/>
  </si>
  <si>
    <t xml:space="preserve">CL546772
</t>
  </si>
  <si>
    <t xml:space="preserve">RN 134873/1-2
</t>
  </si>
  <si>
    <t xml:space="preserve">103199
</t>
  </si>
  <si>
    <t>724771388780</t>
  </si>
  <si>
    <t>AM3-TAF-PRD</t>
  </si>
  <si>
    <t>CL546773</t>
  </si>
  <si>
    <t>RN 134873/3-4</t>
  </si>
  <si>
    <t>103198</t>
  </si>
  <si>
    <t>988807277632</t>
  </si>
  <si>
    <t>AM3-TAF-DEV</t>
  </si>
  <si>
    <t>CL550465</t>
  </si>
  <si>
    <t>RN 134873/5-6</t>
  </si>
  <si>
    <t>103197</t>
  </si>
  <si>
    <t>466151215387</t>
  </si>
  <si>
    <t>AM1-PPP-DEV</t>
  </si>
  <si>
    <t>CL550471</t>
  </si>
  <si>
    <t>RN 134873/7-8</t>
  </si>
  <si>
    <t>103196</t>
  </si>
  <si>
    <t>697899461708</t>
  </si>
  <si>
    <t>ISO1-MPP</t>
  </si>
  <si>
    <t>CL550479</t>
  </si>
  <si>
    <t>RN 134873/9-10</t>
  </si>
  <si>
    <t>103195</t>
  </si>
  <si>
    <t>755277287189</t>
  </si>
  <si>
    <t>PT-AWS</t>
  </si>
  <si>
    <t>CL558315</t>
  </si>
  <si>
    <t>RN 134873/11-12</t>
  </si>
  <si>
    <t>103194</t>
  </si>
  <si>
    <t>659079656400</t>
  </si>
  <si>
    <t>pubcloudaws</t>
  </si>
  <si>
    <t xml:space="preserve">CL559424
</t>
  </si>
  <si>
    <t xml:space="preserve">RN 970183/1-2
</t>
  </si>
  <si>
    <t xml:space="preserve">103205
</t>
  </si>
  <si>
    <t>567422936242</t>
  </si>
  <si>
    <t>pubcloudaws.log</t>
  </si>
  <si>
    <t>CL559425</t>
  </si>
  <si>
    <t>RN 970183/3-4</t>
  </si>
  <si>
    <t>103204</t>
  </si>
  <si>
    <t>478850036365</t>
  </si>
  <si>
    <t>pubcloudaws.sec</t>
  </si>
  <si>
    <t>CL559431</t>
  </si>
  <si>
    <t>RN 970183/5-6</t>
  </si>
  <si>
    <t>103203</t>
  </si>
  <si>
    <t>972749074460</t>
  </si>
  <si>
    <t>TMS.DAAS</t>
  </si>
  <si>
    <t>CL559441</t>
  </si>
  <si>
    <t>RN 970183/7-8</t>
  </si>
  <si>
    <t>103202</t>
  </si>
  <si>
    <t>043587851744</t>
  </si>
  <si>
    <t>CSC-MYHEALTH-PRD</t>
  </si>
  <si>
    <t>CL559442</t>
  </si>
  <si>
    <t>RN 970183/9-10</t>
  </si>
  <si>
    <t>103201</t>
  </si>
  <si>
    <t>196370130104</t>
  </si>
  <si>
    <t>CRC5-PMS-AAT</t>
  </si>
  <si>
    <t>CL559443</t>
  </si>
  <si>
    <t>RN 970183/11-12</t>
  </si>
  <si>
    <t>103200</t>
  </si>
  <si>
    <t>001423059988</t>
  </si>
  <si>
    <t>CRC5-PMS-PRD</t>
  </si>
  <si>
    <t>CL557044</t>
  </si>
  <si>
    <t>RN 140613/1-2</t>
  </si>
  <si>
    <t>103146</t>
  </si>
  <si>
    <t>458835980493</t>
  </si>
  <si>
    <t>CP5-ODC-DEV</t>
  </si>
  <si>
    <t xml:space="preserve">
hoitcs5team@ha.org.hk</t>
  </si>
  <si>
    <t>CL542310</t>
  </si>
  <si>
    <t>RN 302223/3-4</t>
  </si>
  <si>
    <t>103298</t>
  </si>
  <si>
    <t>[16-Nov-2022]  Account created. Order will be issued later
CP5-ODC-DEV
hoitcs5team@ha.org.hk
[23-Nov-22] Received Order
[25-Nov-22] Completed in CxS (Completion Date : 24-Nov-22)</t>
  </si>
  <si>
    <t xml:space="preserve">CL545906
</t>
    <phoneticPr fontId="11" type="noConversion"/>
  </si>
  <si>
    <t>RN 480398/1-2</t>
    <phoneticPr fontId="11" type="noConversion"/>
  </si>
  <si>
    <t xml:space="preserve">103189
</t>
    <phoneticPr fontId="11" type="noConversion"/>
  </si>
  <si>
    <t>Bulk order (Total x42)
[16-Nov-22] Received Order.
[21-Nov-22] Completed in CxS (Completion Date : 01-Oct-22)</t>
  </si>
  <si>
    <t>**663135064680</t>
  </si>
  <si>
    <t>Refer Worksheet - HOSPITAL AUTHORITY (Huawei)</t>
  </si>
  <si>
    <t>CL548573</t>
  </si>
  <si>
    <t>RN 480398/3-4</t>
  </si>
  <si>
    <t>103210</t>
  </si>
  <si>
    <t>**701769266508</t>
  </si>
  <si>
    <t>CL552294</t>
  </si>
  <si>
    <t>RN 480398/5-6</t>
  </si>
  <si>
    <t>103209</t>
  </si>
  <si>
    <t>**231821842894</t>
  </si>
  <si>
    <t>CL556329</t>
  </si>
  <si>
    <t>RN 480398/7-8</t>
  </si>
  <si>
    <t>103212</t>
  </si>
  <si>
    <t>**944132020796</t>
  </si>
  <si>
    <t>CL559448</t>
  </si>
  <si>
    <t>RN 480398/9-10</t>
  </si>
  <si>
    <t>103211</t>
  </si>
  <si>
    <t>**358227096084</t>
  </si>
  <si>
    <t>CL559449</t>
  </si>
  <si>
    <t>RN 480398/11-12</t>
  </si>
  <si>
    <t>103207</t>
  </si>
  <si>
    <t>**980916656635</t>
  </si>
  <si>
    <t>CL559450</t>
  </si>
  <si>
    <t>RN 480398/13-14</t>
  </si>
  <si>
    <t>103208</t>
  </si>
  <si>
    <t>**435697460466</t>
  </si>
  <si>
    <t>CL559497</t>
  </si>
  <si>
    <t>RN 480398/15-16</t>
  </si>
  <si>
    <t>103206</t>
  </si>
  <si>
    <t>**102462828250</t>
  </si>
  <si>
    <t>CL559617</t>
  </si>
  <si>
    <t>RN 480398/17-18</t>
  </si>
  <si>
    <t>103220</t>
  </si>
  <si>
    <t>**746256351929</t>
  </si>
  <si>
    <t>CL559618</t>
  </si>
  <si>
    <t>RN 480398/19-20</t>
  </si>
  <si>
    <t>103219</t>
  </si>
  <si>
    <t>**552174405047</t>
  </si>
  <si>
    <t xml:space="preserve">CL559631
</t>
  </si>
  <si>
    <t xml:space="preserve">RN 697663/1-2
</t>
  </si>
  <si>
    <t xml:space="preserve">103218
</t>
  </si>
  <si>
    <t>**121573566763</t>
  </si>
  <si>
    <t>CL559632</t>
  </si>
  <si>
    <t>RN 697663/3-4</t>
  </si>
  <si>
    <t>103217</t>
  </si>
  <si>
    <t>**948780817280</t>
  </si>
  <si>
    <t>CL559643</t>
  </si>
  <si>
    <t>RN 697663/5-6</t>
  </si>
  <si>
    <t>103216</t>
  </si>
  <si>
    <t>**317412804065</t>
  </si>
  <si>
    <t>CL559671</t>
  </si>
  <si>
    <t>RN 697663/7-8</t>
  </si>
  <si>
    <t>103215</t>
  </si>
  <si>
    <t>**952464488813</t>
  </si>
  <si>
    <t>CL559684</t>
  </si>
  <si>
    <t>RN 697663/9-10</t>
  </si>
  <si>
    <t>103214</t>
  </si>
  <si>
    <t>**675623608430</t>
  </si>
  <si>
    <t>CL559692</t>
  </si>
  <si>
    <t>RN 697663/11-12</t>
  </si>
  <si>
    <t>103222</t>
  </si>
  <si>
    <t>**171778719522</t>
  </si>
  <si>
    <t>CL559714</t>
  </si>
  <si>
    <t>RN 697663/13-14</t>
  </si>
  <si>
    <t>103213</t>
  </si>
  <si>
    <t>**537703417739</t>
  </si>
  <si>
    <t xml:space="preserve">CL559717
</t>
  </si>
  <si>
    <t xml:space="preserve">RN 989491/1-2
</t>
  </si>
  <si>
    <t xml:space="preserve">103229
</t>
  </si>
  <si>
    <t>**895375962062</t>
  </si>
  <si>
    <t>CL559718</t>
  </si>
  <si>
    <t>RN 989491/3-4</t>
  </si>
  <si>
    <t>103228</t>
  </si>
  <si>
    <t>**854263989659</t>
  </si>
  <si>
    <t>CL559721</t>
  </si>
  <si>
    <t>RN 989491/5-6</t>
  </si>
  <si>
    <t>103227</t>
  </si>
  <si>
    <t>**824593638275</t>
  </si>
  <si>
    <t>CL559722</t>
  </si>
  <si>
    <t>RN 989491/7-8</t>
  </si>
  <si>
    <t>103226</t>
  </si>
  <si>
    <t>**982763935155</t>
  </si>
  <si>
    <t>CL559727</t>
  </si>
  <si>
    <t>RN 989491/9-10</t>
  </si>
  <si>
    <t>103225</t>
  </si>
  <si>
    <t>**800093025465</t>
  </si>
  <si>
    <t>CL559732</t>
  </si>
  <si>
    <t>RN 989491/11-12</t>
  </si>
  <si>
    <t>103224</t>
  </si>
  <si>
    <t>**327212654314</t>
  </si>
  <si>
    <t>CL559751</t>
    <phoneticPr fontId="11" type="noConversion"/>
  </si>
  <si>
    <t>RN 989491/13-14</t>
  </si>
  <si>
    <t>103223</t>
  </si>
  <si>
    <t>**6810376304342</t>
  </si>
  <si>
    <t xml:space="preserve">CL559758
</t>
  </si>
  <si>
    <t xml:space="preserve">RN 981564/1-2
</t>
  </si>
  <si>
    <t xml:space="preserve">103237
</t>
  </si>
  <si>
    <t>**524889937358</t>
  </si>
  <si>
    <t>CL559759</t>
  </si>
  <si>
    <t>RN 981564/3-4</t>
  </si>
  <si>
    <t>103236</t>
  </si>
  <si>
    <t>**49374870028</t>
  </si>
  <si>
    <t>CL559782</t>
  </si>
  <si>
    <t>RN 981564/5-6</t>
  </si>
  <si>
    <t>103235</t>
  </si>
  <si>
    <t>**460743257238</t>
  </si>
  <si>
    <t>CL559796</t>
  </si>
  <si>
    <t>RN 981564/7-8</t>
  </si>
  <si>
    <t>103234</t>
  </si>
  <si>
    <t>**53591492963</t>
  </si>
  <si>
    <t>CL559803</t>
  </si>
  <si>
    <t>RN 981564/9-10</t>
  </si>
  <si>
    <t>103233</t>
  </si>
  <si>
    <t>**543436471458</t>
  </si>
  <si>
    <t>CL559805</t>
  </si>
  <si>
    <t>RN 981564/11-12</t>
  </si>
  <si>
    <t>103232</t>
  </si>
  <si>
    <t>**512535743304</t>
  </si>
  <si>
    <t>CL559818</t>
  </si>
  <si>
    <t>RN 981564/13-14</t>
  </si>
  <si>
    <t>103231</t>
  </si>
  <si>
    <t>**128001854195</t>
  </si>
  <si>
    <t xml:space="preserve">CL559820
</t>
  </si>
  <si>
    <t xml:space="preserve">RN 856810/1-2
</t>
  </si>
  <si>
    <t xml:space="preserve">103230
</t>
  </si>
  <si>
    <t>**376052441174</t>
  </si>
  <si>
    <t>CL559827</t>
  </si>
  <si>
    <t>RN 856810/3-4</t>
  </si>
  <si>
    <t>103243</t>
  </si>
  <si>
    <t>**176039711069</t>
  </si>
  <si>
    <t>CL559843</t>
  </si>
  <si>
    <t>RN 856810/5-6</t>
  </si>
  <si>
    <t>103242</t>
  </si>
  <si>
    <t>**75662742746</t>
  </si>
  <si>
    <t>CL559844</t>
  </si>
  <si>
    <t>RN 856810/7-8</t>
  </si>
  <si>
    <t>103241</t>
  </si>
  <si>
    <t>**256955456914</t>
  </si>
  <si>
    <t>CL559851</t>
  </si>
  <si>
    <t>RN 856810/9-10</t>
  </si>
  <si>
    <t>103240</t>
  </si>
  <si>
    <t>**639907841745</t>
  </si>
  <si>
    <t>CL559862</t>
  </si>
  <si>
    <t>RN 856810/11-12</t>
  </si>
  <si>
    <t>103239</t>
  </si>
  <si>
    <t>**122535610696</t>
  </si>
  <si>
    <t>CL559875</t>
  </si>
  <si>
    <t>RN 856810/13-14</t>
  </si>
  <si>
    <t>103238</t>
  </si>
  <si>
    <t>**49957933998</t>
  </si>
  <si>
    <t xml:space="preserve">CL559876
</t>
  </si>
  <si>
    <t xml:space="preserve">RN 739006/1-2
</t>
  </si>
  <si>
    <t xml:space="preserve">103246
</t>
  </si>
  <si>
    <t>**188779517673</t>
  </si>
  <si>
    <t>CL559877</t>
  </si>
  <si>
    <t>RN 739006/3-4</t>
  </si>
  <si>
    <t>103245</t>
  </si>
  <si>
    <t>**467674278180</t>
  </si>
  <si>
    <t>CL559881</t>
  </si>
  <si>
    <t>RN 739006/5-6</t>
  </si>
  <si>
    <t>103244</t>
  </si>
  <si>
    <t>**457035395698</t>
  </si>
  <si>
    <t>CL559887</t>
  </si>
  <si>
    <t>RN 739006/7-8</t>
  </si>
  <si>
    <t>103221</t>
  </si>
  <si>
    <t>SCDB-ODC-DEV
scdbpubliccloudadmin@ha.org.hk</t>
  </si>
  <si>
    <t>CL549302</t>
  </si>
  <si>
    <t>RN 094061/3-4</t>
  </si>
  <si>
    <t>103300</t>
  </si>
  <si>
    <t>[17-Nov-22]  Account created. Order will be issued later
SCDB-ODC-DEV
scdbpubliccloudadmin@ha.org.hk
[23-Nov-22] Received Order
[25-Nov-22] Completed in CxS (Completion Date : 24-Nov-22)</t>
  </si>
  <si>
    <t>CRC1-ODC-DEV
hoitcrc1@ha.org.hk</t>
  </si>
  <si>
    <t>CL549177</t>
  </si>
  <si>
    <t>RN 496867/1-2</t>
  </si>
  <si>
    <t>103297</t>
  </si>
  <si>
    <t>[21-Nov-22]  Account created. Order will be issued later
CRC1-ODC-DEV
hoitcrc1@ha.org.hk
[23-Nov-22] Received Order
[25-Nov-22] Completed in CxS (Completion Date : 24-Nov-22)</t>
  </si>
  <si>
    <t>Microsoft.Security</t>
  </si>
  <si>
    <t>MC_EA1-CDRA-DEV_ghe-runner_eastasia
EA1CDRAPRD@hahk.onmicrosoft.com</t>
  </si>
  <si>
    <t>CL557354</t>
  </si>
  <si>
    <t>RN 944081/3-4</t>
  </si>
  <si>
    <t>103294</t>
  </si>
  <si>
    <t>[18-Nov-22] Received Order
[25-Nov-22] Completed in CxS (Completion Date : 24-Nov-22)</t>
  </si>
  <si>
    <t>azureapp-auto-alerts-42d11a-Kin_hahk_onmicrosoft_com</t>
  </si>
  <si>
    <t>Microsoft.Security
pubcloudazure@hahk.onmicrosoft.com</t>
  </si>
  <si>
    <t>CL559970</t>
  </si>
  <si>
    <t>RN 944081/7-8</t>
  </si>
  <si>
    <t>103296</t>
  </si>
  <si>
    <t>MC_EA1-CDRA-DEV_ghe-runner_eastasia</t>
  </si>
  <si>
    <t>azureapp-auto-alerts-42d11a-Kin_hahk_onmicrosoft_com
pubcloudazure@hahk.onmicrosoft.com</t>
  </si>
  <si>
    <t>CL556531</t>
  </si>
  <si>
    <t>RN 944081/1-2</t>
  </si>
  <si>
    <t>103295</t>
  </si>
  <si>
    <t>**654807731179</t>
  </si>
  <si>
    <t>AIS1-AILAB-DEV</t>
  </si>
  <si>
    <t>CL553973</t>
  </si>
  <si>
    <t>RN 793716/1-2</t>
  </si>
  <si>
    <t>103304</t>
  </si>
  <si>
    <r>
      <rPr>
        <b/>
        <sz val="11"/>
        <rFont val="Calibri"/>
        <family val="2"/>
      </rPr>
      <t>AWS PS Job</t>
    </r>
    <r>
      <rPr>
        <sz val="11"/>
        <rFont val="Calibri"/>
        <family val="2"/>
      </rPr>
      <t xml:space="preserve">
[25-Nov-22] Redeived Order. Completed in CxS (Completion Date : 01-Oct-22)</t>
    </r>
  </si>
  <si>
    <t>**697870019002</t>
  </si>
  <si>
    <t>KEC-eTSS-PRD</t>
  </si>
  <si>
    <t>CL554555</t>
  </si>
  <si>
    <t>RN 793716/3-4</t>
  </si>
  <si>
    <t>103303</t>
  </si>
  <si>
    <r>
      <rPr>
        <b/>
        <sz val="11"/>
        <rFont val="Calibri"/>
        <family val="2"/>
      </rPr>
      <t>Azure PS Job</t>
    </r>
    <r>
      <rPr>
        <sz val="11"/>
        <rFont val="Calibri"/>
        <family val="2"/>
      </rPr>
      <t xml:space="preserve">
[25-Nov-22] Redeived Order. Completed in CxS (Completion Date : 01-Oct-22)</t>
    </r>
  </si>
  <si>
    <t>CL555393</t>
  </si>
  <si>
    <t>RN 793716/5-6</t>
  </si>
  <si>
    <t>103302</t>
  </si>
  <si>
    <r>
      <rPr>
        <b/>
        <sz val="11"/>
        <rFont val="Calibri"/>
        <family val="2"/>
      </rPr>
      <t>Huawei PS Job</t>
    </r>
    <r>
      <rPr>
        <sz val="11"/>
        <rFont val="Calibri"/>
        <family val="2"/>
      </rPr>
      <t xml:space="preserve">
[25-Nov-22] Redeived Order. Completed in CxS (Completion Date : 30-Oct-22) =&gt; Due to completion date cannot less than the application date</t>
    </r>
  </si>
  <si>
    <t>Closed</t>
    <phoneticPr fontId="11" type="noConversion"/>
  </si>
  <si>
    <t>wai chung</t>
  </si>
  <si>
    <t>2610 8769 / 90323685</t>
  </si>
  <si>
    <t xml:space="preserve">
Email : aws_giauat@chowtaifook.com</t>
  </si>
  <si>
    <t>CL546829</t>
    <phoneticPr fontId="11" type="noConversion"/>
  </si>
  <si>
    <t>846082/1-2</t>
    <phoneticPr fontId="11" type="noConversion"/>
  </si>
  <si>
    <r>
      <t xml:space="preserve">Project GIA &amp; EDM (AWS ID x 4)
</t>
    </r>
    <r>
      <rPr>
        <sz val="11"/>
        <rFont val="Aptos Narrow"/>
        <family val="1"/>
        <charset val="136"/>
        <scheme val="minor"/>
      </rPr>
      <t>[20-Dec-2022]  rec'd order requset from Connie. Pending for I-order issue</t>
    </r>
    <r>
      <rPr>
        <sz val="11"/>
        <color theme="1"/>
        <rFont val="Aptos Narrow"/>
        <family val="2"/>
        <scheme val="minor"/>
      </rPr>
      <t xml:space="preserve">
[29-Dec-2022]  rec'd order and checked AWS ID were created on 16-Dec-2022. Completed CxS order with SRD on 16-Dec-2022. </t>
    </r>
  </si>
  <si>
    <t>703990999043 (GIA_Web_Prod)
Email : aws_giaprd@chowtaifook.com</t>
  </si>
  <si>
    <t>CL546955</t>
  </si>
  <si>
    <t>846082/3-4</t>
    <phoneticPr fontId="11" type="noConversion"/>
  </si>
  <si>
    <t>103328</t>
    <phoneticPr fontId="11" type="noConversion"/>
  </si>
  <si>
    <t>AWS ID: 667156402260 (EDM_Middleware_UAT)
Email : aws_edmuat@chowtaifook.com</t>
  </si>
  <si>
    <t>CL547483</t>
    <phoneticPr fontId="11" type="noConversion"/>
  </si>
  <si>
    <t>846082/5-6</t>
    <phoneticPr fontId="11" type="noConversion"/>
  </si>
  <si>
    <t>103329</t>
    <phoneticPr fontId="11" type="noConversion"/>
  </si>
  <si>
    <t>AWS ID: 826540206450 (EDM_Middleware_Prod)
Email : aws_edmprd@chowtaifook.com</t>
    <phoneticPr fontId="11" type="noConversion"/>
  </si>
  <si>
    <t>CL547813</t>
  </si>
  <si>
    <t>846082/7-8</t>
    <phoneticPr fontId="11" type="noConversion"/>
  </si>
  <si>
    <t>103330</t>
    <phoneticPr fontId="11" type="noConversion"/>
  </si>
  <si>
    <t>49397/1-2</t>
  </si>
  <si>
    <t>PS Job : GIA $51,840 &amp; EDM $43,200 ( PS Charge total: $90,288) CL546829
[20-Dec-2022]   pending for I-order then C-order to issue
[29-Dec-2022]  I-order completed and informed Connie &amp; Seikei.  Pending for C-order issue
[12-Apr-2023] still pending for connie's confrimation to close order. Rec'd cus confirmation email from Lam Tam. Completed order in Cxs with completion date on 12-Apr-2023</t>
  </si>
  <si>
    <t>Ms Iris PANG</t>
  </si>
  <si>
    <t>iris.pang@jardines.com</t>
  </si>
  <si>
    <t>JARDINE MATHESON LTD</t>
  </si>
  <si>
    <t>CL545969</t>
  </si>
  <si>
    <t>RN 471548/1-2</t>
  </si>
  <si>
    <t>103326</t>
  </si>
  <si>
    <r>
      <rPr>
        <b/>
        <sz val="11"/>
        <color theme="1"/>
        <rFont val="Aptos Narrow"/>
        <family val="2"/>
        <scheme val="minor"/>
      </rPr>
      <t>Microsoft Azure (Add the Managed Service only)</t>
    </r>
    <r>
      <rPr>
        <sz val="11"/>
        <color theme="1"/>
        <rFont val="Aptos Narrow"/>
        <family val="2"/>
        <scheme val="minor"/>
      </rPr>
      <t xml:space="preserve">
[28-Dec-22] Received Order</t>
    </r>
    <r>
      <rPr>
        <sz val="11"/>
        <color theme="1"/>
        <rFont val="Aptos Narrow"/>
        <family val="2"/>
        <scheme val="minor"/>
      </rPr>
      <t>. Completed in CxS (Completion Date : 28-Dec-22)</t>
    </r>
  </si>
  <si>
    <t>Chi Keung CHAN, HOIT&amp;HI SA(EHP3)2</t>
  </si>
  <si>
    <t>ehpawspoc@ha.org.hk</t>
  </si>
  <si>
    <t>EHP3-EPP-POC</t>
  </si>
  <si>
    <t>Email : ehpawspoc@ha.org.hk</t>
  </si>
  <si>
    <t>Address : 7/F, KITEC, 1 Trademart Drive, Kowloon Bay, Kowloon</t>
    <phoneticPr fontId="11" type="noConversion"/>
  </si>
  <si>
    <t>CL550138</t>
    <phoneticPr fontId="11" type="noConversion"/>
  </si>
  <si>
    <t>RN 496575/1-2</t>
    <phoneticPr fontId="11" type="noConversion"/>
  </si>
  <si>
    <t>103364</t>
  </si>
  <si>
    <t>SD11551977</t>
    <phoneticPr fontId="11" type="noConversion"/>
  </si>
  <si>
    <r>
      <rPr>
        <b/>
        <sz val="11"/>
        <rFont val="Aptos Narrow"/>
        <family val="2"/>
        <scheme val="minor"/>
      </rPr>
      <t>AWS Cloud</t>
    </r>
    <r>
      <rPr>
        <sz val="11"/>
        <rFont val="Aptos Narrow"/>
        <family val="1"/>
        <charset val="136"/>
        <scheme val="minor"/>
      </rPr>
      <t xml:space="preserve">
</t>
    </r>
    <r>
      <rPr>
        <b/>
        <sz val="11"/>
        <rFont val="Aptos Narrow"/>
        <family val="2"/>
        <scheme val="minor"/>
      </rPr>
      <t>&lt;&lt;SD11551977&gt;&gt;</t>
    </r>
    <r>
      <rPr>
        <sz val="11"/>
        <rFont val="Aptos Narrow"/>
        <family val="1"/>
        <charset val="136"/>
        <scheme val="minor"/>
      </rPr>
      <t xml:space="preserve">
[03-Jan-2023] Created AWS A/C</t>
    </r>
    <r>
      <rPr>
        <sz val="11"/>
        <rFont val="Aptos Narrow"/>
        <family val="2"/>
        <scheme val="minor"/>
      </rPr>
      <t xml:space="preserve">
[18-Feb-23] Received Order. </t>
    </r>
    <r>
      <rPr>
        <sz val="11"/>
        <color rgb="FFFF0000"/>
        <rFont val="Aptos Narrow"/>
        <family val="2"/>
        <scheme val="minor"/>
      </rPr>
      <t>A/C created on 03-Jan-23 / CxS SRD on 20-Feb-23</t>
    </r>
    <r>
      <rPr>
        <sz val="11"/>
        <rFont val="Aptos Narrow"/>
        <family val="2"/>
        <scheme val="minor"/>
      </rPr>
      <t xml:space="preserve">
[20-Feb-23] Completed in CxS (Completion Date : 20-Feb-23)</t>
    </r>
  </si>
  <si>
    <t>Gary Or/ Ken TimSit</t>
    <phoneticPr fontId="11" type="noConversion"/>
  </si>
  <si>
    <t>gary.or@cronoslabs.org /ken.timsit@cronoslabs.org/+6581486043</t>
    <phoneticPr fontId="11" type="noConversion"/>
  </si>
  <si>
    <t xml:space="preserve">
Email : gary.or@cronoslabs.org/ ken.timsit@cronoslabs.org</t>
    <phoneticPr fontId="11" type="noConversion"/>
  </si>
  <si>
    <t>Address : Unit 1502, Pacific Plaza, 410 Des Voeux Road West Hong Kong</t>
    <phoneticPr fontId="11" type="noConversion"/>
  </si>
  <si>
    <t>CL549926</t>
  </si>
  <si>
    <t>RN 213591/1-2</t>
  </si>
  <si>
    <t>103338</t>
    <phoneticPr fontId="11" type="noConversion"/>
  </si>
  <si>
    <t>SD11552260</t>
    <phoneticPr fontId="11" type="noConversion"/>
  </si>
  <si>
    <r>
      <rPr>
        <b/>
        <sz val="11"/>
        <color theme="1"/>
        <rFont val="Aptos Narrow"/>
        <family val="1"/>
        <scheme val="minor"/>
      </rPr>
      <t>Alibaba Cloud
&lt;&lt;SD11552260&gt;&gt;</t>
    </r>
    <r>
      <rPr>
        <sz val="11"/>
        <color theme="1"/>
        <rFont val="Aptos Narrow"/>
        <family val="1"/>
        <scheme val="minor"/>
      </rPr>
      <t xml:space="preserve">
[03-Jan-2023] Createed accout &amp; send invite email to customer for registration
[08-Jun-23] Received Order. </t>
    </r>
    <r>
      <rPr>
        <sz val="11"/>
        <color rgb="FFFF0000"/>
        <rFont val="Aptos Narrow"/>
        <family val="1"/>
        <scheme val="minor"/>
      </rPr>
      <t>A/C created on 03-Jan-23 / CxS SRD on 30-Jan-23.</t>
    </r>
    <r>
      <rPr>
        <sz val="11"/>
        <color theme="1"/>
        <rFont val="Aptos Narrow"/>
        <family val="1"/>
        <scheme val="minor"/>
      </rPr>
      <t xml:space="preserve"> Completed in CxS (Completion Date :30-Jan-23)</t>
    </r>
  </si>
  <si>
    <t>CRC3-ODC-DEV</t>
  </si>
  <si>
    <t>crc3cloud@ha.org.hk</t>
  </si>
  <si>
    <t xml:space="preserve">
Email : crc3cloud@ha.org.hk</t>
  </si>
  <si>
    <t>Address : 2/F, HAHO IT&amp;HID office, Multi-service Centre, 30 Gascoigne Road, Kowloon</t>
    <phoneticPr fontId="11" type="noConversion"/>
  </si>
  <si>
    <t>CL553132</t>
    <phoneticPr fontId="11" type="noConversion"/>
  </si>
  <si>
    <t>RN 182625/5-6</t>
  </si>
  <si>
    <t>103356</t>
  </si>
  <si>
    <t>SD11552296</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</si>
  <si>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&lt;&lt;SD11552296&gt;&gt;</t>
    </r>
    <r>
      <rPr>
        <sz val="11"/>
        <color theme="1"/>
        <rFont val="Aptos Narrow"/>
        <family val="2"/>
        <scheme val="minor"/>
      </rPr>
      <t xml:space="preserve">
[04-Jan-23] Created Huawei A/C
[09-Feb-23] Received Order. </t>
    </r>
    <r>
      <rPr>
        <sz val="11"/>
        <color rgb="FFFF0000"/>
        <rFont val="Aptos Narrow"/>
        <family val="2"/>
        <scheme val="minor"/>
      </rPr>
      <t>A/C created on 04-Jan-23 / CxS SRD on 01-Nov-22</t>
    </r>
    <r>
      <rPr>
        <sz val="11"/>
        <color theme="1"/>
        <rFont val="Aptos Narrow"/>
        <family val="2"/>
        <scheme val="minor"/>
      </rPr>
      <t xml:space="preserve">
[15-Feb-23] Sent email to Order Team (Wu, Wendy CM) inquiry the TID. Order Team (Wu, Wendy CM) replied the TID is 103356
[16-Feb-23] Completed in CxS (Completion Date : 01-Nov-22)</t>
    </r>
  </si>
  <si>
    <t>Email: daniel.li@vuclip.com</t>
    <phoneticPr fontId="11" type="noConversion"/>
  </si>
  <si>
    <t>CL542606</t>
    <phoneticPr fontId="11" type="noConversion"/>
  </si>
  <si>
    <t>557051/1-2</t>
  </si>
  <si>
    <t>103337</t>
  </si>
  <si>
    <r>
      <t xml:space="preserve">Email: daniel.li@vuclip.com
[12-Jan-2023] Pending for order issue. Account provisioning handled by Product Team SP team no need to perform anything
</t>
    </r>
    <r>
      <rPr>
        <sz val="11"/>
        <rFont val="Aptos Narrow"/>
        <family val="1"/>
        <charset val="136"/>
        <scheme val="minor"/>
      </rPr>
      <t>[31-Jan-2023] Pending for order team Ran to confirm the CL552606 instead of CL552060 for closing</t>
    </r>
    <r>
      <rPr>
        <sz val="11"/>
        <color rgb="FFFF0000"/>
        <rFont val="Aptos Narrow"/>
        <family val="1"/>
        <charset val="136"/>
        <scheme val="minor"/>
      </rPr>
      <t xml:space="preserve">
</t>
    </r>
    <r>
      <rPr>
        <sz val="11"/>
        <color theme="1"/>
        <rFont val="Aptos Narrow"/>
        <family val="2"/>
        <scheme val="minor"/>
      </rPr>
      <t xml:space="preserve">[31-Jan-2023] Case completed. 
</t>
    </r>
  </si>
  <si>
    <t>Steve CHAN, SA(CP11)2</t>
  </si>
  <si>
    <t>hacmsletterdev@ha.org.hk</t>
    <phoneticPr fontId="11" type="noConversion"/>
  </si>
  <si>
    <t>606734490851</t>
  </si>
  <si>
    <t>CP11-VMC-DEV</t>
  </si>
  <si>
    <t xml:space="preserve">
Email : hacmsletterdev@ha.org.hk</t>
    <phoneticPr fontId="11" type="noConversion"/>
  </si>
  <si>
    <t>CL550145</t>
  </si>
  <si>
    <t>RN 496575/3-4</t>
  </si>
  <si>
    <r>
      <rPr>
        <b/>
        <sz val="11"/>
        <rFont val="Aptos Narrow"/>
        <family val="2"/>
        <scheme val="minor"/>
      </rPr>
      <t>AWS Cloud</t>
    </r>
    <r>
      <rPr>
        <sz val="11"/>
        <rFont val="Aptos Narrow"/>
        <family val="2"/>
        <scheme val="minor"/>
      </rPr>
      <t xml:space="preserve">
[19-Jan-2023] Account created by MS team. Pending for order issue
[18-Feb-23] Received Order. </t>
    </r>
    <r>
      <rPr>
        <sz val="11"/>
        <color rgb="FFFF0000"/>
        <rFont val="Aptos Narrow"/>
        <family val="2"/>
        <scheme val="minor"/>
      </rPr>
      <t>A/C created on 19-Jan-23 / CxS SRD on 20-Feb-23</t>
    </r>
    <r>
      <rPr>
        <sz val="11"/>
        <rFont val="Aptos Narrow"/>
        <family val="2"/>
        <scheme val="minor"/>
      </rPr>
      <t xml:space="preserve">
[20-Feb-23] Completed in CxS (Completion Date : 20-Feb-23)</t>
    </r>
  </si>
  <si>
    <t>cmsletter@ha.org.hk</t>
    <phoneticPr fontId="11" type="noConversion"/>
  </si>
  <si>
    <t>663135064680</t>
  </si>
  <si>
    <t>CP11-VMC-PRD</t>
  </si>
  <si>
    <t xml:space="preserve">
Email : cmsletter@ha.org.hk</t>
    <phoneticPr fontId="11" type="noConversion"/>
  </si>
  <si>
    <t>CL552371</t>
  </si>
  <si>
    <t>RN 496575/5-6</t>
  </si>
  <si>
    <t>100362</t>
  </si>
  <si>
    <t>HA3-ODC-DEV</t>
    <phoneticPr fontId="11" type="noConversion"/>
  </si>
  <si>
    <t xml:space="preserve">ha3odc@ha.org.hk </t>
    <phoneticPr fontId="11" type="noConversion"/>
  </si>
  <si>
    <t>Address : 2/F, HAHO IT&amp;HID office, Multi-service Centre, Queen Elizabeth Hospital, 30 Gascoigne Road, KLN</t>
    <phoneticPr fontId="11" type="noConversion"/>
  </si>
  <si>
    <t xml:space="preserve">
Email : ha3odc@ha.org.hk </t>
    <phoneticPr fontId="11" type="noConversion"/>
  </si>
  <si>
    <t>Address : Room 108, Block R, Kowloon Hospital, 147A Argyle Street, Mong Kong, Hong Kong</t>
    <phoneticPr fontId="11" type="noConversion"/>
  </si>
  <si>
    <t>CL553008</t>
    <phoneticPr fontId="11" type="noConversion"/>
  </si>
  <si>
    <t>RN 182625/7-8</t>
  </si>
  <si>
    <t>103353</t>
  </si>
  <si>
    <t>SD11556027</t>
    <phoneticPr fontId="11" type="noConversion"/>
  </si>
  <si>
    <r>
      <t xml:space="preserve">Huawei Cloud
&lt;&lt;SD11556027&gt;&gt;
</t>
    </r>
    <r>
      <rPr>
        <sz val="11"/>
        <color theme="1"/>
        <rFont val="Aptos Narrow"/>
        <family val="1"/>
        <charset val="136"/>
        <scheme val="minor"/>
      </rPr>
      <t>[27-Jan-23] Created Huawei A/C</t>
    </r>
    <r>
      <rPr>
        <b/>
        <sz val="11"/>
        <color theme="1"/>
        <rFont val="Aptos Narrow"/>
        <family val="1"/>
        <charset val="136"/>
        <scheme val="minor"/>
      </rPr>
      <t xml:space="preserve">
</t>
    </r>
    <r>
      <rPr>
        <sz val="11"/>
        <color theme="1"/>
        <rFont val="Aptos Narrow"/>
        <family val="1"/>
        <charset val="136"/>
        <scheme val="minor"/>
      </rPr>
      <t xml:space="preserve">[09-Feb-23] Received Order. </t>
    </r>
    <r>
      <rPr>
        <sz val="11"/>
        <color rgb="FFFF0000"/>
        <rFont val="Aptos Narrow"/>
        <family val="1"/>
        <charset val="136"/>
        <scheme val="minor"/>
      </rPr>
      <t>A/C created on 27-Jan-23 / CxS SRD on 01-Nov-22</t>
    </r>
    <r>
      <rPr>
        <sz val="11"/>
        <color theme="1"/>
        <rFont val="Aptos Narrow"/>
        <family val="1"/>
        <charset val="136"/>
        <scheme val="minor"/>
      </rPr>
      <t xml:space="preserve">
[15-Feb-23] Sent email to Order Team (Wu, Wendy CM) inquiry the TID. Order Team (Wu, Wendy CM) replied the TID is 103353
[16-Feb-23] Completed in CxS (Completion Date : 01-Nov-22)</t>
    </r>
  </si>
  <si>
    <t>EA3-ODC-DEV</t>
  </si>
  <si>
    <t>hcea3dev@ha.org.hk</t>
  </si>
  <si>
    <t xml:space="preserve">
Email : hcea3dev@ha.org.hk</t>
    <phoneticPr fontId="11" type="noConversion"/>
  </si>
  <si>
    <t>Address : 7/F, KITEC 1 TRADEMART DRIVE, KOWLOON BAY, HONG KONG</t>
    <phoneticPr fontId="11" type="noConversion"/>
  </si>
  <si>
    <t>CL540395</t>
  </si>
  <si>
    <t>RN 209483/3-4</t>
  </si>
  <si>
    <t>103372</t>
  </si>
  <si>
    <t>SD11558575</t>
    <phoneticPr fontId="11" type="noConversion"/>
  </si>
  <si>
    <r>
      <rPr>
        <b/>
        <sz val="11"/>
        <color theme="1"/>
        <rFont val="Aptos Narrow"/>
        <family val="2"/>
        <scheme val="minor"/>
      </rPr>
      <t>Huawei Cloud
&lt;&lt;SD11558575&gt;&gt;</t>
    </r>
    <r>
      <rPr>
        <sz val="11"/>
        <color theme="1"/>
        <rFont val="Aptos Narrow"/>
        <family val="2"/>
        <scheme val="minor"/>
      </rPr>
      <t xml:space="preserve">
[9-Feb-23] Created Huawei A/C
[06-Mar-23] Received Order. </t>
    </r>
    <r>
      <rPr>
        <sz val="11"/>
        <color rgb="FFFF0000"/>
        <rFont val="Aptos Narrow"/>
        <family val="2"/>
        <scheme val="minor"/>
      </rPr>
      <t>A/C created on 09-Feb-23 / CxS SRD on 07-Feb-23</t>
    </r>
    <r>
      <rPr>
        <sz val="11"/>
        <color theme="1"/>
        <rFont val="Aptos Narrow"/>
        <family val="2"/>
        <scheme val="minor"/>
      </rPr>
      <t xml:space="preserve">
[08-Mar-23] Completed in CxS (Completion Date : 07-Feb-23)</t>
    </r>
  </si>
  <si>
    <t>Ken WONG</t>
  </si>
  <si>
    <t>kkwwong@legco.gov.hk</t>
  </si>
  <si>
    <t xml:space="preserve">MS Portal Company Name : LEGISLATIVE COUNCIL SECRETARIAT
Tenant ID: legcosec.onmicrosoft.com
Azure ID : e10b89d7-dd75-42a0-8b7a-8d6aed71dc5c
</t>
  </si>
  <si>
    <t xml:space="preserve">
Email : kkwwong@legco.gov.hk</t>
    <phoneticPr fontId="11" type="noConversion"/>
  </si>
  <si>
    <t>Address : FLAT 406, 4/F, LEGISLATIVE COUNCIL COMPLEX, LEGISLATIVE COUNCIL RD, DISTRICT, HONG KONG</t>
    <phoneticPr fontId="11" type="noConversion"/>
  </si>
  <si>
    <t>CL540979</t>
  </si>
  <si>
    <t>RN 026721/1-2</t>
  </si>
  <si>
    <t>103357</t>
  </si>
  <si>
    <t>SD11559310</t>
    <phoneticPr fontId="11" type="noConversion"/>
  </si>
  <si>
    <t>Azure Cloud &lt;&lt;Backdate&gt;&gt; / &lt;&lt;SD11559310&gt;&gt;
Professional Service (PSEF : CKWT Azure Traffic Manager HKD $3,565.25 + Professional Service Offering HKD $13,300 + 10 Tokens HKD $31,500 = HKD $48,365.25)
[13-Feb-23] Redeived Order. A/C created on 13-Feb-23 / CxS SRD on 08-Feb-23. Sent application form &amp; welcome letter to PS Team (Wong, Lok TT)</t>
  </si>
  <si>
    <t>CL554149</t>
    <phoneticPr fontId="11" type="noConversion"/>
  </si>
  <si>
    <t>RN 239918/1-2</t>
    <phoneticPr fontId="11" type="noConversion"/>
  </si>
  <si>
    <t>103361</t>
  </si>
  <si>
    <r>
      <rPr>
        <b/>
        <sz val="11"/>
        <color rgb="FF000000"/>
        <rFont val="Aptos Narrow"/>
        <family val="2"/>
        <scheme val="minor"/>
      </rPr>
      <t xml:space="preserve">AWS Usage
</t>
    </r>
    <r>
      <rPr>
        <sz val="11"/>
        <color rgb="FF000000"/>
        <rFont val="Aptos Narrow"/>
        <family val="2"/>
        <scheme val="minor"/>
      </rPr>
      <t>Remark: AWS ID 726125834629 is master payer account for CTFJ. 
[14-Feb-2023] Account created before. Issue order for billing only. Order can be closed once isue. 
[17-Feb-2023] Account was created on 15-Mar-2022 but system can be backdate to before application date. Mark completion date on 16-Feb-2023 with remark. (TID: 103361)</t>
    </r>
  </si>
  <si>
    <t>DAIWA CAPITAL MARKETS HONG KONG LIMITED</t>
    <phoneticPr fontId="11" type="noConversion"/>
  </si>
  <si>
    <t>CL534425</t>
    <phoneticPr fontId="11" type="noConversion"/>
  </si>
  <si>
    <t>253242/1-2</t>
    <phoneticPr fontId="11" type="noConversion"/>
  </si>
  <si>
    <t>103340</t>
  </si>
  <si>
    <r>
      <rPr>
        <b/>
        <sz val="11"/>
        <color theme="1"/>
        <rFont val="Aptos Narrow"/>
        <family val="2"/>
        <scheme val="minor"/>
      </rPr>
      <t>Setup MultiCloud (CKWT) : HK$640,000</t>
    </r>
    <r>
      <rPr>
        <sz val="11"/>
        <color theme="1"/>
        <rFont val="Aptos Narrow"/>
        <family val="2"/>
        <scheme val="minor"/>
      </rPr>
      <t xml:space="preserve">
[22-Feb-2023] Rec'd order from order team for PS job with SRD on 12-Jan-2023. Sent email to Lok to verify if the order done.
[16-Mar-23] Sent email to Order Team (Wong, Emily PY) request provide TID
[20-Mar-23] Senior PM (Kwan, Thomas YH) request close the order first, due to need create new order. Completed in CxS (Completion Date : 12-Jan-23). Received TID provide by Order Team (Wong, Emily PY)</t>
    </r>
  </si>
  <si>
    <t>Joe WAN SA(AIS1)5</t>
  </si>
  <si>
    <t>ais1ailabawsdevsupp@ha.org.hk</t>
  </si>
  <si>
    <t>701769266508</t>
  </si>
  <si>
    <t xml:space="preserve">
Email : ais1ailabawsdevsupp@ha.org.hk</t>
    <phoneticPr fontId="11" type="noConversion"/>
  </si>
  <si>
    <t>Address : 7/F, KITEC, Kowloon Bay</t>
    <phoneticPr fontId="11" type="noConversion"/>
  </si>
  <si>
    <t>CL544130</t>
  </si>
  <si>
    <t>RN 546182/1-2</t>
  </si>
  <si>
    <t>103405</t>
  </si>
  <si>
    <r>
      <rPr>
        <b/>
        <sz val="11"/>
        <color theme="1"/>
        <rFont val="Aptos Narrow"/>
        <family val="2"/>
        <scheme val="minor"/>
      </rPr>
      <t>AWS Cloud</t>
    </r>
    <r>
      <rPr>
        <sz val="11"/>
        <color theme="1"/>
        <rFont val="Aptos Narrow"/>
        <family val="2"/>
        <scheme val="minor"/>
      </rPr>
      <t xml:space="preserve">
[23-Feb-23] MultiCloudMS Created AWS A/C
[25-Apr-23] Received Order. </t>
    </r>
    <r>
      <rPr>
        <sz val="11"/>
        <color rgb="FFFF0000"/>
        <rFont val="Aptos Narrow"/>
        <family val="2"/>
        <scheme val="minor"/>
      </rPr>
      <t>A/C created on 23-Feb-23 / CxS SRD on 01-Apr-23</t>
    </r>
    <r>
      <rPr>
        <sz val="11"/>
        <color theme="1"/>
        <rFont val="Aptos Narrow"/>
        <family val="2"/>
        <scheme val="minor"/>
      </rPr>
      <t>. Completed in CxS (Completion Date 01-Apr-23)</t>
    </r>
  </si>
  <si>
    <t>Raymond CHAN, SA(CP2)4</t>
  </si>
  <si>
    <t>hagogcssit@ha.org.hk</t>
  </si>
  <si>
    <t>CP12-HAGO-CORE-GW2-SIT</t>
  </si>
  <si>
    <t xml:space="preserve">
Email : hagogcssit@ha.org.hk</t>
    <phoneticPr fontId="11" type="noConversion"/>
  </si>
  <si>
    <t>Address : 1/F, HAHO IT&amp;HID office, Multi-service Centre, 30 Gascoigne Road, Kowloon</t>
    <phoneticPr fontId="11" type="noConversion"/>
  </si>
  <si>
    <t>CL540187</t>
  </si>
  <si>
    <t>RN 209483/1-2</t>
  </si>
  <si>
    <t>103373</t>
  </si>
  <si>
    <r>
      <rPr>
        <b/>
        <sz val="11"/>
        <color theme="1"/>
        <rFont val="Aptos Narrow"/>
        <family val="2"/>
        <scheme val="minor"/>
      </rPr>
      <t>AWS Cloud</t>
    </r>
    <r>
      <rPr>
        <sz val="11"/>
        <color theme="1"/>
        <rFont val="Aptos Narrow"/>
        <family val="2"/>
        <scheme val="minor"/>
      </rPr>
      <t xml:space="preserve">
[27-Feb-23] MultiCloudMS Created AWS A/C
[06-Mar-23] Received Order. </t>
    </r>
    <r>
      <rPr>
        <sz val="11"/>
        <color rgb="FFFF0000"/>
        <rFont val="Aptos Narrow"/>
        <family val="2"/>
        <scheme val="minor"/>
      </rPr>
      <t>A/C created on 27-Feb-23 / CxS SRD on 01-Mar-23</t>
    </r>
    <r>
      <rPr>
        <sz val="11"/>
        <color theme="1"/>
        <rFont val="Aptos Narrow"/>
        <family val="2"/>
        <scheme val="minor"/>
      </rPr>
      <t xml:space="preserve">
[08-Mar-23] Completed in CxS (Completion Date : 01-Mar-23)</t>
    </r>
  </si>
  <si>
    <t>hagoftcssit@ha.org.hk</t>
  </si>
  <si>
    <t>944132020796</t>
  </si>
  <si>
    <t>CP12-HAGO-FAMILYTOUCH-SIT</t>
  </si>
  <si>
    <t xml:space="preserve">
Email : hagoftcssit@ha.org.hk</t>
    <phoneticPr fontId="11" type="noConversion"/>
  </si>
  <si>
    <t>CL542096</t>
  </si>
  <si>
    <t>RN 209483/5-6</t>
  </si>
  <si>
    <t>103374</t>
  </si>
  <si>
    <t>Debby PUI, HOIT&amp;HI SA(CDC1)4</t>
  </si>
  <si>
    <t>hagogcsubsaat@ha.org.hk</t>
  </si>
  <si>
    <t>358227096084</t>
  </si>
  <si>
    <t>CDC1-HAGO-CORE-GW2-AAT</t>
  </si>
  <si>
    <t xml:space="preserve">
Email : hagogcsubsaat@ha.org.hk</t>
    <phoneticPr fontId="11" type="noConversion"/>
  </si>
  <si>
    <t>CL546642</t>
  </si>
  <si>
    <t>RN 546182/3-4</t>
  </si>
  <si>
    <t>103404</t>
  </si>
  <si>
    <r>
      <rPr>
        <b/>
        <sz val="11"/>
        <color theme="1"/>
        <rFont val="Aptos Narrow"/>
        <family val="2"/>
        <scheme val="minor"/>
      </rPr>
      <t>AWS Cloud</t>
    </r>
    <r>
      <rPr>
        <sz val="11"/>
        <color theme="1"/>
        <rFont val="Aptos Narrow"/>
        <family val="2"/>
        <scheme val="minor"/>
      </rPr>
      <t xml:space="preserve">
[28-Feb-23] MultiCloudMS Created AWS A/C
[25-Apr-23] Received Order. </t>
    </r>
    <r>
      <rPr>
        <sz val="11"/>
        <color rgb="FFFF0000"/>
        <rFont val="Aptos Narrow"/>
        <family val="2"/>
        <scheme val="minor"/>
      </rPr>
      <t>A/C created on 28-Feb-23 / CxS SRD on 01-Apr-23</t>
    </r>
    <r>
      <rPr>
        <sz val="11"/>
        <rFont val="Aptos Narrow"/>
        <family val="2"/>
        <scheme val="minor"/>
      </rPr>
      <t xml:space="preserve">. </t>
    </r>
    <r>
      <rPr>
        <sz val="11"/>
        <color theme="1"/>
        <rFont val="Aptos Narrow"/>
        <family val="2"/>
        <scheme val="minor"/>
      </rPr>
      <t>Completed in CxS (Completion Date 01-Apr-23)</t>
    </r>
  </si>
  <si>
    <t>hagogcsubsprd@ha.org.hk</t>
  </si>
  <si>
    <t>980916656635</t>
  </si>
  <si>
    <t>CDC1-HAGO-CORE-GW2-PRD</t>
  </si>
  <si>
    <t xml:space="preserve">
Email : hagogcsubsprd@ha.org.hk</t>
    <phoneticPr fontId="11" type="noConversion"/>
  </si>
  <si>
    <t>CL547115</t>
  </si>
  <si>
    <t>RN 546182/5-6</t>
  </si>
  <si>
    <t>103403</t>
  </si>
  <si>
    <r>
      <rPr>
        <b/>
        <sz val="11"/>
        <color theme="1"/>
        <rFont val="Aptos Narrow"/>
        <family val="2"/>
        <scheme val="minor"/>
      </rPr>
      <t>AWS Cloud</t>
    </r>
    <r>
      <rPr>
        <sz val="11"/>
        <color theme="1"/>
        <rFont val="Aptos Narrow"/>
        <family val="2"/>
        <scheme val="minor"/>
      </rPr>
      <t xml:space="preserve">
[28-Feb-23] MultiCloudMS Created AWS A/C
[25-Apr-23] Received Order. </t>
    </r>
    <r>
      <rPr>
        <sz val="11"/>
        <color rgb="FFFF0000"/>
        <rFont val="Aptos Narrow"/>
        <family val="2"/>
        <scheme val="minor"/>
      </rPr>
      <t>A/C created on 28-Feb-23 / CxS SRD on 01-Apr-23</t>
    </r>
    <r>
      <rPr>
        <sz val="11"/>
        <color theme="1"/>
        <rFont val="Aptos Narrow"/>
        <family val="2"/>
        <scheme val="minor"/>
      </rPr>
      <t>. Completed in CxS (Completion Date 01-Apr-23)</t>
    </r>
  </si>
  <si>
    <t>Robin LAW, HOIT&amp;HI SA(CDC3)3</t>
  </si>
  <si>
    <t>hoehealthcldawsnp@ha.org.hk</t>
  </si>
  <si>
    <t>435697460466</t>
  </si>
  <si>
    <t>EPP-AWS-DEV</t>
  </si>
  <si>
    <t xml:space="preserve">
Email : hoehealthcldawsnp@ha.org.hk</t>
    <phoneticPr fontId="11" type="noConversion"/>
  </si>
  <si>
    <t>12/F, Harbourside HQ, 8 Lam Chak Street, Kowloon Bay, Kowloon</t>
  </si>
  <si>
    <t>CL548278</t>
  </si>
  <si>
    <t>RN 546182/7-8</t>
  </si>
  <si>
    <t>103402</t>
  </si>
  <si>
    <r>
      <rPr>
        <b/>
        <sz val="11"/>
        <color theme="1"/>
        <rFont val="Aptos Narrow"/>
        <family val="2"/>
        <scheme val="minor"/>
      </rPr>
      <t>AWS Cloud</t>
    </r>
    <r>
      <rPr>
        <sz val="11"/>
        <color theme="1"/>
        <rFont val="Aptos Narrow"/>
        <family val="2"/>
        <scheme val="minor"/>
      </rPr>
      <t xml:space="preserve">
[03-Mar-23] MultiCloudMS Created AWS A/C
[25-Apr-23] Received Order. </t>
    </r>
    <r>
      <rPr>
        <sz val="11"/>
        <color rgb="FFFF0000"/>
        <rFont val="Aptos Narrow"/>
        <family val="2"/>
        <scheme val="minor"/>
      </rPr>
      <t>A/C created on 03-Mar-23 / CxS SRD on 01-Apr-23</t>
    </r>
    <r>
      <rPr>
        <sz val="11"/>
        <color theme="1"/>
        <rFont val="Aptos Narrow"/>
        <family val="2"/>
        <scheme val="minor"/>
      </rPr>
      <t>. Completed in CxS (Completion Date 01-Apr-23)</t>
    </r>
  </si>
  <si>
    <t>hoehealthcldawssit@ha.org.hk</t>
  </si>
  <si>
    <t>102462828250</t>
  </si>
  <si>
    <t>EPP-AWS-SIT</t>
  </si>
  <si>
    <t xml:space="preserve">
Email : hoehealthcldawssit@ha.org.hk</t>
    <phoneticPr fontId="11" type="noConversion"/>
  </si>
  <si>
    <t>CL548536</t>
  </si>
  <si>
    <t>RN 546182/9-10</t>
  </si>
  <si>
    <t>103401</t>
  </si>
  <si>
    <t>Nelson LEUNG, HOIT&amp;HI CSA(EHP10)1</t>
  </si>
  <si>
    <t>ehp10awssupp@ha.org.hk</t>
  </si>
  <si>
    <t>746256351929</t>
  </si>
  <si>
    <t>EHP10-EIF-TST</t>
  </si>
  <si>
    <t xml:space="preserve">
Email : ehp10awssupp@ha.org.hk</t>
    <phoneticPr fontId="11" type="noConversion"/>
  </si>
  <si>
    <t>Address : 701, KITEC, Kowloon Bay</t>
    <phoneticPr fontId="11" type="noConversion"/>
  </si>
  <si>
    <t>CL548682</t>
  </si>
  <si>
    <t>RN 546182/11-12</t>
  </si>
  <si>
    <t>103400</t>
  </si>
  <si>
    <r>
      <rPr>
        <b/>
        <sz val="11"/>
        <color theme="1"/>
        <rFont val="Aptos Narrow"/>
        <family val="2"/>
        <scheme val="minor"/>
      </rPr>
      <t>AWS Cloud</t>
    </r>
    <r>
      <rPr>
        <sz val="11"/>
        <color theme="1"/>
        <rFont val="Aptos Narrow"/>
        <family val="2"/>
        <scheme val="minor"/>
      </rPr>
      <t xml:space="preserve">
[08-Mar-23] MultiCloudMS Created AWS A/C
[25-Apr-23] Received Order. </t>
    </r>
    <r>
      <rPr>
        <sz val="11"/>
        <color rgb="FFFF0000"/>
        <rFont val="Aptos Narrow"/>
        <family val="2"/>
        <scheme val="minor"/>
      </rPr>
      <t>A/C created on 08-Mar-23 / CxS SRD on 01-Apr-23</t>
    </r>
    <r>
      <rPr>
        <sz val="11"/>
        <color theme="1"/>
        <rFont val="Aptos Narrow"/>
        <family val="2"/>
        <scheme val="minor"/>
      </rPr>
      <t>. Completed in CxS (Completion Date 01-Apr-23)</t>
    </r>
  </si>
  <si>
    <t>T7 Team</t>
  </si>
  <si>
    <t>pcshuaweiprd@ha.org.hk</t>
  </si>
  <si>
    <t xml:space="preserve">
Email : pcshuaweiprd@ha.org.hk</t>
    <phoneticPr fontId="11" type="noConversion"/>
  </si>
  <si>
    <t>Address : Unit 601, 6/F, KITEC, Kln. Bay</t>
    <phoneticPr fontId="11" type="noConversion"/>
  </si>
  <si>
    <t>CL550394</t>
  </si>
  <si>
    <t>RN 168792/1-2</t>
  </si>
  <si>
    <t>103410</t>
  </si>
  <si>
    <t>SD11565049</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</si>
  <si>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&lt;&lt;SD11565049&gt;&gt;</t>
    </r>
    <r>
      <rPr>
        <sz val="11"/>
        <color theme="1"/>
        <rFont val="Aptos Narrow"/>
        <family val="2"/>
        <scheme val="minor"/>
      </rPr>
      <t xml:space="preserve">
[14-Mar-23] Created Huawei A/C
[25-Apr-23] Received Order. </t>
    </r>
    <r>
      <rPr>
        <sz val="11"/>
        <color rgb="FFFF0000"/>
        <rFont val="Aptos Narrow"/>
        <family val="2"/>
        <scheme val="minor"/>
      </rPr>
      <t>A/C created on 14-Mar-23 / CxS SRD on 01-Mar-23</t>
    </r>
    <r>
      <rPr>
        <sz val="11"/>
        <color theme="1"/>
        <rFont val="Aptos Narrow"/>
        <family val="2"/>
        <scheme val="minor"/>
      </rPr>
      <t>. Completed in CxS (Completion Date : 01-Mar-23)</t>
    </r>
  </si>
  <si>
    <t>Alvin LAM, HOIT&amp;HI CPM(SC)</t>
  </si>
  <si>
    <t>scdbpcaprod@ha.org.hk</t>
  </si>
  <si>
    <t xml:space="preserve">
Email : scdbpcaprod@ha.org.hk</t>
    <phoneticPr fontId="11" type="noConversion"/>
  </si>
  <si>
    <t>Address : 7/F, KITEC, Kln. Bay</t>
    <phoneticPr fontId="11" type="noConversion"/>
  </si>
  <si>
    <t>CL550456</t>
  </si>
  <si>
    <t>RN 168792/3-4</t>
  </si>
  <si>
    <t>103409</t>
  </si>
  <si>
    <t>SD1156507</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</si>
  <si>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&lt;&lt;SD11565078&gt;&gt;</t>
    </r>
    <r>
      <rPr>
        <sz val="11"/>
        <color theme="1"/>
        <rFont val="Aptos Narrow"/>
        <family val="2"/>
        <scheme val="minor"/>
      </rPr>
      <t xml:space="preserve">
[15-Mar-23] Created Huawei A/C
[25-Apr-23] Received Order. </t>
    </r>
    <r>
      <rPr>
        <sz val="11"/>
        <color rgb="FFFF0000"/>
        <rFont val="Aptos Narrow"/>
        <family val="2"/>
        <scheme val="minor"/>
      </rPr>
      <t>A/C created on 15-Mar-23 / CxS SRD on 01-Mar-23</t>
    </r>
    <r>
      <rPr>
        <sz val="11"/>
        <color theme="1"/>
        <rFont val="Aptos Narrow"/>
        <family val="2"/>
        <scheme val="minor"/>
      </rPr>
      <t>. Completed in CxS (Completion Date : 01-Mar-23)</t>
    </r>
  </si>
  <si>
    <t>Casey LAW, HOIT&amp;HI SM(EA)1</t>
  </si>
  <si>
    <t>ea1cssc@ha.org.hk</t>
  </si>
  <si>
    <t xml:space="preserve">
Email : ea1cssc@ha.org.hk</t>
    <phoneticPr fontId="11" type="noConversion"/>
  </si>
  <si>
    <t>Address : 3/F, Multi-Service Centre MSC, 30 Gascoigne Road, Kowloon, Hong Kong S.A.R</t>
    <phoneticPr fontId="11" type="noConversion"/>
  </si>
  <si>
    <t>CL550903</t>
  </si>
  <si>
    <t>RN 168792/5-6</t>
  </si>
  <si>
    <t>103408</t>
  </si>
  <si>
    <t>SD11565313</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</si>
  <si>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&lt;&lt;SD11565313&gt;&gt;</t>
    </r>
    <r>
      <rPr>
        <sz val="11"/>
        <color theme="1"/>
        <rFont val="Aptos Narrow"/>
        <family val="2"/>
        <scheme val="minor"/>
      </rPr>
      <t xml:space="preserve">
[16-Mar-23] Created Huawei A/C
</t>
    </r>
    <r>
      <rPr>
        <sz val="11"/>
        <rFont val="Aptos Narrow"/>
        <family val="2"/>
        <scheme val="minor"/>
      </rPr>
      <t xml:space="preserve">[25-Apr-23] Received Order. </t>
    </r>
    <r>
      <rPr>
        <sz val="11"/>
        <color rgb="FFFF0000"/>
        <rFont val="Aptos Narrow"/>
        <family val="2"/>
        <scheme val="minor"/>
      </rPr>
      <t>A/C created on 16-Mar-23 / CxS SRD on 01-Mar-23</t>
    </r>
    <r>
      <rPr>
        <sz val="11"/>
        <color theme="1"/>
        <rFont val="Aptos Narrow"/>
        <family val="2"/>
        <scheme val="minor"/>
      </rPr>
      <t>. Completed in CxS (Completion Date : 01-Mar-23)</t>
    </r>
  </si>
  <si>
    <t>Dicky CHEUNG</t>
  </si>
  <si>
    <t>CL543425</t>
  </si>
  <si>
    <t>RN 998134/1</t>
  </si>
  <si>
    <t>103340</t>
    <phoneticPr fontId="11" type="noConversion"/>
  </si>
  <si>
    <t>GA24-00000064\1(OM)</t>
    <phoneticPr fontId="11" type="noConversion"/>
  </si>
  <si>
    <r>
      <rPr>
        <b/>
        <sz val="11"/>
        <color theme="1"/>
        <rFont val="Aptos Narrow"/>
        <family val="2"/>
        <scheme val="minor"/>
      </rPr>
      <t>This PS order of HK$950,000 rides on CL543425</t>
    </r>
    <r>
      <rPr>
        <sz val="11"/>
        <color theme="1"/>
        <rFont val="Aptos Narrow"/>
        <family val="2"/>
        <scheme val="minor"/>
      </rPr>
      <t xml:space="preserve">
[20-Mar-23] Received Order.
[4-Jun-2024] Cheung, Joe KH (PM) and Lok confirms project has completed. Close CxS order on 4-Jun-2024</t>
    </r>
  </si>
  <si>
    <t>http://10.10.10.209/OASIS_FILE_MANAGER/zip_files_download.php?qid=1153963&amp;serialno=GA24-00000064&amp;itemno=1&amp;token=237b31a7d1fa1e345e3690308e4b677c</t>
    <phoneticPr fontId="11" type="noConversion"/>
  </si>
  <si>
    <t>AIS1 Team</t>
  </si>
  <si>
    <t>ais1ailabazuredevsup@ha.org.hk</t>
  </si>
  <si>
    <r>
      <t xml:space="preserve">
Owner account as the resource group: ais1ailabazuredevsup@ha.org.hk
Security</t>
    </r>
    <r>
      <rPr>
        <sz val="11"/>
        <color theme="1"/>
        <rFont val="Tahoma"/>
        <family val="2"/>
        <charset val="1"/>
      </rPr>
      <t>‎</t>
    </r>
    <r>
      <rPr>
        <sz val="11"/>
        <color theme="1"/>
        <rFont val="Aptos Narrow"/>
        <family val="2"/>
        <scheme val="minor"/>
      </rPr>
      <t xml:space="preserve"> group : AIS1-Admin</t>
    </r>
  </si>
  <si>
    <t>CL550311</t>
  </si>
  <si>
    <t>RN 526694 /3-4</t>
  </si>
  <si>
    <t>10341</t>
  </si>
  <si>
    <r>
      <rPr>
        <b/>
        <sz val="11"/>
        <color theme="1"/>
        <rFont val="Aptos Narrow"/>
        <family val="2"/>
        <scheme val="minor"/>
      </rPr>
      <t>Microsoft Azure</t>
    </r>
    <r>
      <rPr>
        <sz val="11"/>
        <color theme="1"/>
        <rFont val="Aptos Narrow"/>
        <family val="2"/>
        <scheme val="minor"/>
      </rPr>
      <t xml:space="preserve">
[27-Mar-23] MultiCloudMS Created AWS A/C
[12-May-23] Received Order. </t>
    </r>
    <r>
      <rPr>
        <sz val="11"/>
        <color rgb="FFFF0000"/>
        <rFont val="Aptos Narrow"/>
        <family val="2"/>
        <scheme val="minor"/>
      </rPr>
      <t>A/C created on 27-Mar-23 / CxS SRD on 14-Mar-23</t>
    </r>
    <r>
      <rPr>
        <sz val="11"/>
        <color theme="1"/>
        <rFont val="Aptos Narrow"/>
        <family val="2"/>
        <scheme val="minor"/>
      </rPr>
      <t>.
[15-May-23] Completed in CxS (Completion Date : 14-Mar-23)</t>
    </r>
  </si>
  <si>
    <t>Mr Edicon LAI</t>
  </si>
  <si>
    <t xml:space="preserve">
Email : system_hk@aastocks.com</t>
    <phoneticPr fontId="11" type="noConversion"/>
  </si>
  <si>
    <t>Address : 43/F, AXA TOWER LANDMARK EAST, 100 HOW MING STREET, KWUN TONG, KOWLOON</t>
    <phoneticPr fontId="11" type="noConversion"/>
  </si>
  <si>
    <t>CL541717</t>
    <phoneticPr fontId="11" type="noConversion"/>
  </si>
  <si>
    <t>RN 036671/3-4</t>
  </si>
  <si>
    <t>103382</t>
  </si>
  <si>
    <r>
      <rPr>
        <b/>
        <sz val="11"/>
        <color theme="1"/>
        <rFont val="Aptos Narrow"/>
        <family val="2"/>
        <scheme val="minor"/>
      </rPr>
      <t>Huawei Cloud &lt;&lt;Backdate&gt;&gt;</t>
    </r>
    <r>
      <rPr>
        <sz val="11"/>
        <color theme="1"/>
        <rFont val="Aptos Narrow"/>
        <family val="2"/>
        <scheme val="minor"/>
      </rPr>
      <t xml:space="preserve">
The accounts are provisioned
[28-Mar-23] Received Order
[29-Mar-23] Completed in CxS (Competion Date : 27-Mar-23)</t>
    </r>
  </si>
  <si>
    <t>Patrick WONG, HOIT&amp;HI SM(EHP)6</t>
  </si>
  <si>
    <t>ehp6primarysupp@ha.org.hk</t>
  </si>
  <si>
    <t>EHP6-ODC-DEV</t>
  </si>
  <si>
    <t xml:space="preserve">
Email : ehp6primarysupp@ha.org.hk</t>
    <phoneticPr fontId="11" type="noConversion"/>
  </si>
  <si>
    <t>CL551060</t>
  </si>
  <si>
    <t>RN 168792/7-8</t>
  </si>
  <si>
    <t>103407</t>
  </si>
  <si>
    <t>SD11567850</t>
    <phoneticPr fontId="11" type="noConversion"/>
  </si>
  <si>
    <r>
      <rPr>
        <b/>
        <sz val="11"/>
        <color theme="1"/>
        <rFont val="Calibri"/>
        <family val="2"/>
      </rPr>
      <t>Huawei Cloud
&lt;&lt;SD11567850&gt;&gt;</t>
    </r>
    <r>
      <rPr>
        <sz val="11"/>
        <color theme="1"/>
        <rFont val="Calibri"/>
        <family val="2"/>
      </rPr>
      <t xml:space="preserve">
[29-Mar-23] Created Huawei A/C</t>
    </r>
    <r>
      <rPr>
        <sz val="11"/>
        <color theme="1"/>
        <rFont val="Aptos Narrow"/>
        <family val="2"/>
        <scheme val="minor"/>
      </rPr>
      <t xml:space="preserve">
</t>
    </r>
    <r>
      <rPr>
        <sz val="11"/>
        <rFont val="Aptos Narrow"/>
        <family val="2"/>
        <scheme val="minor"/>
      </rPr>
      <t xml:space="preserve">[25-Apr-23] Received Order. </t>
    </r>
    <r>
      <rPr>
        <sz val="11"/>
        <color rgb="FFFF0000"/>
        <rFont val="Aptos Narrow"/>
        <family val="2"/>
        <scheme val="minor"/>
      </rPr>
      <t>A/C created on 29-Mar-23 / CxS SRD on 01-Mar-23</t>
    </r>
    <r>
      <rPr>
        <sz val="11"/>
        <color theme="1"/>
        <rFont val="Aptos Narrow"/>
        <family val="2"/>
        <scheme val="minor"/>
      </rPr>
      <t>. Completed in CxS (Completion Date : 01-Mar-23)</t>
    </r>
  </si>
  <si>
    <t>TBC</t>
  </si>
  <si>
    <t>31682020233</t>
  </si>
  <si>
    <t>BIZTALK_PROD</t>
  </si>
  <si>
    <t>Email : aws_biztalkprd@chowtaifook.com
AWS A/C Name : BIZTALK_PROD
316820202333
Advance email : biztalk_prod@hkt-cloud.com
Root Email : biztalk_prod@hkt-cloud.com</t>
  </si>
  <si>
    <t>Advance PW : Hkt68233biztalk
AWS PW : AWScloud2022</t>
    <phoneticPr fontId="11" type="noConversion"/>
  </si>
  <si>
    <t>Address : TBC</t>
    <phoneticPr fontId="11" type="noConversion"/>
  </si>
  <si>
    <t>Pre-provisioning</t>
  </si>
  <si>
    <r>
      <rPr>
        <b/>
        <sz val="11"/>
        <color rgb="FFFF0000"/>
        <rFont val="Calibri"/>
        <family val="2"/>
      </rPr>
      <t>Pre-provisioning</t>
    </r>
    <r>
      <rPr>
        <b/>
        <sz val="11"/>
        <color theme="1"/>
        <rFont val="Calibri"/>
        <family val="2"/>
      </rPr>
      <t xml:space="preserve">
AWS Cloud</t>
    </r>
    <r>
      <rPr>
        <sz val="11"/>
        <color theme="1"/>
        <rFont val="Calibri"/>
        <family val="2"/>
      </rPr>
      <t xml:space="preserve">
[29-Mar-23] Received Pre-provisioning notification
[26-Apr-23] This acc has to use consolidate billing under hkt and use hkt-cloud.com. Recreate AWS ID
[26-Apr-23] Credit card expired. Pending for Thomas to update the credit card info to create acc
[27-Apr-23] Create AWS A/C first and waiting order issue. Sent email to Ingram Micro for group to Master Payer account</t>
    </r>
    <r>
      <rPr>
        <sz val="11"/>
        <color theme="1"/>
        <rFont val="Aptos Narrow"/>
        <family val="2"/>
        <scheme val="minor"/>
      </rPr>
      <t xml:space="preserve">
[16-Nov-2023] Melinda Chow confirmed with customer that this account can be permanantly cancelled. This account is replaced by another acc. </t>
    </r>
  </si>
  <si>
    <t>340776906925</t>
  </si>
  <si>
    <t>BIZTALK_UAT</t>
  </si>
  <si>
    <t>Email : aws_biztalkuat@chowtaifook.com
AWS A/C Name : BIZTALK_UAT
340776906925
Advance email : biztalk_uat@hkt-cloud.com
Root Email : biztalk_uat@hkt-cloud.com</t>
  </si>
  <si>
    <t>AIS2 Team</t>
  </si>
  <si>
    <t>ais2odc@ha.org.hk</t>
  </si>
  <si>
    <t>AIS2-ODC-DEV</t>
  </si>
  <si>
    <t xml:space="preserve">
Email : ais2odc@ha.org.hk</t>
    <phoneticPr fontId="11" type="noConversion"/>
  </si>
  <si>
    <t>Address : G/F, BLOCK B, INFORMATION TECHNOLOGY BUILDING, 147A ARGYLE STREET</t>
    <phoneticPr fontId="11" type="noConversion"/>
  </si>
  <si>
    <t>CL551663</t>
  </si>
  <si>
    <t>RN 168792/9-10</t>
  </si>
  <si>
    <t>103406</t>
  </si>
  <si>
    <t>SD11568323</t>
    <phoneticPr fontId="11" type="noConversion"/>
  </si>
  <si>
    <r>
      <rPr>
        <b/>
        <sz val="11"/>
        <color theme="1"/>
        <rFont val="Aptos Narrow"/>
        <family val="2"/>
        <scheme val="minor"/>
      </rPr>
      <t>Huawei Cloud
&lt;&lt;SD11568323&gt;&gt;</t>
    </r>
    <r>
      <rPr>
        <sz val="11"/>
        <color theme="1"/>
        <rFont val="Aptos Narrow"/>
        <family val="1"/>
        <charset val="136"/>
        <scheme val="minor"/>
      </rPr>
      <t xml:space="preserve">
[31-Mar-23] Created Huawei A/C</t>
    </r>
    <r>
      <rPr>
        <sz val="11"/>
        <color theme="1"/>
        <rFont val="Aptos Narrow"/>
        <family val="2"/>
        <scheme val="minor"/>
      </rPr>
      <t xml:space="preserve">
</t>
    </r>
    <r>
      <rPr>
        <sz val="11"/>
        <rFont val="Aptos Narrow"/>
        <family val="2"/>
        <scheme val="minor"/>
      </rPr>
      <t xml:space="preserve">[25-Apr-23] Received Order. </t>
    </r>
    <r>
      <rPr>
        <sz val="11"/>
        <color rgb="FFFF0000"/>
        <rFont val="Aptos Narrow"/>
        <family val="2"/>
        <scheme val="minor"/>
      </rPr>
      <t>A/C created on 31-Mar-23 / CxS SRD on 01-Mar-23</t>
    </r>
    <r>
      <rPr>
        <sz val="11"/>
        <color theme="1"/>
        <rFont val="Aptos Narrow"/>
        <family val="2"/>
        <scheme val="minor"/>
      </rPr>
      <t>. Completed in CxS (Completion Date : 01-Mar-23)</t>
    </r>
  </si>
  <si>
    <t>Mookie TAM</t>
  </si>
  <si>
    <t>ehr.afwsup@ha.org.hk</t>
  </si>
  <si>
    <t>EHP2-ODC-DEV</t>
    <phoneticPr fontId="11" type="noConversion"/>
  </si>
  <si>
    <t xml:space="preserve">
Email : ehr.afwsup@ha.org.hk</t>
    <phoneticPr fontId="11" type="noConversion"/>
  </si>
  <si>
    <t>Address : 7/F, KITEC, 1 Trademart Drive, Kowloon Bay, Hong Kong</t>
    <phoneticPr fontId="11" type="noConversion"/>
  </si>
  <si>
    <t>CL550350</t>
  </si>
  <si>
    <t>RN 526694 /7-8</t>
  </si>
  <si>
    <t>103429</t>
  </si>
  <si>
    <t>SD11568749</t>
    <phoneticPr fontId="11" type="noConversion"/>
  </si>
  <si>
    <r>
      <rPr>
        <b/>
        <sz val="11"/>
        <color theme="1"/>
        <rFont val="Aptos Narrow"/>
        <family val="2"/>
        <scheme val="minor"/>
      </rPr>
      <t>Huawei Cloud
&lt;&lt;SD11568749&gt;&gt;</t>
    </r>
    <r>
      <rPr>
        <sz val="11"/>
        <color theme="1"/>
        <rFont val="Aptos Narrow"/>
        <family val="1"/>
        <charset val="136"/>
        <scheme val="minor"/>
      </rPr>
      <t xml:space="preserve">
[03-Apr-23] Created Huawei A/C</t>
    </r>
    <r>
      <rPr>
        <sz val="11"/>
        <color theme="1"/>
        <rFont val="Aptos Narrow"/>
        <family val="2"/>
        <scheme val="minor"/>
      </rPr>
      <t xml:space="preserve">
[12-May-23] Received Order. </t>
    </r>
    <r>
      <rPr>
        <sz val="11"/>
        <color rgb="FFFF0000"/>
        <rFont val="Aptos Narrow"/>
        <family val="2"/>
        <scheme val="minor"/>
      </rPr>
      <t>A/C created on 03-Apr-23 / CxS SRD on 01-Apr-23</t>
    </r>
    <r>
      <rPr>
        <sz val="11"/>
        <color theme="1"/>
        <rFont val="Aptos Narrow"/>
        <family val="2"/>
        <scheme val="minor"/>
      </rPr>
      <t>.
[15-May-23] Completed in CxS (Completion Date : 01-Apr-23)</t>
    </r>
  </si>
  <si>
    <t>KEC Team</t>
  </si>
  <si>
    <t>kecetssazureadmin@ha.org.hk</t>
    <phoneticPr fontId="11" type="noConversion"/>
  </si>
  <si>
    <r>
      <rPr>
        <sz val="11"/>
        <color rgb="FF000000"/>
        <rFont val="Aptos Narrow"/>
        <family val="2"/>
        <scheme val="minor"/>
      </rPr>
      <t xml:space="preserve">
Owner account as the resource group: kecetssazureadmin@ha.org.hk
Security</t>
    </r>
    <r>
      <rPr>
        <sz val="11"/>
        <color rgb="FF000000"/>
        <rFont val="Times New Roman"/>
        <family val="1"/>
      </rPr>
      <t>‎</t>
    </r>
    <r>
      <rPr>
        <sz val="11"/>
        <color rgb="FF000000"/>
        <rFont val="PMingLiU"/>
        <family val="1"/>
        <charset val="136"/>
      </rPr>
      <t xml:space="preserve"> group : KEC-Admin</t>
    </r>
  </si>
  <si>
    <t>Address : 9/F, ITD, United Christian Hospital, 130 Hip Wo Street, Kwun Tong, Kowloon</t>
    <phoneticPr fontId="11" type="noConversion"/>
  </si>
  <si>
    <t>CL552185</t>
    <phoneticPr fontId="11" type="noConversion"/>
  </si>
  <si>
    <t>RN 376732/5-6</t>
  </si>
  <si>
    <t>103485</t>
  </si>
  <si>
    <r>
      <rPr>
        <b/>
        <sz val="11"/>
        <rFont val="Aptos Narrow"/>
        <family val="2"/>
        <scheme val="minor"/>
      </rPr>
      <t>Microsoft Azure</t>
    </r>
    <r>
      <rPr>
        <sz val="11"/>
        <rFont val="Aptos Narrow"/>
        <family val="2"/>
        <scheme val="minor"/>
      </rPr>
      <t xml:space="preserve">
[06-Apr-23] MultiCloudMS Created AWS A/C
[14-Jul-23] Received Order. </t>
    </r>
    <r>
      <rPr>
        <sz val="11"/>
        <color rgb="FFFF0000"/>
        <rFont val="Aptos Narrow"/>
        <family val="2"/>
        <scheme val="minor"/>
      </rPr>
      <t xml:space="preserve">A/C created on 06-Apr-23 / CxS SRD on 01-Jun-23
</t>
    </r>
    <r>
      <rPr>
        <sz val="11"/>
        <rFont val="Aptos Narrow"/>
        <family val="2"/>
        <scheme val="minor"/>
      </rPr>
      <t>[18-Jul-23] Sent email to Order Team (Wong, Emily PY) check the TID. Completed in CxS (Completion Date : 01-Jun-23). Received TID provide by Assistant Engineer (Cheung, Ka-Chun)</t>
    </r>
  </si>
  <si>
    <t>William WONG, HOIT&amp;HI SM(ISO)1</t>
  </si>
  <si>
    <t>iso1@ha.org.hk</t>
  </si>
  <si>
    <t xml:space="preserve">
Email : iso1@ha.org.hk</t>
  </si>
  <si>
    <t>Address : 7/F KITEC</t>
    <phoneticPr fontId="11" type="noConversion"/>
  </si>
  <si>
    <t>CL550860</t>
  </si>
  <si>
    <t>RN 526694 /9-10</t>
  </si>
  <si>
    <t>103428</t>
  </si>
  <si>
    <t>SD11570149</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</si>
  <si>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&lt;&lt;SD11570149&gt;&gt;</t>
    </r>
    <r>
      <rPr>
        <sz val="11"/>
        <color theme="1"/>
        <rFont val="Aptos Narrow"/>
        <family val="2"/>
        <scheme val="minor"/>
      </rPr>
      <t xml:space="preserve">
[12-Apr-23] Created Huawei A/C
[12-May-23] Received Order. </t>
    </r>
    <r>
      <rPr>
        <sz val="11"/>
        <color rgb="FFFF0000"/>
        <rFont val="Aptos Narrow"/>
        <family val="2"/>
        <scheme val="minor"/>
      </rPr>
      <t>A/C created on 12-Apr-23 / CxS SRD on 01-Apr-23</t>
    </r>
    <r>
      <rPr>
        <sz val="11"/>
        <color theme="1"/>
        <rFont val="Aptos Narrow"/>
        <family val="2"/>
        <scheme val="minor"/>
      </rPr>
      <t>.
[15-May-23] Completed in CxS (Completion Date : 01-Apr-23)</t>
    </r>
  </si>
  <si>
    <t>Wai CHUNG</t>
    <phoneticPr fontId="11" type="noConversion"/>
  </si>
  <si>
    <t>26108769 / 90323685</t>
  </si>
  <si>
    <t>849205083920</t>
  </si>
  <si>
    <t>Monitoring_Account</t>
  </si>
  <si>
    <t>Email : aws_monitor@chowtaifook.com</t>
    <phoneticPr fontId="11" type="noConversion"/>
  </si>
  <si>
    <t>CL556211</t>
    <phoneticPr fontId="11" type="noConversion"/>
  </si>
  <si>
    <t>RN 280576/15-16</t>
  </si>
  <si>
    <t>103496</t>
  </si>
  <si>
    <r>
      <rPr>
        <b/>
        <sz val="11"/>
        <color rgb="FFFF0000"/>
        <rFont val="Aptos Narrow"/>
        <family val="2"/>
        <scheme val="minor"/>
      </rPr>
      <t>Pre-provisioning</t>
    </r>
    <r>
      <rPr>
        <sz val="11"/>
        <color theme="1"/>
        <rFont val="Aptos Narrow"/>
        <family val="2"/>
        <scheme val="minor"/>
      </rPr>
      <t xml:space="preserve">
</t>
    </r>
    <r>
      <rPr>
        <b/>
        <sz val="11"/>
        <color theme="1"/>
        <rFont val="Aptos Narrow"/>
        <family val="2"/>
        <scheme val="minor"/>
      </rPr>
      <t>AWS Cloud</t>
    </r>
    <r>
      <rPr>
        <sz val="11"/>
        <color theme="1"/>
        <rFont val="Aptos Narrow"/>
        <family val="2"/>
        <scheme val="minor"/>
      </rPr>
      <t xml:space="preserve">
[13-Apr-23] Received Pre-provisioning notification
[27-Jul-23] Received Order. </t>
    </r>
    <r>
      <rPr>
        <sz val="11"/>
        <color rgb="FFFF0000"/>
        <rFont val="Aptos Narrow"/>
        <family val="2"/>
        <scheme val="minor"/>
      </rPr>
      <t>A/C created on 13-Apr-23 / CxS SRD on 26-Jul-23</t>
    </r>
    <r>
      <rPr>
        <sz val="11"/>
        <color theme="1"/>
        <rFont val="Aptos Narrow"/>
        <family val="2"/>
        <scheme val="minor"/>
      </rPr>
      <t>. Completed in CxS (Completion Date : 26-Jul-23)</t>
    </r>
  </si>
  <si>
    <t>121573566763</t>
  </si>
  <si>
    <t>Root: chlvmgcloud@pccw.com</t>
    <phoneticPr fontId="11" type="noConversion"/>
  </si>
  <si>
    <t>CL545765</t>
  </si>
  <si>
    <t xml:space="preserve">RN 583068/1-2 </t>
  </si>
  <si>
    <t>103509</t>
  </si>
  <si>
    <r>
      <t xml:space="preserve">Email: chlvmgcloud@pccw.com
[17-Apr-2023] Pending for order issue for account creation
[25-Apr-23] Create sub-billing account first
[03-Aug-23] Revceive the order on 03-Aug-23. </t>
    </r>
    <r>
      <rPr>
        <sz val="11"/>
        <color rgb="FFFF0000"/>
        <rFont val="Aptos Narrow"/>
        <family val="2"/>
        <scheme val="minor"/>
      </rPr>
      <t>A/C created on 25-Apr-23 / CxS SRD on 07-Aug-23</t>
    </r>
    <r>
      <rPr>
        <sz val="11"/>
        <color theme="1"/>
        <rFont val="Aptos Narrow"/>
        <family val="2"/>
        <scheme val="minor"/>
      </rPr>
      <t>. Completed in CxS (Completion Date : 03-Aug-23)</t>
    </r>
  </si>
  <si>
    <t>CP4</t>
  </si>
  <si>
    <t>cp4odcadmin@ha.org.hk</t>
  </si>
  <si>
    <t>CP4-ODC-DEV</t>
  </si>
  <si>
    <t xml:space="preserve">
Email : cp4odcadmin@ha.org.hk</t>
    <phoneticPr fontId="11" type="noConversion"/>
  </si>
  <si>
    <t>CL550872</t>
  </si>
  <si>
    <t>RN 526694 /11-12</t>
  </si>
  <si>
    <t>103427</t>
  </si>
  <si>
    <t>SD11571000</t>
    <phoneticPr fontId="11" type="noConversion"/>
  </si>
  <si>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&lt;&lt;SD11571000&gt;&gt;</t>
    </r>
    <r>
      <rPr>
        <sz val="11"/>
        <color theme="1"/>
        <rFont val="Aptos Narrow"/>
        <family val="1"/>
        <charset val="136"/>
        <scheme val="minor"/>
      </rPr>
      <t xml:space="preserve">
[18-Apr-23] Created Huawei A/C</t>
    </r>
    <r>
      <rPr>
        <sz val="11"/>
        <color theme="1"/>
        <rFont val="Aptos Narrow"/>
        <family val="2"/>
        <scheme val="minor"/>
      </rPr>
      <t xml:space="preserve">
[12-May-23] Received Order. </t>
    </r>
    <r>
      <rPr>
        <sz val="11"/>
        <color rgb="FFFF0000"/>
        <rFont val="Aptos Narrow"/>
        <family val="2"/>
        <scheme val="minor"/>
      </rPr>
      <t>A/C created on 18-Apr-23 / CxS SRD on 01-Apr-23</t>
    </r>
    <r>
      <rPr>
        <sz val="11"/>
        <color theme="1"/>
        <rFont val="Aptos Narrow"/>
        <family val="2"/>
        <scheme val="minor"/>
      </rPr>
      <t>.
[15-May-23] Completed in CxS (Completion Date : 01-Apr-23)</t>
    </r>
  </si>
  <si>
    <t>Ying Kit LAU, HOIT&amp;HI SM(EHP)8</t>
  </si>
  <si>
    <t>hoehp8cloud@ha.org.hk</t>
  </si>
  <si>
    <t xml:space="preserve">
hoehp8cloud@ha.org.hk</t>
  </si>
  <si>
    <t xml:space="preserve">
Email : hoehp8cloud@ha.org.hk </t>
    <phoneticPr fontId="11" type="noConversion"/>
  </si>
  <si>
    <t>Address : EHP8 Team, Unit 701, 7/F, KITEC</t>
    <phoneticPr fontId="11" type="noConversion"/>
  </si>
  <si>
    <t>CL550886</t>
  </si>
  <si>
    <t>RN 526694 /13-14</t>
  </si>
  <si>
    <t>103426</t>
  </si>
  <si>
    <t>SD11572587</t>
    <phoneticPr fontId="11" type="noConversion"/>
  </si>
  <si>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&lt;&lt;SD11572587&gt;&gt;</t>
    </r>
    <r>
      <rPr>
        <sz val="11"/>
        <color theme="1"/>
        <rFont val="Aptos Narrow"/>
        <family val="1"/>
        <charset val="136"/>
        <scheme val="minor"/>
      </rPr>
      <t xml:space="preserve">
[25-Apr-23] Created Huawei A/C</t>
    </r>
    <r>
      <rPr>
        <sz val="11"/>
        <color theme="1"/>
        <rFont val="Aptos Narrow"/>
        <family val="2"/>
        <scheme val="minor"/>
      </rPr>
      <t xml:space="preserve">
[12-May-23] Received Order. </t>
    </r>
    <r>
      <rPr>
        <sz val="11"/>
        <color rgb="FFFF0000"/>
        <rFont val="Aptos Narrow"/>
        <family val="2"/>
        <scheme val="minor"/>
      </rPr>
      <t>A/C created on 25-Apr-23 / CxS SRD on 01-Apr-23</t>
    </r>
    <r>
      <rPr>
        <sz val="11"/>
        <color theme="1"/>
        <rFont val="Aptos Narrow"/>
        <family val="2"/>
        <scheme val="minor"/>
      </rPr>
      <t>.
[15-May-23] Completed in CxS (Completion Date : 01-Apr-23)</t>
    </r>
  </si>
  <si>
    <t>HA1 Team</t>
  </si>
  <si>
    <t>ewsadmin@ha.org.hk</t>
  </si>
  <si>
    <t>552174405047</t>
  </si>
  <si>
    <t>HA1-ECALC-DEV</t>
  </si>
  <si>
    <t xml:space="preserve">
Email : ewsadmin@ha.org.hk</t>
    <phoneticPr fontId="11" type="noConversion"/>
  </si>
  <si>
    <t>Address : 1/F, Blk.A, Information Technology Block, 147A, Argyle Street, Kowloon, Hong Kong</t>
    <phoneticPr fontId="11" type="noConversion"/>
  </si>
  <si>
    <t>CL548870</t>
  </si>
  <si>
    <t>RN 526694 /1-2</t>
  </si>
  <si>
    <t>103432</t>
  </si>
  <si>
    <r>
      <rPr>
        <b/>
        <sz val="11"/>
        <rFont val="Aptos Narrow"/>
        <family val="2"/>
        <scheme val="minor"/>
      </rPr>
      <t>AWS Cloud</t>
    </r>
    <r>
      <rPr>
        <sz val="11"/>
        <rFont val="Aptos Narrow"/>
        <family val="2"/>
        <scheme val="minor"/>
      </rPr>
      <t xml:space="preserve">
[25-Apr-23] MultiCloudMS Created AWS A/C
[12-May-23] Received Order
[15-May-23] Completed in CxS (Completion Date : 25-Apr-23)</t>
    </r>
  </si>
  <si>
    <t>CHOW Tak Hung</t>
  </si>
  <si>
    <t>27832787 / 60536349</t>
  </si>
  <si>
    <t>LUK FOOK HOLDINGS CO LTD</t>
    <phoneticPr fontId="11" type="noConversion"/>
  </si>
  <si>
    <t>Contact Point of B&amp;Data: Ken Wong M: 51224123 kenwong@bdata.com.hk</t>
    <phoneticPr fontId="11" type="noConversion"/>
  </si>
  <si>
    <t>RN 866240/1</t>
  </si>
  <si>
    <r>
      <rPr>
        <b/>
        <sz val="11"/>
        <color theme="1"/>
        <rFont val="Calibri"/>
        <family val="2"/>
      </rPr>
      <t xml:space="preserve">Contract Renewal
&lt;&lt;PSEF : CKWT&gt;&gt; Cloud Infrastructure Monthly Subscription + Firewall (Annual Subscription) = HK$116,911
</t>
    </r>
    <r>
      <rPr>
        <sz val="11"/>
        <color theme="1"/>
        <rFont val="Calibri"/>
        <family val="2"/>
      </rPr>
      <t>[25-Apr-23] Received Order
[27-Apr-23] Sent email to B&amp;Data. Completed in CxS (Completion Date : 24-Apr-23)</t>
    </r>
  </si>
  <si>
    <t>Thomas NGAN</t>
  </si>
  <si>
    <t>am3support1@ha.org.hk</t>
  </si>
  <si>
    <t xml:space="preserve">
Email : am3support1@ha.org.hk</t>
    <phoneticPr fontId="11" type="noConversion"/>
  </si>
  <si>
    <t>Address : 7/F, KOWLOON BAY INTERNATIONAL TRADE &amp; EXHIBITION CENTRE, 1 TRADEMART DRIVE, KOWLOON BAY, KOWLOON</t>
    <phoneticPr fontId="11" type="noConversion"/>
  </si>
  <si>
    <t>CL551046</t>
  </si>
  <si>
    <t>RN 526694 /15-16</t>
  </si>
  <si>
    <t>103425</t>
  </si>
  <si>
    <t>SD11575552</t>
    <phoneticPr fontId="11" type="noConversion"/>
  </si>
  <si>
    <r>
      <rPr>
        <b/>
        <sz val="11"/>
        <color theme="1"/>
        <rFont val="Aptos Narrow"/>
        <family val="2"/>
        <scheme val="minor"/>
      </rPr>
      <t>Huawei Cloud
&lt;&lt;SD11575552&gt;&gt;</t>
    </r>
    <r>
      <rPr>
        <sz val="11"/>
        <color theme="1"/>
        <rFont val="Aptos Narrow"/>
        <family val="2"/>
        <scheme val="minor"/>
      </rPr>
      <t xml:space="preserve">
[27-Apr-23] Created Huawei A/C
[12-May-23] Received Order. </t>
    </r>
    <r>
      <rPr>
        <sz val="11"/>
        <color rgb="FFFF0000"/>
        <rFont val="Aptos Narrow"/>
        <family val="2"/>
        <scheme val="minor"/>
      </rPr>
      <t>A/C created on 27-Apr-23 / CxS SRD on 01-Apr-23</t>
    </r>
    <r>
      <rPr>
        <sz val="11"/>
        <color theme="1"/>
        <rFont val="Aptos Narrow"/>
        <family val="2"/>
        <scheme val="minor"/>
      </rPr>
      <t>.
[15-May-23] Completed in CxS (Completion Date : 01-Apr-23)</t>
    </r>
  </si>
  <si>
    <t>Ken KWOK</t>
  </si>
  <si>
    <t>28885404 / 60200681</t>
  </si>
  <si>
    <t>537703417739</t>
  </si>
  <si>
    <t>Address : IT Office, LG/F, Block J, Princess Margaret Hospital,
2-10 Princess Margaret Hospital Road, Lai Chi Kok, Kowloon, Hong Kong</t>
    <phoneticPr fontId="11" type="noConversion"/>
  </si>
  <si>
    <t xml:space="preserve">
Email Address: hktt-ts01@pccw.com</t>
    <phoneticPr fontId="11" type="noConversion"/>
  </si>
  <si>
    <t>Coordinator: Ken Kwok
Approver: Ivan Lam
The CCC is "C090", Account code is "644139".</t>
    <phoneticPr fontId="11" type="noConversion"/>
  </si>
  <si>
    <t>CL544061</t>
  </si>
  <si>
    <t>RN 157363/1-2</t>
  </si>
  <si>
    <t>103416</t>
  </si>
  <si>
    <t>This is an internal order to setup Microsoft Azure account for HKT Teleservices. Billing consolidation for HKT internal department
[27-Apr-23] Pending for order issue for account creation
[28-Apr-23] Received Order. Created M365 Tenant &amp; Azure subscription. Sent Welcome Letter to Ken.CF.Kwok@pccw.com. Completed in CxS (Completion Date : 28-Apr-23)</t>
  </si>
  <si>
    <t>895375962062</t>
  </si>
  <si>
    <t xml:space="preserve">
Email Address: hktt-ts02@pccw.com</t>
    <phoneticPr fontId="11" type="noConversion"/>
  </si>
  <si>
    <t>CL544094</t>
  </si>
  <si>
    <t>RN 157363/3-4</t>
  </si>
  <si>
    <t>103415</t>
  </si>
  <si>
    <t>854263989659</t>
  </si>
  <si>
    <t xml:space="preserve">
Email Address: hktt-ts03@pccw.com</t>
    <phoneticPr fontId="11" type="noConversion"/>
  </si>
  <si>
    <t>CL544974</t>
  </si>
  <si>
    <t>RN 157363/5-6</t>
  </si>
  <si>
    <t>103414</t>
  </si>
  <si>
    <t>Matthew LEE</t>
  </si>
  <si>
    <t>Hong Kong Monetary Authority ( HKMA)</t>
  </si>
  <si>
    <t>824593638275</t>
  </si>
  <si>
    <t xml:space="preserve">
Email : CBDC_tech_dev@hkma.gov.hk</t>
    <phoneticPr fontId="11" type="noConversion"/>
  </si>
  <si>
    <t>CL545627</t>
  </si>
  <si>
    <t>RN 664689/1-2</t>
  </si>
  <si>
    <t>103437</t>
  </si>
  <si>
    <t>SD11603768</t>
    <phoneticPr fontId="11" type="noConversion"/>
  </si>
  <si>
    <r>
      <t xml:space="preserve">Email: CBDC_tech_dev@hkma.gov.hk
[01-May-2023] Wong, Lok TT created AWS A/C for customer &amp; pending for order issue
[17-May-23] Received Order. </t>
    </r>
    <r>
      <rPr>
        <sz val="11"/>
        <color rgb="FFFF0000"/>
        <rFont val="Aptos Narrow"/>
        <family val="2"/>
        <scheme val="minor"/>
      </rPr>
      <t>A/C created on 01-May-23 / CxS SRD on 15-May-23</t>
    </r>
    <r>
      <rPr>
        <sz val="11"/>
        <color theme="1"/>
        <rFont val="Aptos Narrow"/>
        <family val="2"/>
        <scheme val="minor"/>
      </rPr>
      <t>. Completed in CxS (Completion Date : 15-May-23)</t>
    </r>
  </si>
  <si>
    <t>982763935155</t>
  </si>
  <si>
    <t>Address :Room A2, G/F,
HA Information Technology Building,
147A Argyle Street, Kowloon</t>
    <phoneticPr fontId="11" type="noConversion"/>
  </si>
  <si>
    <t xml:space="preserve">
Email : CBDC_tech_snd@hkma.gov.hk</t>
    <phoneticPr fontId="11" type="noConversion"/>
  </si>
  <si>
    <t>17/85</t>
  </si>
  <si>
    <t>CL551277</t>
  </si>
  <si>
    <t>RN 664689/3-4</t>
  </si>
  <si>
    <t>103436</t>
  </si>
  <si>
    <r>
      <t xml:space="preserve">Email: CBDC_tech_snd@hkma.gov.hk
[01-May-2023] Wong, Lok TT created AWS A/C for customer &amp; pending for order issue
[17-May-23] Received Order. </t>
    </r>
    <r>
      <rPr>
        <sz val="11"/>
        <color rgb="FFFF0000"/>
        <rFont val="Aptos Narrow"/>
        <family val="2"/>
        <scheme val="minor"/>
      </rPr>
      <t>A/C created on 01-May-23 / CxS SRD on 15-May-23</t>
    </r>
    <r>
      <rPr>
        <sz val="11"/>
        <color theme="1"/>
        <rFont val="Aptos Narrow"/>
        <family val="2"/>
        <scheme val="minor"/>
      </rPr>
      <t>. Completed in CxS (Completion Date : 15-May-23)</t>
    </r>
  </si>
  <si>
    <t>CDC3</t>
  </si>
  <si>
    <t>hoehealthcldaws@ha.org.hk</t>
  </si>
  <si>
    <t>800093025465</t>
  </si>
  <si>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&lt;&lt;SD11601018&gt;&gt;</t>
    </r>
    <r>
      <rPr>
        <sz val="11"/>
        <color theme="1"/>
        <rFont val="Aptos Narrow"/>
        <family val="1"/>
        <charset val="136"/>
        <scheme val="minor"/>
      </rPr>
      <t xml:space="preserve">
</t>
    </r>
    <r>
      <rPr>
        <sz val="11"/>
        <color theme="1"/>
        <rFont val="Aptos Narrow"/>
        <family val="2"/>
        <scheme val="minor"/>
      </rPr>
      <t xml:space="preserve">[19-Sep-23] Created Huawei A/C, forwarded to MultiCloudMS to countine followup
[19-Oct-23] Received Order. A/C created on 19-Sep-23 / CxS SRD on 01-Sep-23. Completed in CxS (Completion Date : 01-Sep-23). 
</t>
    </r>
  </si>
  <si>
    <t xml:space="preserve">
Email : hoehealthcldaws@ha.org.hk</t>
  </si>
  <si>
    <t>CL546793</t>
  </si>
  <si>
    <t>RN 907254/3-4</t>
  </si>
  <si>
    <t>103475</t>
  </si>
  <si>
    <r>
      <rPr>
        <b/>
        <sz val="11"/>
        <color theme="1"/>
        <rFont val="Aptos Narrow"/>
        <family val="2"/>
        <scheme val="minor"/>
      </rPr>
      <t>AWS Cloud</t>
    </r>
    <r>
      <rPr>
        <sz val="11"/>
        <color theme="1"/>
        <rFont val="Aptos Narrow"/>
        <family val="2"/>
        <scheme val="minor"/>
      </rPr>
      <t xml:space="preserve">
[03-May-23] MultiCloudMS Created AWS A/C
[21-Jun-23] Received Order. Sent email to Order Team (Wong, Emily PY) check the TID
[23-Jun-23] Received TID provide by Order Team (Wong, Emily PY)
[26-Jun-23] Completed in CxS (Completion Date : 03-May-23)</t>
    </r>
  </si>
  <si>
    <t>hoehealthcldawsuat@ha.org.hk</t>
  </si>
  <si>
    <t>948780817280</t>
  </si>
  <si>
    <t>EPP-AWS-UAT</t>
  </si>
  <si>
    <t xml:space="preserve">
Email : hoehealthcldawsuat@ha.org.hk</t>
    <phoneticPr fontId="11" type="noConversion"/>
  </si>
  <si>
    <t>CL546673</t>
  </si>
  <si>
    <t>RN 907254/1-2</t>
  </si>
  <si>
    <t>103476</t>
  </si>
  <si>
    <t>CP2</t>
  </si>
  <si>
    <t>hagohabotcssit@ha.org.hk</t>
  </si>
  <si>
    <t>6810376304342</t>
  </si>
  <si>
    <t>CP2-HAGO-CORE-HABOT-SIT</t>
  </si>
  <si>
    <t xml:space="preserve">
Email : hagohabotcssit@ha.org.hk</t>
    <phoneticPr fontId="11" type="noConversion"/>
  </si>
  <si>
    <t>CL547794</t>
  </si>
  <si>
    <t>RN 907254/5-6</t>
  </si>
  <si>
    <t>103474</t>
  </si>
  <si>
    <r>
      <rPr>
        <b/>
        <sz val="11"/>
        <color theme="1"/>
        <rFont val="Aptos Narrow"/>
        <family val="2"/>
        <scheme val="minor"/>
      </rPr>
      <t>AWS Cloud</t>
    </r>
    <r>
      <rPr>
        <sz val="11"/>
        <color theme="1"/>
        <rFont val="Aptos Narrow"/>
        <family val="2"/>
        <scheme val="minor"/>
      </rPr>
      <t xml:space="preserve">
[10-May-23] MultiCloudMS Created AWS A/C
[21-Jun-23] Received Order. </t>
    </r>
    <r>
      <rPr>
        <sz val="11"/>
        <color rgb="FFFF0000"/>
        <rFont val="Aptos Narrow"/>
        <family val="2"/>
        <scheme val="minor"/>
      </rPr>
      <t>A/C created on 10-May-23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</si>
  <si>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HA8 Team</t>
  </si>
  <si>
    <t>ha8robotics@ha.org.hk</t>
  </si>
  <si>
    <t>HA8-ROBOTICS-DEV</t>
  </si>
  <si>
    <r>
      <t xml:space="preserve">
Owner account as the resource group: ha8robotics@ha.org.hk
Security</t>
    </r>
    <r>
      <rPr>
        <sz val="11"/>
        <color theme="1"/>
        <rFont val="Times New Roman"/>
        <family val="1"/>
        <charset val="1"/>
      </rPr>
      <t>‎</t>
    </r>
    <r>
      <rPr>
        <sz val="11"/>
        <color theme="1"/>
        <rFont val="PMingLiU"/>
        <family val="1"/>
        <charset val="136"/>
      </rPr>
      <t xml:space="preserve"> group : HA8-Admin</t>
    </r>
  </si>
  <si>
    <t>Address : 1/F, Block R, Kowloon hospital</t>
    <phoneticPr fontId="11" type="noConversion"/>
  </si>
  <si>
    <t>CL550319</t>
  </si>
  <si>
    <t>RN 526694 /5-6</t>
  </si>
  <si>
    <t>103430</t>
  </si>
  <si>
    <r>
      <rPr>
        <b/>
        <sz val="11"/>
        <color theme="1"/>
        <rFont val="Aptos Narrow"/>
        <family val="2"/>
        <scheme val="minor"/>
      </rPr>
      <t>Microsoft Azure</t>
    </r>
    <r>
      <rPr>
        <sz val="11"/>
        <color theme="1"/>
        <rFont val="Aptos Narrow"/>
        <family val="2"/>
        <scheme val="minor"/>
      </rPr>
      <t xml:space="preserve">
[10-May-23] MultiCloudMS Created AWS A/C
[12-May-23] Received Order. </t>
    </r>
    <r>
      <rPr>
        <sz val="11"/>
        <color rgb="FFFF0000"/>
        <rFont val="Aptos Narrow"/>
        <family val="2"/>
        <scheme val="minor"/>
      </rPr>
      <t>A/C created on 10-May-23 / CxS SRD on 14-Mar-23</t>
    </r>
    <r>
      <rPr>
        <sz val="11"/>
        <color theme="1"/>
        <rFont val="Aptos Narrow"/>
        <family val="2"/>
        <scheme val="minor"/>
      </rPr>
      <t>.
[15-May-23] Completed in CxS (Completion Date : 14-Mar-23)</t>
    </r>
  </si>
  <si>
    <t>Ronde LEUNG, HOIT&amp;HI SM(CP)10</t>
  </si>
  <si>
    <t>hcs-ris-dev@ha.org.hk</t>
  </si>
  <si>
    <t>BIS5-AIPOC-DEV</t>
  </si>
  <si>
    <t xml:space="preserve">
Email : hcs-ris-dev@ha.org.hk</t>
    <phoneticPr fontId="11" type="noConversion"/>
  </si>
  <si>
    <t>Address : 3/F, Multi-service Centre, Queen Elizabeth Hospital, 30 Gascoigne Road, K.L.N</t>
    <phoneticPr fontId="11" type="noConversion"/>
  </si>
  <si>
    <t>CL551073</t>
  </si>
  <si>
    <t>RN 526694 /17-18</t>
  </si>
  <si>
    <t>103424</t>
  </si>
  <si>
    <t>SD11575576</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</si>
  <si>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&lt;&lt;SD11575576&gt;&gt;</t>
    </r>
    <r>
      <rPr>
        <sz val="11"/>
        <color theme="1"/>
        <rFont val="Aptos Narrow"/>
        <family val="2"/>
        <scheme val="minor"/>
      </rPr>
      <t xml:space="preserve">
[11-May-23] Created Huawei A/C
[12-May-23] Received Order. </t>
    </r>
    <r>
      <rPr>
        <sz val="11"/>
        <color rgb="FFFF0000"/>
        <rFont val="Aptos Narrow"/>
        <family val="2"/>
        <scheme val="minor"/>
      </rPr>
      <t>A/C created on 11-May-23 / CxS SRD on 01-Apr-23</t>
    </r>
    <r>
      <rPr>
        <sz val="11"/>
        <color theme="1"/>
        <rFont val="Aptos Narrow"/>
        <family val="2"/>
        <scheme val="minor"/>
      </rPr>
      <t>.
[15-May-23] Completed in CxS (Completion Date : 01-Apr-23)</t>
    </r>
  </si>
  <si>
    <t>CDC1</t>
  </si>
  <si>
    <t>hagohabotsubsprd@ha.org.hk</t>
  </si>
  <si>
    <t>CDC1-HAGO-CORE-HABOT-PRD</t>
  </si>
  <si>
    <t xml:space="preserve">
Email : hagohabotsubsprd@ha.org.hk</t>
    <phoneticPr fontId="11" type="noConversion"/>
  </si>
  <si>
    <t>CL548005</t>
  </si>
  <si>
    <t>RN 907254/7-8</t>
  </si>
  <si>
    <t>103473</t>
  </si>
  <si>
    <r>
      <rPr>
        <b/>
        <sz val="11"/>
        <color theme="1"/>
        <rFont val="Aptos Narrow"/>
        <family val="2"/>
        <scheme val="minor"/>
      </rPr>
      <t>AWS Cloud</t>
    </r>
    <r>
      <rPr>
        <sz val="11"/>
        <color theme="1"/>
        <rFont val="Aptos Narrow"/>
        <family val="2"/>
        <scheme val="minor"/>
      </rPr>
      <t xml:space="preserve">
[15-May-23] MultiCloudMS Created AWS A/C
[21-Jun-23] Received Order. </t>
    </r>
    <r>
      <rPr>
        <sz val="11"/>
        <color rgb="FFFF0000"/>
        <rFont val="Aptos Narrow"/>
        <family val="2"/>
        <scheme val="minor"/>
      </rPr>
      <t>A/C created on 16-May-23 / CxS SRD on 03-May-23.</t>
    </r>
    <r>
      <rPr>
        <sz val="11"/>
        <rFont val="Aptos Narrow"/>
        <family val="2"/>
        <scheme val="minor"/>
      </rPr>
      <t xml:space="preserve"> Sent email to Order Team (Wong, Emily PY) check the TID
[23-Jun-23] Received TID provide by Order Team (Wong, Emily PY)
[26-Jun-23] Completed in CxS (Completion Date : 03-May-23)</t>
    </r>
  </si>
  <si>
    <t>053591492963</t>
    <phoneticPr fontId="11" type="noConversion"/>
  </si>
  <si>
    <t>Existing Huawei A/C Name : aa-huawei2020</t>
    <phoneticPr fontId="11" type="noConversion"/>
  </si>
  <si>
    <t>CL541717</t>
  </si>
  <si>
    <t>RN 727144/1</t>
  </si>
  <si>
    <r>
      <rPr>
        <b/>
        <sz val="11"/>
        <color theme="1"/>
        <rFont val="Aptos Narrow"/>
        <family val="2"/>
        <scheme val="minor"/>
      </rPr>
      <t>Huawei Cloud &lt;&lt;Backdate&gt;&gt;</t>
    </r>
    <r>
      <rPr>
        <sz val="11"/>
        <color theme="1"/>
        <rFont val="Aptos Narrow"/>
        <family val="2"/>
        <scheme val="minor"/>
      </rPr>
      <t xml:space="preserve">
</t>
    </r>
    <r>
      <rPr>
        <sz val="11"/>
        <color rgb="FFFF0000"/>
        <rFont val="Aptos Narrow"/>
        <family val="2"/>
        <scheme val="minor"/>
      </rPr>
      <t>Add "Direct Connect As A Service 1 (Region : CN East – Shanghai 1, Port Speed : 1GE)"
Additional Monthly fee : HK$730</t>
    </r>
    <r>
      <rPr>
        <sz val="11"/>
        <color theme="1"/>
        <rFont val="Aptos Narrow"/>
        <family val="2"/>
        <scheme val="minor"/>
      </rPr>
      <t xml:space="preserve">
[18-May-23] Received Order. Completed in CxS (Competion Date : 15-May-23)</t>
    </r>
  </si>
  <si>
    <t xml:space="preserve">hagoftcsprd@ha.org.hk </t>
  </si>
  <si>
    <t>CDC1-HAGO-FAMILYTOUCH-PRD</t>
  </si>
  <si>
    <t xml:space="preserve">
Email : hagoftcsprd@ha.org.hk</t>
    <phoneticPr fontId="11" type="noConversion"/>
  </si>
  <si>
    <t>CL550583</t>
  </si>
  <si>
    <t>RN 907254/15-16</t>
  </si>
  <si>
    <t>103470</t>
  </si>
  <si>
    <r>
      <t xml:space="preserve">AWS Cloud
[15-May-23] MultiCloudMS Created AWS A/C
[21-Jun-23] Received Order. </t>
    </r>
    <r>
      <rPr>
        <sz val="11"/>
        <color rgb="FFFF0000"/>
        <rFont val="Aptos Narrow"/>
        <family val="2"/>
        <scheme val="minor"/>
      </rPr>
      <t>A/C created on 22-May-23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</si>
  <si>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hagoftcsaat@ha.org.hk</t>
  </si>
  <si>
    <t>CDC1-HAGO-FAMILYTOUCH-AAT</t>
  </si>
  <si>
    <t xml:space="preserve">
Email : hagoftcsaat@ha.org.hk</t>
    <phoneticPr fontId="11" type="noConversion"/>
  </si>
  <si>
    <t>CL548636</t>
  </si>
  <si>
    <t>RN 907254/9-10</t>
  </si>
  <si>
    <t>103472</t>
  </si>
  <si>
    <r>
      <rPr>
        <b/>
        <sz val="11"/>
        <color theme="1"/>
        <rFont val="Aptos Narrow"/>
        <family val="2"/>
        <scheme val="minor"/>
      </rPr>
      <t>AWS Cloud</t>
    </r>
    <r>
      <rPr>
        <sz val="11"/>
        <color theme="1"/>
        <rFont val="Aptos Narrow"/>
        <family val="2"/>
        <scheme val="minor"/>
      </rPr>
      <t xml:space="preserve">
[22-May-23] MultiCloudMS Created AWS A/C
[21-Jun-23] Received Order. </t>
    </r>
    <r>
      <rPr>
        <sz val="11"/>
        <color rgb="FFFF0000"/>
        <rFont val="Aptos Narrow"/>
        <family val="2"/>
        <scheme val="minor"/>
      </rPr>
      <t>A/C created on 22-May-23 / CxS SRD on 03-May-23.</t>
    </r>
    <r>
      <rPr>
        <sz val="11"/>
        <color theme="1"/>
        <rFont val="Aptos Narrow"/>
        <family val="2"/>
        <scheme val="minor"/>
      </rPr>
      <t xml:space="preserve"> Sent email to Order Team (Wong, Emily PY) check the TID
[23-Jun-23] Received TID provide by Order Team (Wong, Emily PY)
[26-Jun-23] Completed in CxS (Completion Date : 03-May-23)</t>
    </r>
  </si>
  <si>
    <t>BIS5 Team</t>
  </si>
  <si>
    <t>erp.support@ha.org.hk</t>
  </si>
  <si>
    <r>
      <t xml:space="preserve">
Owner account as the resource group: erp.support@ha.org.hk
Security</t>
    </r>
    <r>
      <rPr>
        <sz val="11"/>
        <color theme="1"/>
        <rFont val="Times New Roman"/>
        <family val="1"/>
        <charset val="1"/>
      </rPr>
      <t>‎</t>
    </r>
    <r>
      <rPr>
        <sz val="11"/>
        <color theme="1"/>
        <rFont val="PMingLiU"/>
        <family val="1"/>
        <charset val="136"/>
      </rPr>
      <t xml:space="preserve"> group : BIS5-Admin</t>
    </r>
  </si>
  <si>
    <t>Address : G/F Blk.A HAITB</t>
    <phoneticPr fontId="11" type="noConversion"/>
  </si>
  <si>
    <t>CL550578</t>
  </si>
  <si>
    <t>RN 907254/13-14</t>
  </si>
  <si>
    <t>103471</t>
  </si>
  <si>
    <r>
      <rPr>
        <b/>
        <sz val="11"/>
        <color theme="1"/>
        <rFont val="Aptos Narrow"/>
        <family val="2"/>
        <scheme val="minor"/>
      </rPr>
      <t>Microsoft Azure</t>
    </r>
    <r>
      <rPr>
        <sz val="11"/>
        <color theme="1"/>
        <rFont val="Aptos Narrow"/>
        <family val="2"/>
        <scheme val="minor"/>
      </rPr>
      <t xml:space="preserve">
[22-May-23] MultiCloudMS Created AWS A/C
[21-Jun-23] Received Order. </t>
    </r>
    <r>
      <rPr>
        <sz val="11"/>
        <color rgb="FFFF0000"/>
        <rFont val="Aptos Narrow"/>
        <family val="2"/>
        <scheme val="minor"/>
      </rPr>
      <t>A/C created on 23-May-23 / CxS SRD on 22-May-23.</t>
    </r>
    <r>
      <rPr>
        <sz val="11"/>
        <color theme="1"/>
        <rFont val="Aptos Narrow"/>
        <family val="2"/>
        <scheme val="minor"/>
      </rPr>
      <t xml:space="preserve"> Sent email to Order Team (Wong, Emily PY) check the TID
[23-Jun-23] Received TID provide by Order Team (Wong, Emily PY)
[26-Jun-23] Completed in CxS (Completion Date : 22-May-23)</t>
    </r>
  </si>
  <si>
    <t>Simon WONG</t>
  </si>
  <si>
    <t>25102605 / 97544311</t>
  </si>
  <si>
    <t>simonwong@bschk.com</t>
  </si>
  <si>
    <t>Address : Floor 19, Sino Favour Ctr, 1 On Yip Street, Chai Wan, Hong Kong</t>
    <phoneticPr fontId="11" type="noConversion"/>
  </si>
  <si>
    <t>CL548693</t>
  </si>
  <si>
    <t>RN 875797/23-24</t>
  </si>
  <si>
    <t>103459</t>
  </si>
  <si>
    <r>
      <rPr>
        <b/>
        <sz val="11"/>
        <color theme="1"/>
        <rFont val="Aptos Narrow"/>
        <family val="2"/>
        <scheme val="minor"/>
      </rPr>
      <t>Microsoft Azure</t>
    </r>
    <r>
      <rPr>
        <sz val="11"/>
        <color theme="1"/>
        <rFont val="Aptos Narrow"/>
        <family val="2"/>
        <scheme val="minor"/>
      </rPr>
      <t xml:space="preserve">
</t>
    </r>
    <r>
      <rPr>
        <b/>
        <sz val="11"/>
        <color theme="1"/>
        <rFont val="Aptos Narrow"/>
        <family val="2"/>
        <scheme val="minor"/>
      </rPr>
      <t>Migrate existing Azure subscription to HKT</t>
    </r>
    <r>
      <rPr>
        <sz val="11"/>
        <color theme="1"/>
        <rFont val="Aptos Narrow"/>
        <family val="2"/>
        <scheme val="minor"/>
      </rPr>
      <t xml:space="preserve">
[01-Jun-23] Received Order. Sent email to Yuen, Vicky WS for arrange the transfer/migration
[16-Jun-23] Azure subscription transfer has been completed (noted by Microsoft email). Sent Welcome Letter to customer. Completed in CxS (Completion Date : 16-Jun-23)</t>
    </r>
  </si>
  <si>
    <t xml:space="preserve">
Existing Huawei Cloud Admin Login : support@bschk.com</t>
    <phoneticPr fontId="11" type="noConversion"/>
  </si>
  <si>
    <t>CL550009</t>
  </si>
  <si>
    <t>RN 875797/25-26</t>
  </si>
  <si>
    <t>103458</t>
  </si>
  <si>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Migrate existing Huawei Cloud to HKT</t>
    </r>
    <r>
      <rPr>
        <sz val="11"/>
        <color theme="1"/>
        <rFont val="Aptos Narrow"/>
        <family val="2"/>
        <scheme val="minor"/>
      </rPr>
      <t xml:space="preserve">
[01-Jun-23] Received Order. Sent email to Yuen, Vicky WS for arrange the transfer/migration
[02-Jun-23] BSC’s Huawei Cloud account has been linked under HKT. Completed in CxS (Completion Date : 01-Jun-23)
[07-Jun-23] Sent Welcome Letter to customer</t>
    </r>
  </si>
  <si>
    <t>Henry CHEUNG, HOIT&amp;HI SA(BIS5)2</t>
  </si>
  <si>
    <t>elcnonpro@ha.org.hk</t>
    <phoneticPr fontId="11" type="noConversion"/>
  </si>
  <si>
    <t>HA10-LXP-DEV</t>
    <phoneticPr fontId="11" type="noConversion"/>
  </si>
  <si>
    <t xml:space="preserve">
Email : elcnonpro@ha.org.hk</t>
    <phoneticPr fontId="11" type="noConversion"/>
  </si>
  <si>
    <t>Address : G/F, Blk. A, Hospital Authority Information Technology Block, 147A Argyle Street, Mongkok, Kowloon</t>
    <phoneticPr fontId="11" type="noConversion"/>
  </si>
  <si>
    <t>CL549601</t>
    <phoneticPr fontId="11" type="noConversion"/>
  </si>
  <si>
    <t>RN 376732/1-2</t>
  </si>
  <si>
    <t>103487</t>
  </si>
  <si>
    <r>
      <rPr>
        <b/>
        <sz val="11"/>
        <color theme="1"/>
        <rFont val="Aptos Narrow"/>
        <family val="2"/>
        <scheme val="minor"/>
      </rPr>
      <t>AWS Cloud</t>
    </r>
    <r>
      <rPr>
        <sz val="11"/>
        <color theme="1"/>
        <rFont val="Aptos Narrow"/>
        <family val="2"/>
        <scheme val="minor"/>
      </rPr>
      <t xml:space="preserve">
[31-May-23] MultiCloudMS Created AWS A/C
[14-Jul-23] Received Order. </t>
    </r>
    <r>
      <rPr>
        <sz val="11"/>
        <color rgb="FFFF0000"/>
        <rFont val="Aptos Narrow"/>
        <family val="2"/>
        <scheme val="minor"/>
      </rPr>
      <t xml:space="preserve">A/C created on 31-May-23 / CxS SRD on 01-Jun-23
</t>
    </r>
    <r>
      <rPr>
        <sz val="11"/>
        <rFont val="Aptos Narrow"/>
        <family val="2"/>
        <scheme val="minor"/>
      </rPr>
      <t>[18-Jul-23] Sent email to Order Team (Wong, Emily PY) check the TID. Completed in CxS (Completion Date : 01-Jun-23)</t>
    </r>
    <r>
      <rPr>
        <sz val="11"/>
        <color theme="1"/>
        <rFont val="Aptos Narrow"/>
        <family val="2"/>
        <scheme val="minor"/>
      </rPr>
      <t>. Received TID provide by Assistant Engineer (Cheung, Ka-Chun)</t>
    </r>
  </si>
  <si>
    <t>t7support@ha.org.hk</t>
  </si>
  <si>
    <t>TMS-TEMP-DEV</t>
  </si>
  <si>
    <t xml:space="preserve">
</t>
    <phoneticPr fontId="11" type="noConversion"/>
  </si>
  <si>
    <r>
      <rPr>
        <b/>
        <sz val="11"/>
        <rFont val="Aptos Narrow"/>
        <family val="2"/>
        <scheme val="minor"/>
      </rPr>
      <t>Microsoft Azure</t>
    </r>
    <r>
      <rPr>
        <sz val="11"/>
        <rFont val="Aptos Narrow"/>
        <family val="1"/>
        <charset val="136"/>
        <scheme val="minor"/>
      </rPr>
      <t xml:space="preserve">
[01-Jun-23] MultiCloudMS Created AWS A/C</t>
    </r>
  </si>
  <si>
    <t>ais1alapdevsupp@ha.org.hk</t>
    <phoneticPr fontId="11" type="noConversion"/>
  </si>
  <si>
    <t>AIS-PORTAL-DEV</t>
    <phoneticPr fontId="11" type="noConversion"/>
  </si>
  <si>
    <t>CL552227</t>
    <phoneticPr fontId="11" type="noConversion"/>
  </si>
  <si>
    <t>RN 376732/7-8</t>
  </si>
  <si>
    <t>103484</t>
  </si>
  <si>
    <r>
      <rPr>
        <b/>
        <sz val="11"/>
        <color rgb="FF000000"/>
        <rFont val="Aptos Narrow"/>
        <family val="2"/>
        <scheme val="minor"/>
      </rPr>
      <t xml:space="preserve">Microsoft Azure
</t>
    </r>
    <r>
      <rPr>
        <sz val="11"/>
        <color rgb="FF000000"/>
        <rFont val="Aptos Narrow"/>
        <family val="2"/>
        <scheme val="minor"/>
      </rPr>
      <t xml:space="preserve">[02-Jun-23] MultiCloudMS Created AWS A/C
[14-Jul-23] Received Order. </t>
    </r>
    <r>
      <rPr>
        <sz val="11"/>
        <color rgb="FFFF0000"/>
        <rFont val="Aptos Narrow"/>
        <family val="2"/>
        <scheme val="minor"/>
      </rPr>
      <t xml:space="preserve">A/C created on 02-Jun-23 / CxS SRD on 01-Jun-23
</t>
    </r>
    <r>
      <rPr>
        <sz val="11"/>
        <color rgb="FF000000"/>
        <rFont val="Aptos Narrow"/>
        <family val="2"/>
        <scheme val="minor"/>
      </rPr>
      <t>[18-Jul-23] Sent email to Order Team (Wong, Emily PY) check the TID. Completed in CxS (Completion Date : 01-Jun-23). Received TID provide by Assistant Engineer (Cheung, Ka-Chun)</t>
    </r>
  </si>
  <si>
    <t>Michael Tong</t>
  </si>
  <si>
    <t>michael.tong@crypto.com</t>
  </si>
  <si>
    <t xml:space="preserve">
Email : alicloud@cronoslabs.org</t>
    <phoneticPr fontId="11" type="noConversion"/>
  </si>
  <si>
    <t>CL551085</t>
  </si>
  <si>
    <t>RN 699675/1-2</t>
  </si>
  <si>
    <t>103457</t>
  </si>
  <si>
    <t>SD11579784</t>
    <phoneticPr fontId="11" type="noConversion"/>
  </si>
  <si>
    <r>
      <rPr>
        <b/>
        <sz val="11"/>
        <color theme="1"/>
        <rFont val="Calibri"/>
        <family val="2"/>
      </rPr>
      <t>Alibaba Cloud
&lt;&lt;SD11579784&gt;&gt;</t>
    </r>
    <r>
      <rPr>
        <sz val="11"/>
        <color theme="1"/>
        <rFont val="Calibri"/>
        <family val="2"/>
      </rPr>
      <t xml:space="preserve">
[01-Jun-23] Received Order
[02-Jun-23] Created account &amp; send invite email to customer for registration. Customer completed registration.
[06-Jun-23] Sent Welcome Letter to customer
[07-Jun-23] Completed in CxS (Completion Date : 07-Jun-23)</t>
    </r>
  </si>
  <si>
    <t>hoehealthcldhuaweinp@ha.org.hk</t>
    <phoneticPr fontId="11" type="noConversion"/>
  </si>
  <si>
    <t>CDC3-ODC-DEV</t>
  </si>
  <si>
    <t xml:space="preserve">
Email : hoehealthcldhuaweinp@ha.org.hk</t>
    <phoneticPr fontId="11" type="noConversion"/>
  </si>
  <si>
    <t>CL550396</t>
    <phoneticPr fontId="11" type="noConversion"/>
  </si>
  <si>
    <t>RN 376732/3-4</t>
  </si>
  <si>
    <t>103486</t>
  </si>
  <si>
    <t>SD11582449</t>
    <phoneticPr fontId="11" type="noConversion"/>
  </si>
  <si>
    <r>
      <rPr>
        <b/>
        <sz val="11"/>
        <color theme="1"/>
        <rFont val="Aptos Narrow"/>
        <family val="2"/>
        <scheme val="minor"/>
      </rPr>
      <t>Huawei Cloud</t>
    </r>
    <r>
      <rPr>
        <sz val="11"/>
        <color theme="1"/>
        <rFont val="Aptos Narrow"/>
        <family val="2"/>
        <scheme val="minor"/>
      </rPr>
      <t xml:space="preserve">
</t>
    </r>
    <r>
      <rPr>
        <b/>
        <sz val="11"/>
        <color theme="1"/>
        <rFont val="Aptos Narrow"/>
        <family val="2"/>
        <scheme val="minor"/>
      </rPr>
      <t>&lt;&lt;SD11582449&gt;&gt;</t>
    </r>
    <r>
      <rPr>
        <sz val="11"/>
        <color theme="1"/>
        <rFont val="Aptos Narrow"/>
        <family val="2"/>
        <scheme val="minor"/>
      </rPr>
      <t xml:space="preserve">
[15-Jun-23] Created Huawei A/C
[14-Jul-23] Received Order. </t>
    </r>
    <r>
      <rPr>
        <sz val="11"/>
        <color rgb="FFFF0000"/>
        <rFont val="Aptos Narrow"/>
        <family val="2"/>
        <scheme val="minor"/>
      </rPr>
      <t xml:space="preserve">A/C created on 15-Jun-23 / CxS SRD on 01-Jun-23
</t>
    </r>
    <r>
      <rPr>
        <sz val="11"/>
        <rFont val="Aptos Narrow"/>
        <family val="2"/>
        <scheme val="minor"/>
      </rPr>
      <t>[18-Jul-23] Sent email to Order Team (Wong, Emily PY) check the TID. Completed in CxS (Completion Date : 01-Jun-23)</t>
    </r>
    <r>
      <rPr>
        <sz val="11"/>
        <color theme="1"/>
        <rFont val="Aptos Narrow"/>
        <family val="2"/>
        <scheme val="minor"/>
      </rPr>
      <t>. Received TID provide by Assistant Engineer (Cheung, Ka-Chun)</t>
    </r>
  </si>
  <si>
    <t>Wai CHUNG</t>
  </si>
  <si>
    <t>CL542254</t>
    <phoneticPr fontId="11" type="noConversion"/>
  </si>
  <si>
    <t>RN 566393/1-2</t>
  </si>
  <si>
    <t>102728</t>
  </si>
  <si>
    <t>CB23-00003434\1(OM)</t>
  </si>
  <si>
    <r>
      <rPr>
        <b/>
        <sz val="11"/>
        <color rgb="FF000000"/>
        <rFont val="Aptos Narrow"/>
        <family val="2"/>
        <scheme val="minor"/>
      </rPr>
      <t xml:space="preserve">Add on PS Job : Gravity Project (Generic A3-1 HKD $18,000 + Project Management HKD $9,000) = HKD $27,000  &lt;PSEF : CKWT&gt;
</t>
    </r>
    <r>
      <rPr>
        <sz val="11"/>
        <color rgb="FF000000"/>
        <rFont val="Aptos Narrow"/>
        <family val="2"/>
        <scheme val="minor"/>
      </rPr>
      <t>[16-Jun-23] Received Order. Completed in CxS (Completion Date 10-May-23)</t>
    </r>
  </si>
  <si>
    <t>http://10.10.10.209/OASIS_FILE_MANAGER/zip_files_download.php?qid=1042830&amp;serialno=CB23-00003434&amp;itemno=1&amp;token=d2fcc63539ab421111515b95e3d48e8c</t>
    <phoneticPr fontId="11" type="noConversion"/>
  </si>
  <si>
    <t>CL545974</t>
    <phoneticPr fontId="11" type="noConversion"/>
  </si>
  <si>
    <t>RN 566393/3-4</t>
  </si>
  <si>
    <r>
      <rPr>
        <b/>
        <sz val="11"/>
        <color theme="1"/>
        <rFont val="Aptos Narrow"/>
        <family val="2"/>
        <scheme val="minor"/>
      </rPr>
      <t>Add on PS Job : SFPT Project (Generic A3-1 HKD $9,000 + Project Management HKD $4,500) = HKD $13,500  &lt;PSEF : CKWT&gt;</t>
    </r>
    <r>
      <rPr>
        <sz val="11"/>
        <color theme="1"/>
        <rFont val="Aptos Narrow"/>
        <family val="2"/>
        <scheme val="minor"/>
      </rPr>
      <t xml:space="preserve">
[16-Jun-23] Received Order. Completed in CxS (Completion Date : 10-May-23)</t>
    </r>
  </si>
  <si>
    <t xml:space="preserve">
Root Email : alicloud_kdpapi@chowtaifook.com</t>
    <phoneticPr fontId="11" type="noConversion"/>
  </si>
  <si>
    <t>Billing address add C/O: TMark_Account Activation</t>
    <phoneticPr fontId="11" type="noConversion"/>
  </si>
  <si>
    <t>CL541055</t>
  </si>
  <si>
    <t>RN 164044/1-2</t>
  </si>
  <si>
    <t>103469</t>
  </si>
  <si>
    <r>
      <rPr>
        <b/>
        <sz val="11"/>
        <color theme="1"/>
        <rFont val="Aptos Narrow"/>
        <family val="2"/>
        <scheme val="minor"/>
      </rPr>
      <t>Transfer the Alicloud account to HKT Only (I-order only, NO PS job)</t>
    </r>
    <r>
      <rPr>
        <sz val="11"/>
        <color theme="1"/>
        <rFont val="Aptos Narrow"/>
        <family val="2"/>
        <scheme val="minor"/>
      </rPr>
      <t xml:space="preserve">
[19-Jun-23] Received Order. Completed in CxS (Completion Date : 19-Jun-23)
[19-Jun-23] Transferral of acc is in progress. Pending for B&amp;data update</t>
    </r>
  </si>
  <si>
    <t>Vanie Wong, SM(EHP)7</t>
  </si>
  <si>
    <t>895375962062</t>
    <phoneticPr fontId="11" type="noConversion"/>
  </si>
  <si>
    <t>Address : 7/F, KOWLOONBAY INTL TRADE &amp; EXHIBITION CTR 1 TRADEMART DRIVE, KLN BAY, HK
ATTN : VANIE WONG SME (EHP)7</t>
    <phoneticPr fontId="11" type="noConversion"/>
  </si>
  <si>
    <t>CL544647</t>
    <phoneticPr fontId="11" type="noConversion"/>
  </si>
  <si>
    <t>RN 528831/3-4</t>
  </si>
  <si>
    <t>103477</t>
  </si>
  <si>
    <r>
      <rPr>
        <b/>
        <sz val="11"/>
        <color theme="1"/>
        <rFont val="Aptos Narrow"/>
        <family val="2"/>
        <scheme val="minor"/>
      </rPr>
      <t>AWS Configuration Charge (HKD $291,000 + HKD $70,500 = HKD $361,500) &lt;PSEF : CKWT&gt;</t>
    </r>
    <r>
      <rPr>
        <sz val="11"/>
        <color theme="1"/>
        <rFont val="Aptos Narrow"/>
        <family val="2"/>
        <scheme val="minor"/>
      </rPr>
      <t xml:space="preserve">
[19-Jun-23] Received Order</t>
    </r>
  </si>
  <si>
    <t>ucspubcloudnprd@ha.org.hk</t>
  </si>
  <si>
    <t>HA11-UCS-DEV</t>
  </si>
  <si>
    <t xml:space="preserve">
Email : ucspubcloudnprd@ha.org.hk</t>
    <phoneticPr fontId="11" type="noConversion"/>
  </si>
  <si>
    <t>CL557944</t>
    <phoneticPr fontId="11" type="noConversion"/>
  </si>
  <si>
    <t>RN 795905/3-4</t>
    <phoneticPr fontId="11" type="noConversion"/>
  </si>
  <si>
    <t>103631</t>
    <phoneticPr fontId="11" type="noConversion"/>
  </si>
  <si>
    <r>
      <rPr>
        <b/>
        <sz val="11"/>
        <rFont val="Aptos Narrow"/>
        <family val="2"/>
        <scheme val="minor"/>
      </rPr>
      <t>AWS Cloud</t>
    </r>
    <r>
      <rPr>
        <sz val="11"/>
        <rFont val="Aptos Narrow"/>
        <family val="1"/>
        <charset val="136"/>
        <scheme val="minor"/>
      </rPr>
      <t xml:space="preserve">
[23-Jun-23] MultiCloudMS Created AWS A/C</t>
    </r>
    <r>
      <rPr>
        <sz val="11"/>
        <rFont val="Aptos Narrow"/>
        <family val="2"/>
        <scheme val="minor"/>
      </rPr>
      <t xml:space="preserve">
[19-Oct-23] Received Order. A/C created on 23-Jun-23 / CxS SRD on 01-Sep-23. Completed in CxS (Completion Date : 01-Sep-23). </t>
    </r>
  </si>
  <si>
    <t>Kelvin</t>
    <phoneticPr fontId="11" type="noConversion"/>
  </si>
  <si>
    <r>
      <t xml:space="preserve">CHOW TAI FOOK JEWELLERY CO LTD
</t>
    </r>
    <r>
      <rPr>
        <b/>
        <sz val="11"/>
        <color rgb="FFFF0000"/>
        <rFont val="Calibri"/>
        <family val="2"/>
      </rPr>
      <t>&lt;Gravity Project&gt;</t>
    </r>
  </si>
  <si>
    <t>HA10-LXP-PRD</t>
  </si>
  <si>
    <t>RN 683294/1-2</t>
  </si>
  <si>
    <t>Add on PS Job : Gravity Project (Generic A3-1 HKD $27,000 + Project Management HKD $11,250) = HKD $38,250  &lt;PSEF : CKWT&gt; (Add on Lamba HKD $38,250 ) VO_20230307A
[19-Jun-23] Mark down record. Another PS job for Gravity Project
[22-Jun-23] ASM-seikei sent request to order team for order creation
[29-Jun-23] Received Order. CxS completed by someone</t>
  </si>
  <si>
    <t>Wai Chung</t>
  </si>
  <si>
    <t xml:space="preserve">
Root Email : alicloud_kdpak@chowtaifook.com</t>
    <phoneticPr fontId="11" type="noConversion"/>
  </si>
  <si>
    <t>Address : 25/F WORLD PEACE CENTRE 21 SHAN TUNG STREET 41-55 WO TONG TSUI ST KWAI CHUNG NEW TERRITORIES
Billing address add C/O : kdpap</t>
    <phoneticPr fontId="11" type="noConversion"/>
  </si>
  <si>
    <t>CL550785</t>
    <phoneticPr fontId="11" type="noConversion"/>
  </si>
  <si>
    <t>RN 767283/1-2</t>
  </si>
  <si>
    <t>103480</t>
  </si>
  <si>
    <t>SD11584457</t>
    <phoneticPr fontId="11" type="noConversion"/>
  </si>
  <si>
    <r>
      <rPr>
        <b/>
        <sz val="11"/>
        <color rgb="FFFF0000"/>
        <rFont val="Calibri"/>
        <family val="2"/>
      </rPr>
      <t>Pre-provisioning</t>
    </r>
    <r>
      <rPr>
        <sz val="11"/>
        <rFont val="Calibri"/>
        <family val="2"/>
      </rPr>
      <t xml:space="preserve">
</t>
    </r>
    <r>
      <rPr>
        <b/>
        <sz val="11"/>
        <rFont val="Calibri"/>
        <family val="2"/>
      </rPr>
      <t>Alibaba Cloud</t>
    </r>
    <r>
      <rPr>
        <sz val="11"/>
        <rFont val="Calibri"/>
        <family val="2"/>
      </rPr>
      <t xml:space="preserve">
&lt;&lt;SD11584457&gt;&gt;
[23-Jun-23] Received Pre-provisioning Order. Sent an invitation of Alibaba Cloud account creation to customer (alicloud_kdpak@chowtaifook.com)
[26-Jun-23] Customer associated the Alibaba Cloud account. 
[27-Jun-23] ASM Seikei submit request to order team. Pending for order issue to close case
[29-Jun-23] Received Order. </t>
    </r>
    <r>
      <rPr>
        <sz val="11"/>
        <color rgb="FFFF0000"/>
        <rFont val="Calibri"/>
        <family val="2"/>
      </rPr>
      <t>A/C created on 23-Jun-23 / CxS SRD on 04-Jul-23.</t>
    </r>
    <r>
      <rPr>
        <sz val="11"/>
        <rFont val="Calibri"/>
        <family val="2"/>
      </rPr>
      <t xml:space="preserve">
[30-Jun-23] Completed in CxS (Completion Date : 30-Jun-23)</t>
    </r>
  </si>
  <si>
    <t>Enrico FUNG
Jacky SZETO (IT)</t>
  </si>
  <si>
    <t>97836800
62792525 (IT)</t>
  </si>
  <si>
    <r>
      <rPr>
        <sz val="11"/>
        <color rgb="FF000000"/>
        <rFont val="Aptos Narrow"/>
        <family val="2"/>
        <scheme val="minor"/>
      </rPr>
      <t xml:space="preserve">HONG KONG DIAMOND WAREHOUSE COMPANY LIMITED 
</t>
    </r>
    <r>
      <rPr>
        <sz val="11"/>
        <color rgb="FFFF0000"/>
        <rFont val="Aptos Narrow"/>
        <family val="2"/>
        <scheme val="minor"/>
      </rPr>
      <t>&lt;group company of Chow Tai Fook ( aldy group under CTF) &gt;</t>
    </r>
  </si>
  <si>
    <t>Termination : https://dxs.diamwarehouse.com</t>
    <phoneticPr fontId="11" type="noConversion"/>
  </si>
  <si>
    <t>CL558258</t>
  </si>
  <si>
    <t>RN 528337/1-2</t>
  </si>
  <si>
    <t>103080</t>
  </si>
  <si>
    <t>Termination PS Job (Termination of DXS service )
[26-Jun-23] Make down record. Waiting customer confirm &amp; sign back agrement
[13-Jul-2023] Product Lam Tam will do the termination action instead of Lok
[18-Jul-23] Received Order</t>
  </si>
  <si>
    <t>itelc@ha.org.hk</t>
  </si>
  <si>
    <t xml:space="preserve">
Email : itelc@ha.org.hk; </t>
    <phoneticPr fontId="11" type="noConversion"/>
  </si>
  <si>
    <t>CL557714</t>
    <phoneticPr fontId="11" type="noConversion"/>
  </si>
  <si>
    <t>RN 795905/1-2</t>
    <phoneticPr fontId="11" type="noConversion"/>
  </si>
  <si>
    <t>103632</t>
    <phoneticPr fontId="11" type="noConversion"/>
  </si>
  <si>
    <r>
      <rPr>
        <b/>
        <sz val="11"/>
        <rFont val="Calibri"/>
        <family val="2"/>
      </rPr>
      <t>AWS Cloud</t>
    </r>
    <r>
      <rPr>
        <sz val="11"/>
        <rFont val="Calibri"/>
        <family val="1"/>
        <charset val="136"/>
      </rPr>
      <t xml:space="preserve">
[30-Jun-23] MultiCloudMS Created AWS A/C</t>
    </r>
    <r>
      <rPr>
        <sz val="11"/>
        <rFont val="Aptos Narrow"/>
        <family val="1"/>
        <charset val="136"/>
        <scheme val="minor"/>
      </rPr>
      <t xml:space="preserve">
[19-Oct-23] Received Order. A/C created on 30-Jun-23 / CxS SRD on 01-Sep-23. Completed in CxS (Completion Date : 01-Sep-23). </t>
    </r>
  </si>
  <si>
    <t>Wai Chung</t>
    <phoneticPr fontId="11" type="noConversion"/>
  </si>
  <si>
    <t>Root Email : alicloud_kdpapi@chowtaifook.com</t>
    <phoneticPr fontId="11" type="noConversion"/>
  </si>
  <si>
    <t>To Transfer the UID: 5503828756019636
Billing address add C/O : kdpapi</t>
    <phoneticPr fontId="11" type="noConversion"/>
  </si>
  <si>
    <t>CL547285</t>
    <phoneticPr fontId="11" type="noConversion"/>
  </si>
  <si>
    <t>RN 806965/1-2</t>
  </si>
  <si>
    <t>103562</t>
  </si>
  <si>
    <r>
      <rPr>
        <b/>
        <sz val="11"/>
        <color theme="1"/>
        <rFont val="Calibri"/>
        <family val="2"/>
      </rPr>
      <t>Alibaba Cloud</t>
    </r>
    <r>
      <rPr>
        <sz val="11"/>
        <color theme="1"/>
        <rFont val="Calibri"/>
        <family val="2"/>
      </rPr>
      <t xml:space="preserve">
[10-Jul-23] Received Order
[11-Jul-23] Completed in CxS (Completion Date : 10-Jul-23)</t>
    </r>
  </si>
  <si>
    <t>Jeffrey</t>
    <phoneticPr fontId="11" type="noConversion"/>
  </si>
  <si>
    <t>25033681 / 51826682</t>
  </si>
  <si>
    <t>CL552384</t>
    <phoneticPr fontId="11" type="noConversion"/>
  </si>
  <si>
    <t>RN 545293/1-2</t>
  </si>
  <si>
    <t>103488</t>
    <phoneticPr fontId="11" type="noConversion"/>
  </si>
  <si>
    <t>SD11588381</t>
    <phoneticPr fontId="11" type="noConversion"/>
  </si>
  <si>
    <r>
      <rPr>
        <b/>
        <sz val="11"/>
        <color theme="1"/>
        <rFont val="新細明體"/>
        <family val="2"/>
      </rPr>
      <t>Google Cloud</t>
    </r>
    <r>
      <rPr>
        <sz val="11"/>
        <color theme="1"/>
        <rFont val="新細明體"/>
        <family val="2"/>
      </rPr>
      <t xml:space="preserve">
</t>
    </r>
    <r>
      <rPr>
        <b/>
        <sz val="11"/>
        <color theme="1"/>
        <rFont val="新細明體"/>
        <family val="2"/>
      </rPr>
      <t>&lt;&lt;SD11588381&gt;&gt;</t>
    </r>
    <r>
      <rPr>
        <sz val="11"/>
        <color theme="1"/>
        <rFont val="新細明體"/>
        <family val="2"/>
      </rPr>
      <t xml:space="preserve">
[14-Jul-23] Received Order. Created billing subaccount
[17-Jul-23]
[18-Jul-23] Sent email to customer request share the Google Cloud Platform (GCP) A/C to us for link to HKT Billing. Customer replied and completed link the GCP A/C to HKT Billing. Sent welcome letter to customer. Completed in CxS (Completion Date : 18-Jul-23)</t>
    </r>
  </si>
  <si>
    <r>
      <rPr>
        <sz val="11"/>
        <color rgb="FFFF0000"/>
        <rFont val="Aptos Narrow"/>
        <family val="2"/>
        <scheme val="minor"/>
      </rPr>
      <t>Project Owner of CTF : King</t>
    </r>
    <r>
      <rPr>
        <sz val="11"/>
        <color theme="1"/>
        <rFont val="Aptos Narrow"/>
        <family val="2"/>
        <scheme val="minor"/>
      </rPr>
      <t xml:space="preserve">
Root email : alicloud_opensearchprpo@chowtaifook.com</t>
    </r>
  </si>
  <si>
    <t>CL544755</t>
    <phoneticPr fontId="11" type="noConversion"/>
  </si>
  <si>
    <t>RN 818078/1-2</t>
  </si>
  <si>
    <t>103492</t>
    <phoneticPr fontId="11" type="noConversion"/>
  </si>
  <si>
    <r>
      <rPr>
        <b/>
        <sz val="11"/>
        <color theme="1"/>
        <rFont val="Aptos Narrow"/>
        <family val="2"/>
        <scheme val="minor"/>
      </rPr>
      <t>Alibaba Cloud</t>
    </r>
    <r>
      <rPr>
        <sz val="11"/>
        <color theme="1"/>
        <rFont val="Aptos Narrow"/>
        <family val="2"/>
        <scheme val="minor"/>
      </rPr>
      <t xml:space="preserve">
[18-Jul-23] Received Order. Sent an invitation of Alibaba Cloud account creation to customer (waichung@chowtaifook.com)
[19-Jul-23] Customer associated the Alibaba Cloud account
[20-Jul-23] Sent welcome letter to customer. Completed in CxS (Completion Date : 20-Jul-23)</t>
    </r>
  </si>
  <si>
    <r>
      <rPr>
        <sz val="11"/>
        <color rgb="FFFF0000"/>
        <rFont val="Aptos Narrow"/>
        <family val="2"/>
        <scheme val="minor"/>
      </rPr>
      <t>Project Owner of CTF : King</t>
    </r>
    <r>
      <rPr>
        <sz val="11"/>
        <color theme="1"/>
        <rFont val="Aptos Narrow"/>
        <family val="2"/>
        <scheme val="minor"/>
      </rPr>
      <t xml:space="preserve">
Root email : alicloud_opensearchuat@chowtaifook.com</t>
    </r>
  </si>
  <si>
    <t>CL544821</t>
    <phoneticPr fontId="11" type="noConversion"/>
  </si>
  <si>
    <t>RN 818078/3-4</t>
  </si>
  <si>
    <t>103491</t>
    <phoneticPr fontId="11" type="noConversion"/>
  </si>
  <si>
    <r>
      <rPr>
        <sz val="11"/>
        <color rgb="FFFF0000"/>
        <rFont val="Aptos Narrow"/>
        <family val="2"/>
        <scheme val="minor"/>
      </rPr>
      <t>CTF-Ecatalog of Alicloud Project</t>
    </r>
    <r>
      <rPr>
        <sz val="11"/>
        <color theme="1"/>
        <rFont val="Aptos Narrow"/>
        <family val="2"/>
        <scheme val="minor"/>
      </rPr>
      <t xml:space="preserve">
Root email : alicloud_ecatuat@chowtaifook.com</t>
    </r>
  </si>
  <si>
    <t>CL544119</t>
  </si>
  <si>
    <t>RN 578923/1-2</t>
  </si>
  <si>
    <t>103490</t>
  </si>
  <si>
    <r>
      <rPr>
        <b/>
        <sz val="11"/>
        <color theme="1"/>
        <rFont val="Aptos Narrow"/>
        <family val="2"/>
        <scheme val="minor"/>
      </rPr>
      <t>Alibaba Cloud</t>
    </r>
    <r>
      <rPr>
        <sz val="11"/>
        <color theme="1"/>
        <rFont val="Aptos Narrow"/>
        <family val="2"/>
        <scheme val="minor"/>
      </rPr>
      <t xml:space="preserve">
[18-Jul-23] Received Order. Sent an invitation of Alibaba Cloud account creation to customer (waichung@chowtaifook.com)
[20-Jul-23] resent invitation to customer. Customer associated the Alibaba Cloud account. Sent welcome letter to customer. Completed in CxS (Completion Date : 20-Jul-23)</t>
    </r>
  </si>
  <si>
    <r>
      <rPr>
        <sz val="11"/>
        <color rgb="FFFF0000"/>
        <rFont val="Aptos Narrow"/>
        <family val="2"/>
        <scheme val="minor"/>
      </rPr>
      <t>CTF-Ecatalog of Alicloud Project</t>
    </r>
    <r>
      <rPr>
        <sz val="11"/>
        <color theme="1"/>
        <rFont val="Aptos Narrow"/>
        <family val="2"/>
        <scheme val="minor"/>
      </rPr>
      <t xml:space="preserve">
Root email : alicloud_ecatpro@chowtaifook.com</t>
    </r>
  </si>
  <si>
    <t>CL544749</t>
    <phoneticPr fontId="11" type="noConversion"/>
  </si>
  <si>
    <t>RN 578923/3-4</t>
  </si>
  <si>
    <t>103489</t>
  </si>
  <si>
    <t xml:space="preserve">
Subaccount Billing ID: 015DA9-E5A1FA-D6F677</t>
  </si>
  <si>
    <t>CL556071</t>
    <phoneticPr fontId="11" type="noConversion"/>
  </si>
  <si>
    <t>RN 280576/1-2</t>
  </si>
  <si>
    <t>103504</t>
  </si>
  <si>
    <r>
      <rPr>
        <b/>
        <sz val="11"/>
        <color theme="1"/>
        <rFont val="Aptos Narrow"/>
        <family val="2"/>
        <scheme val="minor"/>
      </rPr>
      <t>AWS Cloud</t>
    </r>
    <r>
      <rPr>
        <sz val="11"/>
        <color theme="1"/>
        <rFont val="Aptos Narrow"/>
        <family val="2"/>
        <scheme val="minor"/>
      </rPr>
      <t xml:space="preserve">
[27-Jul-23] Received Order. AWS A/C already created. Completed in CxS (Completion Date : 26-Jul-23)</t>
    </r>
  </si>
  <si>
    <t>CL551040</t>
    <phoneticPr fontId="11" type="noConversion"/>
  </si>
  <si>
    <t>CL556132</t>
  </si>
  <si>
    <t>RN 280576/3-4</t>
  </si>
  <si>
    <t>103503</t>
  </si>
  <si>
    <r>
      <rPr>
        <b/>
        <sz val="11"/>
        <color theme="1"/>
        <rFont val="Aptos Narrow"/>
        <family val="2"/>
        <scheme val="minor"/>
      </rPr>
      <t>AWS Cloud</t>
    </r>
    <r>
      <rPr>
        <sz val="11"/>
        <color theme="1"/>
        <rFont val="Aptos Narrow"/>
        <family val="2"/>
        <scheme val="minor"/>
      </rPr>
      <t xml:space="preserve">
[27-Jul-23] Received Order. AWS A/C already created. Completed in CxS (Completion Date : </t>
    </r>
    <r>
      <rPr>
        <sz val="11"/>
        <color theme="1"/>
        <rFont val="Aptos Narrow"/>
        <family val="2"/>
        <scheme val="minor"/>
      </rPr>
      <t>26-Jul-23)</t>
    </r>
  </si>
  <si>
    <t>SD11613160</t>
    <phoneticPr fontId="11" type="noConversion"/>
  </si>
  <si>
    <t>CL556149</t>
  </si>
  <si>
    <t>RN 280576/5-6</t>
  </si>
  <si>
    <t>836175332282</t>
    <phoneticPr fontId="11" type="noConversion"/>
  </si>
  <si>
    <r>
      <rPr>
        <b/>
        <sz val="11"/>
        <rFont val="新細明體"/>
        <family val="1"/>
        <charset val="136"/>
      </rPr>
      <t>Google Cloud
&lt;&lt;SD11613160&gt;&gt;</t>
    </r>
    <r>
      <rPr>
        <sz val="11"/>
        <rFont val="新細明體"/>
        <family val="2"/>
      </rPr>
      <t xml:space="preserve">
[13-Nov-23] Received Order. 
[15-Nov-23]Created billing subaccount. </t>
    </r>
    <r>
      <rPr>
        <sz val="11"/>
        <rFont val="新細明體"/>
        <family val="1"/>
        <charset val="136"/>
      </rPr>
      <t xml:space="preserve">Sent email to customer request share the Google Cloud Platform (GCP) A/C to us for link to HKT Billin. Customer replied and completed link the GCP A/C to HKT Billing. Sent welcome letter to customer. Await to complete in CxS (CxS SRD on17-Nov-2023)
[22-Nov-23] Completed in CxS (Completion Date : 17-Nov-23). </t>
    </r>
  </si>
  <si>
    <t>CL556169</t>
  </si>
  <si>
    <t>RN 280576/7-8</t>
  </si>
  <si>
    <t>103500</t>
  </si>
  <si>
    <t>Termination</t>
  </si>
  <si>
    <t>CL556172</t>
  </si>
  <si>
    <t>RN 280576/9-10</t>
  </si>
  <si>
    <t>103499</t>
  </si>
  <si>
    <r>
      <rPr>
        <sz val="11"/>
        <color rgb="FFFF0000"/>
        <rFont val="Aptos Narrow"/>
        <family val="2"/>
        <scheme val="minor"/>
      </rPr>
      <t>Project Owner of CTF : King</t>
    </r>
    <r>
      <rPr>
        <sz val="11"/>
        <color theme="1"/>
        <rFont val="Aptos Narrow"/>
        <family val="2"/>
        <scheme val="minor"/>
      </rPr>
      <t xml:space="preserve">
Root email : alicloud_opensearchprpo@chowtaifook.com
</t>
    </r>
  </si>
  <si>
    <t>CL556175</t>
  </si>
  <si>
    <t>RN 280576/11-12</t>
  </si>
  <si>
    <t>103498</t>
  </si>
  <si>
    <r>
      <rPr>
        <sz val="11"/>
        <color rgb="FFFF0000"/>
        <rFont val="Aptos Narrow"/>
        <family val="2"/>
        <scheme val="minor"/>
      </rPr>
      <t>Project Owner of CTF : King</t>
    </r>
    <r>
      <rPr>
        <sz val="11"/>
        <color theme="1"/>
        <rFont val="Aptos Narrow"/>
        <family val="2"/>
        <scheme val="minor"/>
      </rPr>
      <t xml:space="preserve">
Root email : alicloud_opensearchuat@chowtaifook.com
</t>
    </r>
  </si>
  <si>
    <t>CL556181</t>
  </si>
  <si>
    <t>RN 280576/13-14</t>
  </si>
  <si>
    <t>103497</t>
  </si>
  <si>
    <t>CL544189</t>
  </si>
  <si>
    <t>CL556221</t>
  </si>
  <si>
    <t>RN 280576/17-18</t>
  </si>
  <si>
    <t>103495</t>
  </si>
  <si>
    <t>Misc Change</t>
  </si>
  <si>
    <t>CL556230</t>
    <phoneticPr fontId="11" type="noConversion"/>
  </si>
  <si>
    <t>RN 280576/19-20</t>
  </si>
  <si>
    <t>103494</t>
  </si>
  <si>
    <t>Kenneth KO</t>
  </si>
  <si>
    <t>24943967 / 93705682</t>
  </si>
  <si>
    <t xml:space="preserve">
Root email : g2domain-admin@g2000.com.hk</t>
    <phoneticPr fontId="11" type="noConversion"/>
  </si>
  <si>
    <t>CL556271</t>
    <phoneticPr fontId="11" type="noConversion"/>
  </si>
  <si>
    <t>RN 226310/1-2</t>
  </si>
  <si>
    <t>103501</t>
    <phoneticPr fontId="11" type="noConversion"/>
  </si>
  <si>
    <r>
      <rPr>
        <b/>
        <sz val="11"/>
        <color theme="1"/>
        <rFont val="Aptos Narrow"/>
        <family val="1"/>
        <scheme val="minor"/>
      </rPr>
      <t>Alibaba Cloud</t>
    </r>
    <r>
      <rPr>
        <sz val="11"/>
        <color theme="1"/>
        <rFont val="Aptos Narrow"/>
        <family val="1"/>
        <scheme val="minor"/>
      </rPr>
      <t xml:space="preserve">
[27-Jul-23] Received Order
[28-Jul-23] Sent email to B&amp;Date inform migrate customer Alibaba Cloud account to the HKT master account
[03-Aug-23] Already mapped to mass Account. Sent Welcome Letter to customer. Completed in CxS (Completion Date : 03-Aug-23]</t>
    </r>
  </si>
  <si>
    <t>Kilson</t>
    <phoneticPr fontId="11" type="noConversion"/>
  </si>
  <si>
    <t>Sing Kong</t>
  </si>
  <si>
    <t>CL550104</t>
    <phoneticPr fontId="11" type="noConversion"/>
  </si>
  <si>
    <t>112329/1-2</t>
    <phoneticPr fontId="11" type="noConversion"/>
  </si>
  <si>
    <t>103506</t>
  </si>
  <si>
    <t>CA23-00009275\1(OM)</t>
    <phoneticPr fontId="11" type="noConversion"/>
  </si>
  <si>
    <t>Microsoft Azure
[01-Aug-23] Received Order (*Contract 4 Aug 2023 to 3 Aug 2024)
[07-Aug-23] sent email to Lok and inform him for the Professional Service Job action
*Professional service (Configuration Charge): HKD66,600
[18-Dec-2023] Confirm by Lok PS job has done. Completed order in CxS</t>
  </si>
  <si>
    <t>Ms Josephine HUI</t>
  </si>
  <si>
    <t>RN 573463/1</t>
  </si>
  <si>
    <r>
      <rPr>
        <b/>
        <sz val="11"/>
        <color theme="1"/>
        <rFont val="Aptos Narrow"/>
        <family val="2"/>
        <scheme val="minor"/>
      </rPr>
      <t>Huawei Cloud</t>
    </r>
    <r>
      <rPr>
        <sz val="11"/>
        <color theme="1"/>
        <rFont val="Aptos Narrow"/>
        <family val="2"/>
        <scheme val="minor"/>
      </rPr>
      <t xml:space="preserve">
</t>
    </r>
    <r>
      <rPr>
        <sz val="11"/>
        <color rgb="FFFF0000"/>
        <rFont val="Aptos Narrow"/>
        <family val="2"/>
        <scheme val="minor"/>
      </rPr>
      <t>Add "Direct Connect As A Service 1 (Region : CN East – Shanghai 1, Port Speed : 1GE)" x2
Additional Monthly fee : HK$1,460</t>
    </r>
    <r>
      <rPr>
        <sz val="11"/>
        <color theme="1"/>
        <rFont val="Aptos Narrow"/>
        <family val="2"/>
        <scheme val="minor"/>
      </rPr>
      <t xml:space="preserve">
[08-Aug-23] Received Order
[22-Aug-23] Completed in CxS (Completion Date : 14-Aug-23)</t>
    </r>
  </si>
  <si>
    <t>Chloe Wu</t>
  </si>
  <si>
    <t>CL544854</t>
  </si>
  <si>
    <t>517083/1-2</t>
  </si>
  <si>
    <t>102472</t>
  </si>
  <si>
    <t>[21-Aug-2023] Receive Email for customer Change register name + contract renew 
From : ORANGE DATA LTD
To : ASCENTAS CAPITAL MANAGEMENT LIMITED
CXS complete by someone</t>
    <phoneticPr fontId="11" type="noConversion"/>
  </si>
  <si>
    <t>Processing</t>
  </si>
  <si>
    <t>Larry Chang</t>
  </si>
  <si>
    <t>678085/1-2</t>
  </si>
  <si>
    <t>[28-Aug-2023] Received Email for Contract Renew, renew subscription 21 AUG 2023 20 Aug 2024
sent email to Lok and inform him for the Professional Service Job action
*Professional service (Configuration Charge): HKD $ 433,985.54 or subscirption renewal of ZCADI project</t>
  </si>
  <si>
    <t>Perceval LEE, HOIT&amp;HI SM(N)5</t>
  </si>
  <si>
    <t>n5@ha.org.hk</t>
  </si>
  <si>
    <t>N5-ODC-DEV</t>
  </si>
  <si>
    <t xml:space="preserve">
Email : n5@ha.org.hk</t>
    <phoneticPr fontId="11" type="noConversion"/>
  </si>
  <si>
    <t>Address : 7/F.,KITEC,1 Trademart Drive, Kowloon Bay, Kowloon</t>
    <phoneticPr fontId="11" type="noConversion"/>
  </si>
  <si>
    <t>CL541254</t>
    <phoneticPr fontId="11" type="noConversion"/>
  </si>
  <si>
    <t>RN 138146/1-2</t>
    <phoneticPr fontId="11" type="noConversion"/>
  </si>
  <si>
    <t>103635</t>
    <phoneticPr fontId="11" type="noConversion"/>
  </si>
  <si>
    <t>SD11597958</t>
    <phoneticPr fontId="11" type="noConversion"/>
  </si>
  <si>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&lt;&lt;SD11597958&gt;&gt;</t>
    </r>
    <r>
      <rPr>
        <sz val="11"/>
        <color theme="1"/>
        <rFont val="Aptos Narrow"/>
        <family val="1"/>
        <charset val="136"/>
        <scheme val="minor"/>
      </rPr>
      <t xml:space="preserve">
[04-Sep-23] Created Huawei A/C</t>
    </r>
    <r>
      <rPr>
        <sz val="11"/>
        <color theme="1"/>
        <rFont val="Aptos Narrow"/>
        <family val="2"/>
        <scheme val="minor"/>
      </rPr>
      <t xml:space="preserve">
[19-Oct-23] Received Order. A/C created on 04-Sep-23 / CxS SRD on 01-Sep-23. Completed in CxS (Completion Date : 01-Sep-23). </t>
    </r>
  </si>
  <si>
    <t>Ctfecatpro #5690389834450108								
Ctfecatuat #5806289833419865</t>
  </si>
  <si>
    <t>Root email address :biztalk_uat@hkt-cloud.com</t>
    <phoneticPr fontId="11" type="noConversion"/>
  </si>
  <si>
    <t>CL542292</t>
  </si>
  <si>
    <t>562983/1-2</t>
  </si>
  <si>
    <t>103561</t>
  </si>
  <si>
    <r>
      <rPr>
        <b/>
        <sz val="11"/>
        <color theme="1"/>
        <rFont val="Aptos Narrow"/>
        <family val="2"/>
        <scheme val="minor"/>
      </rPr>
      <t>AWS Cloud</t>
    </r>
    <r>
      <rPr>
        <sz val="11"/>
        <color theme="1"/>
        <rFont val="Aptos Narrow"/>
        <family val="2"/>
        <scheme val="minor"/>
      </rPr>
      <t xml:space="preserve">
[27-Jul-23] Received Order. AWS A/C already created.
TID : 103561</t>
    </r>
  </si>
  <si>
    <t xml:space="preserve"> sum.ys.chan@ricoh.com.hk</t>
  </si>
  <si>
    <t xml:space="preserve">
Root email address :biztalk_prod@hkt-cloud.com</t>
    <phoneticPr fontId="11" type="noConversion"/>
  </si>
  <si>
    <t>CL543013</t>
  </si>
  <si>
    <t>562983/3-4</t>
  </si>
  <si>
    <t>103560</t>
  </si>
  <si>
    <t>AWS Cloud
[27-Jul-23] Received Order. AWS A/C already created.
TID : 103560</t>
  </si>
  <si>
    <t>Queenie LAM, KWCIT SM</t>
  </si>
  <si>
    <t xml:space="preserve">kwcitcloudadmin@ha.org.hk </t>
  </si>
  <si>
    <t>KWCIT-ODC-DEV</t>
  </si>
  <si>
    <t xml:space="preserve">Email : kwcitcloudadmin@ha.org.hk </t>
    <phoneticPr fontId="11" type="noConversion"/>
  </si>
  <si>
    <t>CL545069</t>
    <phoneticPr fontId="11" type="noConversion"/>
  </si>
  <si>
    <t>RN 138146/3-4</t>
    <phoneticPr fontId="11" type="noConversion"/>
  </si>
  <si>
    <t>103634</t>
    <phoneticPr fontId="11" type="noConversion"/>
  </si>
  <si>
    <t>SD11599007</t>
    <phoneticPr fontId="11" type="noConversion"/>
  </si>
  <si>
    <r>
      <rPr>
        <b/>
        <sz val="11"/>
        <color theme="1"/>
        <rFont val="Aptos Narrow"/>
        <family val="2"/>
        <scheme val="minor"/>
      </rPr>
      <t>Huawei Cloud</t>
    </r>
    <r>
      <rPr>
        <sz val="11"/>
        <color theme="1"/>
        <rFont val="Aptos Narrow"/>
        <family val="1"/>
        <charset val="136"/>
        <scheme val="minor"/>
      </rPr>
      <t xml:space="preserve">
</t>
    </r>
    <r>
      <rPr>
        <b/>
        <sz val="11"/>
        <color theme="1"/>
        <rFont val="Aptos Narrow"/>
        <family val="2"/>
        <scheme val="minor"/>
      </rPr>
      <t>&lt;&lt;SD11599007&gt;&gt;</t>
    </r>
    <r>
      <rPr>
        <sz val="11"/>
        <color theme="1"/>
        <rFont val="Aptos Narrow"/>
        <family val="1"/>
        <charset val="136"/>
        <scheme val="minor"/>
      </rPr>
      <t xml:space="preserve">
[11-Sep-23] Created Huawei A/C
[19-Oct-23] Received Order. A/C created on 11-Sep-23 / CxS SRD on 01-Sep-23. Completed in CxS (Completion Date : 01-Sep-23). </t>
    </r>
    <r>
      <rPr>
        <sz val="11"/>
        <color theme="1"/>
        <rFont val="Aptos Narrow"/>
        <family val="2"/>
        <scheme val="minor"/>
      </rPr>
      <t xml:space="preserve">
</t>
    </r>
  </si>
  <si>
    <t>Dicky Wong</t>
  </si>
  <si>
    <t>dickywong@nwcs.com.hk/ 25231056</t>
    <phoneticPr fontId="11" type="noConversion"/>
  </si>
  <si>
    <t>Huawei Cloud</t>
    <phoneticPr fontId="11" type="noConversion"/>
  </si>
  <si>
    <t>[20-Dec-2023] All charge by ERII</t>
  </si>
  <si>
    <t xml:space="preserve">
Email : techrisk@nwcs.com.hk</t>
    <phoneticPr fontId="11" type="noConversion"/>
  </si>
  <si>
    <t>Address : 30/F, New World Tower, 18 Queen's Road, Central, Hong Kong</t>
    <phoneticPr fontId="11" type="noConversion"/>
  </si>
  <si>
    <t>CL543494</t>
    <phoneticPr fontId="11" type="noConversion"/>
  </si>
  <si>
    <t>RN600939/1-2</t>
    <phoneticPr fontId="11" type="noConversion"/>
  </si>
  <si>
    <r>
      <rPr>
        <b/>
        <sz val="11"/>
        <color theme="1"/>
        <rFont val="Aptos Narrow"/>
        <family val="1"/>
        <charset val="136"/>
        <scheme val="minor"/>
      </rPr>
      <t>Huawei Cloud</t>
    </r>
    <r>
      <rPr>
        <sz val="11"/>
        <color theme="1"/>
        <rFont val="Aptos Narrow"/>
        <family val="2"/>
        <scheme val="minor"/>
      </rPr>
      <t xml:space="preserve">
</t>
    </r>
    <r>
      <rPr>
        <b/>
        <sz val="11"/>
        <color theme="1"/>
        <rFont val="Aptos Narrow"/>
        <family val="1"/>
        <charset val="136"/>
        <scheme val="minor"/>
      </rPr>
      <t xml:space="preserve">&lt;&lt;SD11603768&gt;&gt;
</t>
    </r>
    <r>
      <rPr>
        <b/>
        <sz val="11"/>
        <color rgb="FFFF0000"/>
        <rFont val="Aptos Narrow"/>
        <family val="1"/>
        <charset val="136"/>
        <scheme val="minor"/>
      </rPr>
      <t>Pre-provisioning order, sales will place order afterward.</t>
    </r>
    <r>
      <rPr>
        <b/>
        <sz val="11"/>
        <color theme="1"/>
        <rFont val="Aptos Narrow"/>
        <family val="1"/>
        <charset val="136"/>
        <scheme val="minor"/>
      </rPr>
      <t xml:space="preserve">
</t>
    </r>
    <r>
      <rPr>
        <sz val="11"/>
        <color theme="1"/>
        <rFont val="Aptos Narrow"/>
        <family val="2"/>
        <scheme val="minor"/>
      </rPr>
      <t xml:space="preserve">[11-Sep-23] Sent invitation link to customer, waiting for reply
</t>
    </r>
    <r>
      <rPr>
        <b/>
        <sz val="11"/>
        <color rgb="FFFF0000"/>
        <rFont val="Aptos Narrow"/>
        <family val="1"/>
        <charset val="136"/>
        <scheme val="minor"/>
      </rPr>
      <t xml:space="preserve">**Require send welcome letter after collect the order NO, pending order team.
</t>
    </r>
    <r>
      <rPr>
        <sz val="11"/>
        <color theme="1"/>
        <rFont val="Aptos Narrow"/>
        <family val="2"/>
        <scheme val="minor"/>
      </rPr>
      <t>[04-Oct-23] Pending issue order 
[06-Oct-23] Received Order. A/C created on 12-Sep-23 ,CXS completed at 06-Oct-23</t>
    </r>
  </si>
  <si>
    <t>Simon IP, SM(HA)2</t>
    <phoneticPr fontId="11" type="noConversion"/>
  </si>
  <si>
    <t>ha2odcdev@ha.org.hk</t>
    <phoneticPr fontId="11" type="noConversion"/>
  </si>
  <si>
    <t>HA2-ODC-DEV</t>
    <phoneticPr fontId="11" type="noConversion"/>
  </si>
  <si>
    <t>Email : ha2odcdev@ha.org.hk</t>
    <phoneticPr fontId="11" type="noConversion"/>
  </si>
  <si>
    <t>CL545774</t>
    <phoneticPr fontId="11" type="noConversion"/>
  </si>
  <si>
    <t>RN 138146/5-6</t>
    <phoneticPr fontId="11" type="noConversion"/>
  </si>
  <si>
    <t>103633</t>
    <phoneticPr fontId="11" type="noConversion"/>
  </si>
  <si>
    <t>SD11601018</t>
    <phoneticPr fontId="11" type="noConversion"/>
  </si>
  <si>
    <t>Hin</t>
    <phoneticPr fontId="11" type="noConversion"/>
  </si>
  <si>
    <t>Ken Kwok</t>
    <phoneticPr fontId="11" type="noConversion"/>
  </si>
  <si>
    <t>ken.cf.kwok@pccw.com / 28885404</t>
    <phoneticPr fontId="11" type="noConversion"/>
  </si>
  <si>
    <t>CL550673</t>
  </si>
  <si>
    <t>CL541305</t>
    <phoneticPr fontId="11" type="noConversion"/>
  </si>
  <si>
    <t>RN080697/1-2</t>
    <phoneticPr fontId="11" type="noConversion"/>
  </si>
  <si>
    <t>103568</t>
    <phoneticPr fontId="11" type="noConversion"/>
  </si>
  <si>
    <t>SD11604508</t>
    <phoneticPr fontId="11" type="noConversion"/>
  </si>
  <si>
    <r>
      <rPr>
        <b/>
        <sz val="11"/>
        <color rgb="FF000000"/>
        <rFont val="Aptos Narrow"/>
        <family val="2"/>
        <scheme val="minor"/>
      </rPr>
      <t xml:space="preserve">AWS Cloud
&lt;&lt;SD11604508&gt;&gt;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Pending add account in cloudCheckr
[13-Dec-2023] Completed order in CxS.</t>
    </r>
  </si>
  <si>
    <t>CL541386</t>
    <phoneticPr fontId="11" type="noConversion"/>
  </si>
  <si>
    <t>RN080697/3-4</t>
    <phoneticPr fontId="11" type="noConversion"/>
  </si>
  <si>
    <t>103567</t>
    <phoneticPr fontId="11" type="noConversion"/>
  </si>
  <si>
    <t>SD11604509</t>
    <phoneticPr fontId="11" type="noConversion"/>
  </si>
  <si>
    <r>
      <rPr>
        <b/>
        <sz val="11"/>
        <color rgb="FF000000"/>
        <rFont val="Aptos Narrow"/>
        <family val="2"/>
        <scheme val="minor"/>
      </rPr>
      <t xml:space="preserve">AWS Cloud
&lt;&lt;SD11604509&gt;&gt;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Pending add account in cloudCheckr
[11-Dec-2023] Completed order in CxS.</t>
    </r>
  </si>
  <si>
    <t>tomho@hkex.com.hk</t>
  </si>
  <si>
    <t>CL541399</t>
    <phoneticPr fontId="11" type="noConversion"/>
  </si>
  <si>
    <t>RN080697/5-6</t>
    <phoneticPr fontId="11" type="noConversion"/>
  </si>
  <si>
    <t>103566</t>
    <phoneticPr fontId="11" type="noConversion"/>
  </si>
  <si>
    <t>SD11604511</t>
  </si>
  <si>
    <r>
      <rPr>
        <sz val="11"/>
        <color rgb="FF000000"/>
        <rFont val="Aptos Narrow"/>
        <family val="2"/>
        <scheme val="minor"/>
      </rPr>
      <t xml:space="preserve">
</t>
    </r>
    <r>
      <rPr>
        <b/>
        <sz val="11"/>
        <color rgb="FF000000"/>
        <rFont val="Aptos Narrow"/>
        <family val="2"/>
        <scheme val="minor"/>
      </rPr>
      <t xml:space="preserve">AWS Cloud
</t>
    </r>
    <r>
      <rPr>
        <sz val="11"/>
        <color rgb="FF000000"/>
        <rFont val="Aptos Narrow"/>
        <family val="2"/>
        <scheme val="minor"/>
      </rPr>
      <t>[6-Oct-23] Received Order and request to send inviation.
[11-Oct-23] Sent inviation and Send email to request customer for acceptance in AWS portal within 3 days.
[13-Oct-23] Customer accepted inviation
[18-Oct-23] Added account in CloudCheckr
[11-Dec-2023] Completed order in CxS.</t>
    </r>
  </si>
  <si>
    <t>Tony CHAN, SM(T)1</t>
  </si>
  <si>
    <t xml:space="preserve">tchanwt@ha.org.hk; </t>
  </si>
  <si>
    <t>T1-ODC-DEV</t>
    <phoneticPr fontId="11" type="noConversion"/>
  </si>
  <si>
    <t>One charge of $1,495,860.98 of Azure consumption
Will issue RII by product team</t>
  </si>
  <si>
    <t xml:space="preserve">Email : rpiuser@ha.org.hk; leekkj@ha.org.hk; tchanwt@ha.org.hk; </t>
    <phoneticPr fontId="11" type="noConversion"/>
  </si>
  <si>
    <t>Address :Unit 601, 6/F.,
KITEC,
1 Trademart Drive, Kowloon Bay, Kowloon</t>
    <phoneticPr fontId="11" type="noConversion"/>
  </si>
  <si>
    <t>CL550141</t>
  </si>
  <si>
    <t>RN553490/3-4</t>
  </si>
  <si>
    <t>103647</t>
  </si>
  <si>
    <t>SD11605268</t>
    <phoneticPr fontId="11" type="noConversion"/>
  </si>
  <si>
    <r>
      <t xml:space="preserve">Huawei Cloud
</t>
    </r>
    <r>
      <rPr>
        <sz val="11"/>
        <color theme="1"/>
        <rFont val="新細明體"/>
        <family val="1"/>
        <charset val="136"/>
      </rPr>
      <t xml:space="preserve">&lt;&lt;SD11605268&gt;&gt;
[11-Oct-23] Created Huawei A/C, forwarded to MultiCloudMS to countine followup 
[14-Nov-23] Received Order. A/C created on 11-Oct-23 / CxS SRD on 01-Oct-23. Completed in CxS (Completion Date : 01-Oct-23). </t>
    </r>
  </si>
  <si>
    <t>**606734490851</t>
  </si>
  <si>
    <t>CL541269</t>
    <phoneticPr fontId="11" type="noConversion"/>
  </si>
  <si>
    <t>RN042217/1-2</t>
  </si>
  <si>
    <t>Contract Renewal
&lt;&lt;PSEF : 34JU&gt;&gt; Azure Usage Average Charge for Past 12 Months (One Times Charge) = HK$133254.15
[17-Oct-23] Received Order
CxS was complete by someone</t>
  </si>
  <si>
    <t>Dicky Wong</t>
    <phoneticPr fontId="11" type="noConversion"/>
  </si>
  <si>
    <t>25231056 / dickywong@nwcs.com.hk</t>
    <phoneticPr fontId="11" type="noConversion"/>
  </si>
  <si>
    <t>New World Corporate Services Limited</t>
    <phoneticPr fontId="11" type="noConversion"/>
  </si>
  <si>
    <t>CL549435</t>
  </si>
  <si>
    <t>RN 049240/1-2</t>
  </si>
  <si>
    <r>
      <rPr>
        <b/>
        <sz val="11"/>
        <color theme="1"/>
        <rFont val="Aptos Narrow"/>
        <family val="1"/>
        <charset val="136"/>
        <scheme val="minor"/>
      </rPr>
      <t>Huawei Cloud</t>
    </r>
    <r>
      <rPr>
        <sz val="11"/>
        <color theme="1"/>
        <rFont val="Aptos Narrow"/>
        <family val="1"/>
        <charset val="136"/>
        <scheme val="minor"/>
      </rPr>
      <t xml:space="preserve">
PS Job
[17-Oct-23] Received Order, Sent email to Lok
[18-Oct-23] Lok confirmed that the professional service will handled by vendor directly
*Professional service (Configuration Charge): HKD787,000
PS Job fulfil by vendor directly
[08-Dec-2023] Confirm by Grace from sale team. Completed order in CxS.</t>
    </r>
  </si>
  <si>
    <t>682800290496</t>
  </si>
  <si>
    <t>aws_aet_prod</t>
  </si>
  <si>
    <t>aws.aet.prod@hkairport.com</t>
  </si>
  <si>
    <r>
      <rPr>
        <b/>
        <strike/>
        <sz val="11"/>
        <color rgb="FF000000"/>
        <rFont val="Aptos Narrow"/>
        <family val="2"/>
        <scheme val="minor"/>
      </rPr>
      <t xml:space="preserve">AWS Cloud
</t>
    </r>
    <r>
      <rPr>
        <b/>
        <strike/>
        <sz val="11"/>
        <color rgb="FFFF0000"/>
        <rFont val="Aptos Narrow"/>
        <family val="2"/>
        <scheme val="minor"/>
      </rPr>
      <t xml:space="preserve">Pre-provisioning order, sales will place order afterward.
</t>
    </r>
    <r>
      <rPr>
        <strike/>
        <sz val="11"/>
        <color rgb="FF000000"/>
        <rFont val="Aptos Narrow"/>
        <family val="2"/>
        <scheme val="minor"/>
      </rPr>
      <t>[18-Oct-23] MultiCloudMS Created AWS A/C</t>
    </r>
  </si>
  <si>
    <t>634732609678</t>
  </si>
  <si>
    <t xml:space="preserve"> aws.aet.sqcc@hkairport.com</t>
  </si>
  <si>
    <t>Under CTF Master Payer Account ( 726125834629)
AWS A/C Name : clientelingapp_prd
010163112240
Root email address : aws_clientelingapp_prd@chowtaifook.com</t>
  </si>
  <si>
    <r>
      <t xml:space="preserve">AWS Cloud
</t>
    </r>
    <r>
      <rPr>
        <b/>
        <sz val="11"/>
        <color rgb="FFFF0000"/>
        <rFont val="Aptos Narrow"/>
        <family val="1"/>
        <charset val="136"/>
        <scheme val="minor"/>
      </rPr>
      <t>Pre-provisioning order, sales will place order afterward.</t>
    </r>
    <r>
      <rPr>
        <b/>
        <sz val="11"/>
        <rFont val="Aptos Narrow"/>
        <family val="1"/>
        <charset val="136"/>
        <scheme val="minor"/>
      </rPr>
      <t xml:space="preserve">
</t>
    </r>
    <r>
      <rPr>
        <sz val="11"/>
        <rFont val="Aptos Narrow"/>
        <family val="1"/>
        <charset val="136"/>
        <scheme val="minor"/>
      </rPr>
      <t>[18-Oct-23] MultiCloudMS Created AWS A/C</t>
    </r>
  </si>
  <si>
    <t>Under CTF Master Payer Account ( 726125834629)
AWS A/C Name : clientelingapp_uat
373293599429
Root email address :  aws_clientelingapp_uat@chowtaifook.com</t>
  </si>
  <si>
    <t>Under CTF Master Payer Account ( 726125834629)
AWS A/C Name : consumerfaceapp_prd
537986259583
Root email address : aws_consumerfaceapp_prd@chowtaifook.com</t>
  </si>
  <si>
    <t>Under CTF Master Payer Account ( 726125834629)
AWS A/C Name : consumerfaceapp_uat
858033979949
Root email address : aws_consumerfaceapp_uat@chowtaifook.com</t>
  </si>
  <si>
    <t>kerri.wong@hkairport.com</t>
  </si>
  <si>
    <t>CL556175</t>
    <phoneticPr fontId="11" type="noConversion"/>
  </si>
  <si>
    <t>RN 780264/1</t>
    <phoneticPr fontId="11" type="noConversion"/>
  </si>
  <si>
    <t>AWS Cloud
Add on PS Job : CTF D-One Project(AWS A/C Name : CTF-D-one-Prod
15472860501 &amp; AWS A/C Name : CTF-D-one-UAT
53142296329) = HKD $94,640  &lt;PSEF : 34J8 &amp; 34JS&gt;  VO_20230512a
[18-Oct-23] Mark down record. Received Order. CxS completed  (Completion Date : 16-Oct-23)</t>
  </si>
  <si>
    <t>T7 Team (Public Cloud)</t>
    <phoneticPr fontId="11" type="noConversion"/>
  </si>
  <si>
    <t>kin.luk@ha.org.hk</t>
  </si>
  <si>
    <t>EHP7-ECMC-SIT</t>
  </si>
  <si>
    <t xml:space="preserve">
Email : ecmccssit@ha.org.hk</t>
    <phoneticPr fontId="11" type="noConversion"/>
  </si>
  <si>
    <t>Address : 7/F, Kowloon bay International Trade &amp; Exhibition Centre, 1 Trademart Drive, Kowloon Bay, Kowloon</t>
    <phoneticPr fontId="11" type="noConversion"/>
  </si>
  <si>
    <t>CL557952</t>
    <phoneticPr fontId="11" type="noConversion"/>
  </si>
  <si>
    <t>RN 795905/5-6</t>
    <phoneticPr fontId="11" type="noConversion"/>
  </si>
  <si>
    <t>103630</t>
    <phoneticPr fontId="11" type="noConversion"/>
  </si>
  <si>
    <r>
      <rPr>
        <b/>
        <sz val="11"/>
        <color theme="1"/>
        <rFont val="Aptos Narrow"/>
        <family val="1"/>
        <charset val="136"/>
        <scheme val="minor"/>
      </rPr>
      <t>AWS Cloud</t>
    </r>
    <r>
      <rPr>
        <sz val="11"/>
        <color theme="1"/>
        <rFont val="Aptos Narrow"/>
        <family val="1"/>
        <charset val="136"/>
        <scheme val="minor"/>
      </rPr>
      <t xml:space="preserve">
[19-Oct-23] Received Order. A/C created on 14-Aug-23 / CxS SRD on 01-Sep-23. Completed in CxS (Completion Date : 01-Sep-23). </t>
    </r>
  </si>
  <si>
    <t>982763935155</t>
    <phoneticPr fontId="11" type="noConversion"/>
  </si>
  <si>
    <t>EHP7-ECMC-UAT</t>
  </si>
  <si>
    <t xml:space="preserve">
Email :  ecmccsuat@ha.org.hk</t>
    <phoneticPr fontId="11" type="noConversion"/>
  </si>
  <si>
    <t>CL557961</t>
    <phoneticPr fontId="11" type="noConversion"/>
  </si>
  <si>
    <t>RN 795905/7-8</t>
    <phoneticPr fontId="11" type="noConversion"/>
  </si>
  <si>
    <t>103629</t>
    <phoneticPr fontId="11" type="noConversion"/>
  </si>
  <si>
    <t>T7 Team (Public Cloud)</t>
  </si>
  <si>
    <t>AIS1-AILAB-PRD</t>
  </si>
  <si>
    <t xml:space="preserve">
Email :  ais1ailabawsprdsupp@ha.org.hk </t>
    <phoneticPr fontId="11" type="noConversion"/>
  </si>
  <si>
    <t>CL557975</t>
    <phoneticPr fontId="11" type="noConversion"/>
  </si>
  <si>
    <t>RN 795905/9-10</t>
    <phoneticPr fontId="11" type="noConversion"/>
  </si>
  <si>
    <t>103628</t>
    <phoneticPr fontId="11" type="noConversion"/>
  </si>
  <si>
    <r>
      <rPr>
        <b/>
        <sz val="11"/>
        <color theme="1"/>
        <rFont val="Aptos Narrow"/>
        <family val="1"/>
        <charset val="136"/>
        <scheme val="minor"/>
      </rPr>
      <t>AWS Cloud</t>
    </r>
    <r>
      <rPr>
        <sz val="11"/>
        <color theme="1"/>
        <rFont val="Aptos Narrow"/>
        <family val="1"/>
        <charset val="136"/>
        <scheme val="minor"/>
      </rPr>
      <t xml:space="preserve">
[19-Oct-23] Received Order. A/C created on 12-Sep-23 / CxS SRD on 01-Sep-23. Completed in CxS (Completion Date : 01-Sep-23). </t>
    </r>
  </si>
  <si>
    <t>Pending</t>
  </si>
  <si>
    <t>CL545627</t>
    <phoneticPr fontId="11" type="noConversion"/>
  </si>
  <si>
    <t>RN 45108/1-2</t>
  </si>
  <si>
    <t xml:space="preserve">AWS Cloud Terminated
[20-Oct-23] Receive order.
</t>
  </si>
  <si>
    <t>317412804065</t>
  </si>
  <si>
    <t>RN 45108/3-4</t>
  </si>
  <si>
    <t>103138</t>
  </si>
  <si>
    <t>952464488813</t>
  </si>
  <si>
    <t>RN 45108/5-6</t>
  </si>
  <si>
    <t>103267</t>
  </si>
  <si>
    <t>675623608430</t>
  </si>
  <si>
    <t>RN 45108/7-8</t>
  </si>
  <si>
    <t>103266</t>
  </si>
  <si>
    <t>171778719522</t>
  </si>
  <si>
    <t>CL551277</t>
    <phoneticPr fontId="11" type="noConversion"/>
  </si>
  <si>
    <t>RN 45108/9-10</t>
  </si>
  <si>
    <t xml:space="preserve">AWS Cloud Terminated
[20-Oct-23] Receive order.
</t>
    <phoneticPr fontId="11" type="noConversion"/>
  </si>
  <si>
    <t>Derek Ho</t>
  </si>
  <si>
    <t>derek.ho@hkairport.com</t>
  </si>
  <si>
    <t>CL552691</t>
    <phoneticPr fontId="11" type="noConversion"/>
  </si>
  <si>
    <t>RN 670609/1-2</t>
    <phoneticPr fontId="11" type="noConversion"/>
  </si>
  <si>
    <r>
      <t xml:space="preserve">1. Prisma cloud included in both AWS and Azure cloud,
2. Its renewal only, no PS job. The total amount is both AWS + Azure( pls refer to attached quotation) 
owner
14 </t>
    </r>
    <r>
      <rPr>
        <b/>
        <sz val="11"/>
        <color theme="1"/>
        <rFont val="Aptos Narrow"/>
        <family val="2"/>
        <scheme val="minor"/>
      </rPr>
      <t xml:space="preserve">Azure prisma cloud </t>
    </r>
    <r>
      <rPr>
        <sz val="11"/>
        <color theme="1"/>
        <rFont val="Aptos Narrow"/>
        <family val="2"/>
        <scheme val="minor"/>
      </rPr>
      <t>and</t>
    </r>
    <r>
      <rPr>
        <b/>
        <sz val="11"/>
        <color theme="1"/>
        <rFont val="Aptos Narrow"/>
        <family val="2"/>
        <scheme val="minor"/>
      </rPr>
      <t xml:space="preserve"> AWS prisma cloud  </t>
    </r>
    <r>
      <rPr>
        <sz val="11"/>
        <color theme="1"/>
        <rFont val="Aptos Narrow"/>
        <family val="2"/>
        <scheme val="minor"/>
      </rPr>
      <t xml:space="preserve">on boarding prisma cloud PO1064458 12 15-Nov-22 14-Nov-23 
derek.ho@hkairport.com
</t>
    </r>
  </si>
  <si>
    <t>waichung@chowtaifook.com</t>
  </si>
  <si>
    <t xml:space="preserve">
AWS Root Login Email : waichung@chowtaifook.com</t>
    <phoneticPr fontId="11" type="noConversion"/>
  </si>
  <si>
    <t>RN 590263/1-2</t>
  </si>
  <si>
    <t>Smart portal infrastructure deployment:
PS job amount : HKD 32,000.00
726125834629
[06-Nov-2023] CxS complete by someone</t>
  </si>
  <si>
    <t xml:space="preserve"> CL546551</t>
  </si>
  <si>
    <t>RN 590263/3-4</t>
  </si>
  <si>
    <t>103024</t>
  </si>
  <si>
    <t>Tryon
PS job amount : HKD 24,000.00
726125834629
[06-Nov-2023] CxS complete by someone</t>
  </si>
  <si>
    <t>CF Shum</t>
    <phoneticPr fontId="11" type="noConversion"/>
  </si>
  <si>
    <t>9827 0457</t>
    <phoneticPr fontId="11" type="noConversion"/>
  </si>
  <si>
    <t>cf.shum@hkairport.com</t>
    <phoneticPr fontId="11" type="noConversion"/>
  </si>
  <si>
    <t>CL552959</t>
    <phoneticPr fontId="11" type="noConversion"/>
  </si>
  <si>
    <t>RN 29391/1-2</t>
    <phoneticPr fontId="11" type="noConversion"/>
  </si>
  <si>
    <t>103700</t>
    <phoneticPr fontId="11" type="noConversion"/>
  </si>
  <si>
    <t>GB23-00007715\1(OM)</t>
    <phoneticPr fontId="11" type="noConversion"/>
  </si>
  <si>
    <t>PS job amount: HKD 500,000 (refer to PO1068279)
[18-Mar-2024] Confirm by Sale team "Diva". CxS case can close</t>
    <phoneticPr fontId="11" type="noConversion"/>
  </si>
  <si>
    <t>http://10.10.10.209/OASIS_FILE_MANAGER/zip_files_download.php?qid=1150146&amp;serialno=GB23-00007715&amp;itemno=1&amp;token=130994d99428d806a08c466b41518bef</t>
    <phoneticPr fontId="11" type="noConversion"/>
  </si>
  <si>
    <t>327212654314</t>
    <phoneticPr fontId="11" type="noConversion"/>
  </si>
  <si>
    <t>AIS3-OCR-DEV</t>
    <phoneticPr fontId="11" type="noConversion"/>
  </si>
  <si>
    <t xml:space="preserve">
Email :   aiocradmin@ha.org.hk 
</t>
  </si>
  <si>
    <t>Address : 1/F, Block B, Hosptial Authority ITB, Kowloon Hospital, Kowloon</t>
  </si>
  <si>
    <t>17-Jan-24</t>
    <phoneticPr fontId="11" type="noConversion"/>
  </si>
  <si>
    <t>CL547113</t>
    <phoneticPr fontId="11" type="noConversion"/>
  </si>
  <si>
    <t xml:space="preserve"> RN779767/1-2</t>
  </si>
  <si>
    <t>TID103714</t>
  </si>
  <si>
    <t>GB24-00000443\1(OM)</t>
  </si>
  <si>
    <r>
      <rPr>
        <b/>
        <sz val="11"/>
        <color theme="1"/>
        <rFont val="Aptos Narrow"/>
        <family val="1"/>
        <charset val="136"/>
        <scheme val="minor"/>
      </rPr>
      <t>AWS Cloud</t>
    </r>
    <r>
      <rPr>
        <sz val="11"/>
        <color theme="1"/>
        <rFont val="Aptos Narrow"/>
        <family val="1"/>
        <charset val="136"/>
        <scheme val="minor"/>
      </rPr>
      <t xml:space="preserve">
</t>
    </r>
  </si>
  <si>
    <t xml:space="preserve">http://10.10.10.209/OASIS_FILE_MANAGER/zip_files_download.php?qid=1160519&amp;serialno=GB24-00000443&amp;itemno=1&amp;token=a964a32236e9d92cb29b0b25f27a5288 </t>
    <phoneticPr fontId="11" type="noConversion"/>
  </si>
  <si>
    <t>Luk Kin</t>
  </si>
  <si>
    <t>martin.kb.chan@hkt-cloud.com 
trance.tl.wong@hkt-cloud.com
martin.mk.wong@hkt-cloud.com</t>
  </si>
  <si>
    <t>Billing Address : 7/F, KITEC, Kowloon Bay</t>
    <phoneticPr fontId="11" type="noConversion"/>
  </si>
  <si>
    <r>
      <rPr>
        <b/>
        <sz val="11"/>
        <color rgb="FF000000"/>
        <rFont val="Aptos Narrow"/>
        <family val="2"/>
        <scheme val="minor"/>
      </rPr>
      <t xml:space="preserve">Google Cloud Root Account Creation
</t>
    </r>
    <r>
      <rPr>
        <sz val="11"/>
        <color rgb="FF000000"/>
        <rFont val="Aptos Narrow"/>
        <family val="2"/>
        <scheme val="minor"/>
      </rPr>
      <t>Project Name : AIS1-AILAB-DEV
Projetc number : 387956350064
Project ID : ais1-ailab-dev-403203
Billing account ID : 01024-F6EF8F-D2E923
Billing Account : PCCW_GCP_POC
Billing Email : ais1ailabgcpdevsupp@ha.org.hk; byron.so@ha.org.hk; joe.wan@ha.org.hk; 
Billing Address : 7/F, KITEC, Kowloon Bay</t>
    </r>
  </si>
  <si>
    <t>KK Chow</t>
  </si>
  <si>
    <t>kkchow@cr.gov.hk</t>
  </si>
  <si>
    <t>CL557214</t>
  </si>
  <si>
    <t>RN 741094/</t>
  </si>
  <si>
    <t>Desmond Leung, SA(HA1)7</t>
  </si>
  <si>
    <t>adscloudsupport@ha.org.hk</t>
  </si>
  <si>
    <t>78beaf0558574235a43ef54e92e5ed4f</t>
    <phoneticPr fontId="11" type="noConversion"/>
  </si>
  <si>
    <t>HA1-ODC-DEV</t>
  </si>
  <si>
    <t>Email : adscloudsupport@ha.org.hk</t>
    <phoneticPr fontId="11" type="noConversion"/>
  </si>
  <si>
    <t>Address : Room A3, 1/F, Hospital Authority Information Technology Block, 147A, Argyle street, Kowloon</t>
    <phoneticPr fontId="11" type="noConversion"/>
  </si>
  <si>
    <t>SD11611782</t>
  </si>
  <si>
    <t xml:space="preserve">Huawei Cloud
&lt;&lt;SD11611782&gt;&gt;
[08-Nov-23] Receive order. 
[10-Nov-23] Created Huawei A/C
[-Nov-23] Received Order. A/C created on 10-Nov-23 / CxS SRD on 01-Sep-23. Completed in CxS (Completion Date : 01-Jan-23). 
</t>
    <phoneticPr fontId="11" type="noConversion"/>
  </si>
  <si>
    <t>Kelvin</t>
  </si>
  <si>
    <t>AIS3-LOCATIONMAP-SIT</t>
  </si>
  <si>
    <t xml:space="preserve">
Email :  halocamapsyssuppsit@ha.org.hk 
</t>
  </si>
  <si>
    <t>CL547390</t>
  </si>
  <si>
    <t>RN 779767/3-4</t>
  </si>
  <si>
    <t xml:space="preserve">TID103713 </t>
  </si>
  <si>
    <t>GB24-00000443\1</t>
    <phoneticPr fontId="11" type="noConversion"/>
  </si>
  <si>
    <t>AWS Cloud</t>
    <phoneticPr fontId="11" type="noConversion"/>
  </si>
  <si>
    <t>Serene Chan</t>
  </si>
  <si>
    <t>serene.chan@ultron.com.sg
39077622</t>
  </si>
  <si>
    <t xml:space="preserve">CL544189
</t>
    <phoneticPr fontId="11" type="noConversion"/>
  </si>
  <si>
    <t>RN 110532/1-2</t>
  </si>
  <si>
    <t>Company Name Change</t>
  </si>
  <si>
    <t>ULTRON TECHNOLOGY SG PTE. LIMITED (Pervious Name : EASY GREAT TECHNOLOGY LIMITED)</t>
  </si>
  <si>
    <t>RN 110532/5-6</t>
  </si>
  <si>
    <t>CL542163</t>
    <phoneticPr fontId="11" type="noConversion"/>
  </si>
  <si>
    <t>RN 110532/7-8</t>
  </si>
  <si>
    <t>Glen Seto</t>
  </si>
  <si>
    <t>glen.seto@jardines.com</t>
  </si>
  <si>
    <t>GCP A/C ID : groupit@jardines.com</t>
    <phoneticPr fontId="11" type="noConversion"/>
  </si>
  <si>
    <t>RN 94374/1-2</t>
  </si>
  <si>
    <t>Hin</t>
  </si>
  <si>
    <t>5566189762258883</t>
  </si>
  <si>
    <t>CL544755</t>
  </si>
  <si>
    <t>RN 583856/1-2</t>
  </si>
  <si>
    <t>103492</t>
  </si>
  <si>
    <t>Alibaba Cloud Termination
Root email : alicloud_opensearchprpo@chowtaifook.com
Alibaba UID : 5566189762258883
[16-Nov-2023] Rec'd conformation from Melinda with cus email cofirmation that to terminate (shutdown) this acc. Account terminated on 16-Nov-2023 and pending for order issue for record. Order can be completed once issue
[27-Nov-2023] CxS Order completed</t>
  </si>
  <si>
    <t>Bonnie</t>
    <phoneticPr fontId="11" type="noConversion"/>
  </si>
  <si>
    <t>5168889761825370</t>
  </si>
  <si>
    <t>RN 583856/3-4</t>
  </si>
  <si>
    <t>Alibaba Cloud Termination
Root email : alicloud_opensearchuat@chowtaifook.com
Alibaba UID : 5168889761825370
[16-Nov-2023] Rec'd conformation from Melinda with cus email cofirmation that to terminate (shutdown) this acc. Account terminated on 16-Nov-2023 and pending for order issue for record. Order can be completed once issue
[27-Nov-2023] CxS Order completed</t>
  </si>
  <si>
    <t>aws_clientelingapp_prd@chowtaifook.com</t>
  </si>
  <si>
    <t>CL549650</t>
  </si>
  <si>
    <t>RN 458604/1-8</t>
  </si>
  <si>
    <t>103655</t>
  </si>
  <si>
    <t>373293599429</t>
  </si>
  <si>
    <t>aws_clientelingapp_uat@chowtaifook.com</t>
  </si>
  <si>
    <t>CL552812</t>
  </si>
  <si>
    <t>103654</t>
  </si>
  <si>
    <t>537986259583</t>
  </si>
  <si>
    <t>aws_consumerfaceapp_prd@chowtaifook.com</t>
  </si>
  <si>
    <t>CL556253</t>
  </si>
  <si>
    <t>103653</t>
  </si>
  <si>
    <t>858033979949</t>
  </si>
  <si>
    <t>aws_consumerfaceapp_uat@chowtaifook.com</t>
  </si>
  <si>
    <t>CL556307</t>
  </si>
  <si>
    <t>103652</t>
  </si>
  <si>
    <t>BIZTALK_PROD#316820202333								
BIZTALK_UAT#340776906925</t>
  </si>
  <si>
    <t>Ronald Tsang</t>
  </si>
  <si>
    <t>RN 878132/1</t>
  </si>
  <si>
    <t>CTF_PIM_PROD #409656275882;     
CTF_PIM_UAT#388563131237</t>
  </si>
  <si>
    <t>RN 046343/1</t>
  </si>
  <si>
    <t>CL556169</t>
    <phoneticPr fontId="11" type="noConversion"/>
  </si>
  <si>
    <t>RN 104615/5-6</t>
  </si>
  <si>
    <t>CB23-00007078\1(OM)</t>
    <phoneticPr fontId="11" type="noConversion"/>
  </si>
  <si>
    <t>http://10.10.10.209/OASIS_FILE_MANAGER/zip_files_download.php?qid=1134941&amp;serialno=CB23-00007078&amp;itemno=1&amp;token=d2fcc63539ab421111515b95e3d48e8c</t>
    <phoneticPr fontId="11" type="noConversion"/>
  </si>
  <si>
    <t>CL544749</t>
  </si>
  <si>
    <t>RN 494446/1</t>
  </si>
  <si>
    <t>Sum YS Chan.</t>
  </si>
  <si>
    <t>SD1162001</t>
  </si>
  <si>
    <t>[18-Dec-23] Received Order and created account in CloudHealth.
[18-Dec-23] Pending order issue.</t>
  </si>
  <si>
    <t>Contract Renewal</t>
  </si>
  <si>
    <t>Ivan Li</t>
  </si>
  <si>
    <t>ivan.li@jardines.com</t>
  </si>
  <si>
    <t>25799972 / 96200920</t>
  </si>
  <si>
    <t>RN 033936/1-2</t>
  </si>
  <si>
    <t>http://10.10.10.209/OASIS_FILE_MANAGER/zip_files_download.php?qid=1146772&amp;serialno=GA23-00007068&amp;itemno=1&amp;token=3a577825b6b079b72327513261726934</t>
  </si>
  <si>
    <t>Minnie Liu</t>
  </si>
  <si>
    <t>minnie.ty.liu@hkairport.com</t>
  </si>
  <si>
    <t>Complete by other</t>
  </si>
  <si>
    <t>RN 161860/1-2</t>
  </si>
  <si>
    <t>GB23-00007542\1(OM)</t>
  </si>
  <si>
    <t>For PO1070302 NAT gateway</t>
  </si>
  <si>
    <t>http://10.10.10.209/OASIS_FILE_MANAGER/zip_files_download.php?qid=1146879&amp;serialno=GB23-00007542&amp;itemno=1&amp;token=130994d99428d806a08c466b41518bef</t>
  </si>
  <si>
    <t>Vrigina Lau</t>
  </si>
  <si>
    <t>Vrigina_lau@hkairport.com</t>
  </si>
  <si>
    <t>RN 001225/1-2</t>
  </si>
  <si>
    <t>GB23-00007564\1(OM)</t>
    <phoneticPr fontId="11" type="noConversion"/>
  </si>
  <si>
    <t>Bonnie Confirming is that have PS Job
[4-Jun-2024] Lok confirms PS job is completed. Close CxS order on 4-Jun-2024</t>
    <phoneticPr fontId="11" type="noConversion"/>
  </si>
  <si>
    <t>http://10.10.10.209/OASIS_FILE_MANAGER/zip_files_download.php?qid=1147499&amp;serialno=GB23-00007564&amp;itemno=1&amp;token=130994d99428d806a08c466b41518bef</t>
  </si>
  <si>
    <t>Tom Ho</t>
  </si>
  <si>
    <t>CL540026</t>
    <phoneticPr fontId="11" type="noConversion"/>
  </si>
  <si>
    <t>RN 147636/1</t>
  </si>
  <si>
    <t>One charge of $1,495,860.98 of Azure consumption
Will issue RII by product team</t>
    <phoneticPr fontId="11" type="noConversion"/>
  </si>
  <si>
    <t>http://10.10.10.209/OASIS_FILE_MANAGER/zip_files_download.php?qid=1145157&amp;serialno=GB23-00007455&amp;itemno=1&amp;token=87276d7537153c071cf1e3757f9286fb</t>
  </si>
  <si>
    <t>KY Lau</t>
  </si>
  <si>
    <t>ky.lau@hkairport.com</t>
  </si>
  <si>
    <t>RN 145341/1</t>
  </si>
  <si>
    <t>For my Tag project cloud subscription renewal
Pls refer to quotation for details &amp; PO1073787
[21-Dec-2023] Confirm by Bonnie. Completed order in CxS with remark "(Renewal) close order without follow up action by SP team"</t>
  </si>
  <si>
    <t>http://10.10.10.209/OASIS_FILE_MANAGER/zip_files_download.php?qid=1147270&amp;serialno=GB23-00004009&amp;itemno=1&amp;token=130994d99428d806a08c466b41518bef</t>
  </si>
  <si>
    <t>Tony Lau</t>
  </si>
  <si>
    <t>CL540571 
(Ref To CL552691)</t>
  </si>
  <si>
    <t>RN 574456/3-4</t>
  </si>
  <si>
    <t>New Line for CL552691, due to RN574456 can't find the 34JS code
One is for AWS, One is for Azure</t>
  </si>
  <si>
    <t>http://10.10.10.209/OASIS_FILE_MANAGER/zip_files_download.php?qid=1100304&amp;serialno=GB23-00005234&amp;itemno=1&amp;token=130994d99428d806a08c466b41518bef</t>
  </si>
  <si>
    <t>Kerri Wong</t>
  </si>
  <si>
    <t>21833292 / 62855358</t>
  </si>
  <si>
    <t>aws_zacdpdg_prod (AWS ID: 918925439042)
aws_zacdpdg_sqcc (AWS ID: 575942681040)</t>
    <phoneticPr fontId="11" type="noConversion"/>
  </si>
  <si>
    <t>CL551947</t>
  </si>
  <si>
    <t>RN 580491/1-2</t>
    <phoneticPr fontId="11" type="noConversion"/>
  </si>
  <si>
    <t>GB23-00007563\1(OM)</t>
    <phoneticPr fontId="11" type="noConversion"/>
  </si>
  <si>
    <t>AWS Subscription for Production 
AWS Subscription for SQCC
For Cargo Dongguan
pls refer to quotation for details
PO1066092
[21-Dec-2023] Order Issued
[20-May-2024] Lok confirms the Cargo Dongguan project already finished. Close CxS order on 21-May-2024</t>
  </si>
  <si>
    <t>http://10.10.10.209/OASIS_FILE_MANAGER/zip_files_download.php?qid=1148248&amp;serialno=GB23-00007563&amp;itemno=1&amp;token=130994d99428d806a08c466b41518bef</t>
  </si>
  <si>
    <t>011835-7B0DD1-24189B</t>
  </si>
  <si>
    <t xml:space="preserve">martin.kb.chan@hkt-cloud.com
pcsgcp@ha.org.hk
uch.it@ha.org.hk </t>
  </si>
  <si>
    <t>9/F, ITD, United Christian Hospital, 130 Hip Wo Street, Kwun Tong, Kowloon, Hong Kong</t>
  </si>
  <si>
    <t xml:space="preserve">Billing Recipient Email Address: uch.it@ha.org.hk; joe.tsang@ha.org.hk; kelvin.kong@ha.org.hk; williamwong@ha.org.hk; yipcw@ha.org.hk; 
</t>
  </si>
  <si>
    <t>CL549529</t>
    <phoneticPr fontId="11" type="noConversion"/>
  </si>
  <si>
    <t>RN 600063/7-8</t>
  </si>
  <si>
    <t>103761</t>
  </si>
  <si>
    <r>
      <t xml:space="preserve">Google Cloud Platform(GCP)
</t>
    </r>
    <r>
      <rPr>
        <sz val="11"/>
        <color rgb="FF000000"/>
        <rFont val="Aptos Narrow"/>
        <family val="2"/>
        <scheme val="minor"/>
      </rPr>
      <t>Project Name : KEC-eTSS-PRD
Projetc number :
Project ID : 
Billing account ID : 011835-7B0DD1-24189B
Billing Account : HKT_GCP_HA
Billing Email : uch.it@ha.org.hk; joe.tsang@ha.org.hk; kelvin.kong@ha.org.hk; williamwong@ha.org.hk; yipcw@ha.org.hk;  
Billing Address : 9/F, ITD, United Christian Hospital, 130 Hip Wo Street, Kwun Tong, Kowloon, Hong Kong.</t>
    </r>
  </si>
  <si>
    <t>Yves Yuen</t>
  </si>
  <si>
    <t>yves.yueh@hkairport.com</t>
  </si>
  <si>
    <t>2188 7178 / 6049 3732</t>
  </si>
  <si>
    <t>CL548383</t>
  </si>
  <si>
    <t>RN649057/1-2</t>
  </si>
  <si>
    <t>[29-Dec-2023]Received Order.
For ChatGPT POC_DA_subscirption
*Professional service (Configuration Charge):39,234.34 + 72,000 = 111,234.34
[19-Jan-24] Confirm by Lok that projects consider complete as the POC is finished and pending resources termination.
[31-Jan-24] Close CxS order on 31-Jan-2024</t>
    <phoneticPr fontId="11" type="noConversion"/>
  </si>
  <si>
    <t xml:space="preserve">http://10.10.10.209/OASIS_FILE_MANAGER/zip_files_download.php?qid=1150802&amp;serialno=CA23-00009220&amp;itemno=1&amp;token=130994d99428d806a08c466b41518bef </t>
  </si>
  <si>
    <t>Ternece Lee</t>
  </si>
  <si>
    <t>terence.lee@hkairport.com</t>
  </si>
  <si>
    <t>CL548385</t>
  </si>
  <si>
    <t>RN649057</t>
  </si>
  <si>
    <t>[29-Dec-2023]Received Order.
For Open AI platform
*Professional service (Configuration Charge):231,707.85
[19-Jan-24] Confirm by Lok that projects consider complete as the POC is finished and pending resources termination.
[31-Jan-24] Close CxS order on 31-Jan-2024</t>
    <phoneticPr fontId="11" type="noConversion"/>
  </si>
  <si>
    <t>New Install</t>
    <phoneticPr fontId="11" type="noConversion"/>
  </si>
  <si>
    <t>CL548439</t>
  </si>
  <si>
    <t>RN649057/5-6</t>
  </si>
  <si>
    <t>[29-Dec-2023]Received Order.
For ChatGPT POC_KM_subscirption
*Professional service (Configuration Charge):54,000 + 48,131.59 =102131.59
[19-Jan-24] Confirm by Lok that projects consider complete as the POC is finished and pending resources termination.
[31-Jan-24] Close CxS order on 31-Jan-2024</t>
    <phoneticPr fontId="11" type="noConversion"/>
  </si>
  <si>
    <t>759168424209</t>
    <phoneticPr fontId="11" type="noConversion"/>
  </si>
  <si>
    <t>CL549486</t>
    <phoneticPr fontId="11" type="noConversion"/>
  </si>
  <si>
    <t>RN822908/1-2</t>
    <phoneticPr fontId="11" type="noConversion"/>
  </si>
  <si>
    <t>CB23-00007546\1</t>
    <phoneticPr fontId="11" type="noConversion"/>
  </si>
  <si>
    <t>[19-Dec-2023] Received Order.
[02-Feb-2024] Confirm by Grace (Sale Team) Close CxS order on 05-Feb-2024</t>
    <phoneticPr fontId="11" type="noConversion"/>
  </si>
  <si>
    <t xml:space="preserve">http://10.10.10.209/OASIS_FILE_MANAGER/zip_files_download.php?qid=1145425&amp;serialno=CB23-00007546&amp;itemno=1&amp;token=6846eac8eff0831566cf6e4382db1f12 </t>
    <phoneticPr fontId="11" type="noConversion"/>
  </si>
  <si>
    <t>CL549761</t>
    <phoneticPr fontId="11" type="noConversion"/>
  </si>
  <si>
    <t>RN822908/3-4</t>
    <phoneticPr fontId="11" type="noConversion"/>
  </si>
  <si>
    <t>Don Ng</t>
  </si>
  <si>
    <t>CL545725</t>
  </si>
  <si>
    <t>CL550210</t>
    <phoneticPr fontId="11" type="noConversion"/>
  </si>
  <si>
    <t>RN 843137/1-2</t>
    <phoneticPr fontId="11" type="noConversion"/>
  </si>
  <si>
    <t>CB23-00007763\1(OM)</t>
    <phoneticPr fontId="11" type="noConversion"/>
  </si>
  <si>
    <t>[29-Dec-2023]Received Order.
[18-Jan-2024]CxS close on 18-Jan-2024</t>
    <phoneticPr fontId="11" type="noConversion"/>
  </si>
  <si>
    <t>http://10.10.10.209/OASIS_FILE_MANAGER/zip_files_download.php?qid=1150599&amp;serialno=CB23-00007763&amp;itemno=1&amp;token=6846eac8eff0831566cf6e4382db1f12</t>
  </si>
  <si>
    <t>Alan Cheung</t>
  </si>
  <si>
    <t>CL551124</t>
    <phoneticPr fontId="11" type="noConversion"/>
  </si>
  <si>
    <t>RN 843137/3-4</t>
    <phoneticPr fontId="11" type="noConversion"/>
  </si>
  <si>
    <t>admin@hkszitp.onmicrosoft.com</t>
  </si>
  <si>
    <t>CL551736</t>
  </si>
  <si>
    <t>RN 843137/5-6</t>
    <phoneticPr fontId="11" type="noConversion"/>
  </si>
  <si>
    <t>[29-Dec-2023]Received Order.
[18-Jan-2024]CxS close on 18-Jan-2024</t>
  </si>
  <si>
    <t>CL547786</t>
  </si>
  <si>
    <t>CL551830</t>
  </si>
  <si>
    <t>RN 843137/7-8</t>
    <phoneticPr fontId="11" type="noConversion"/>
  </si>
  <si>
    <t>SD11631046</t>
  </si>
  <si>
    <t>CL551890</t>
  </si>
  <si>
    <t>RN 843137/9-10</t>
    <phoneticPr fontId="11" type="noConversion"/>
  </si>
  <si>
    <t>Account Created</t>
    <phoneticPr fontId="11" type="noConversion"/>
  </si>
  <si>
    <t>CL552112</t>
  </si>
  <si>
    <t>RN 843137/11-12</t>
    <phoneticPr fontId="11" type="noConversion"/>
  </si>
  <si>
    <t>Yuen Heung Lung</t>
  </si>
  <si>
    <t>36083307 / 94258265</t>
  </si>
  <si>
    <t>yuenhl2@hkbea.com</t>
  </si>
  <si>
    <t>CL545713</t>
    <phoneticPr fontId="11" type="noConversion"/>
  </si>
  <si>
    <t>RN 100708/9-10</t>
    <phoneticPr fontId="11" type="noConversion"/>
  </si>
  <si>
    <t>GB23-00007764\1(OM)</t>
    <phoneticPr fontId="11" type="noConversion"/>
  </si>
  <si>
    <t>SD11652876</t>
    <phoneticPr fontId="11" type="noConversion"/>
  </si>
  <si>
    <t>[08-Jan-2024]Received Order.
[25-Apr-2024] Bonnie asking Kaite about this case information
[24-May-2024] Receive order. Since CL545713 cannot matach with BEA AWS ID list. Inform Sale/ASM to arrange cancel order
[17-Jun-2024] CxS order has cancelled</t>
  </si>
  <si>
    <t>Helen</t>
    <phoneticPr fontId="11" type="noConversion"/>
  </si>
  <si>
    <t>http://10.10.10.209/OASIS_FILE_MANAGER/zip_files_download.php?qid=1151216&amp;serialno=GB23-00007765&amp;itemno=1&amp;token=87276d7537153c071cf1e3757f9286fb</t>
  </si>
  <si>
    <t>410429265162</t>
  </si>
  <si>
    <t>BEA-MASTER</t>
    <phoneticPr fontId="11" type="noConversion"/>
  </si>
  <si>
    <t>41/F, BEA Tower, Millennium City 5, No. 418 Kwun Tong Road, Kwun Tong, KLN</t>
    <phoneticPr fontId="11" type="noConversion"/>
  </si>
  <si>
    <t>CL542200</t>
  </si>
  <si>
    <t>RN 100708/1-2</t>
    <phoneticPr fontId="11" type="noConversion"/>
  </si>
  <si>
    <t>GB23-00007764\1(OM)</t>
  </si>
  <si>
    <t>[08-Jan-2024]Received Order.
[25-Apr-2024] Bonnie asking Kaite about this case information
[24-May-2024] Receive order. Close CxS on 24-May-2024</t>
    <phoneticPr fontId="11" type="noConversion"/>
  </si>
  <si>
    <t>http://10.10.10.209/OASIS_FILE_MANAGER/zip_files_download.php?qid=1154553&amp;serialno=GB23-00007764&amp;itemno=1&amp;token=87276d7537153c071cf1e3757f9286fb</t>
  </si>
  <si>
    <t>671675473339</t>
  </si>
  <si>
    <t>BEA-ICC-MBK-UAT</t>
    <phoneticPr fontId="11" type="noConversion"/>
  </si>
  <si>
    <t>CL544004</t>
  </si>
  <si>
    <t>RN 100708/3-4</t>
    <phoneticPr fontId="11" type="noConversion"/>
  </si>
  <si>
    <t>851239346925</t>
  </si>
  <si>
    <t>BEA-ICC-MBK-PRD</t>
    <phoneticPr fontId="11" type="noConversion"/>
  </si>
  <si>
    <t>CL545266</t>
  </si>
  <si>
    <t>RN 100708/5-6</t>
    <phoneticPr fontId="11" type="noConversion"/>
  </si>
  <si>
    <t>THE BANK OF EAST ASIA, LIMITED</t>
    <phoneticPr fontId="11" type="noConversion"/>
  </si>
  <si>
    <t>469238638779</t>
  </si>
  <si>
    <t>BEA-SYS-NET-PRD</t>
    <phoneticPr fontId="11" type="noConversion"/>
  </si>
  <si>
    <t>CL545496</t>
  </si>
  <si>
    <t>RN 100708/7-8</t>
    <phoneticPr fontId="11" type="noConversion"/>
  </si>
  <si>
    <t>ronald.tsang@hk.daiwacm.com</t>
  </si>
  <si>
    <t>CL543425</t>
    <phoneticPr fontId="11" type="noConversion"/>
  </si>
  <si>
    <t>RN 488724/1-2</t>
  </si>
  <si>
    <t>GA24-00000064\1(OM)</t>
  </si>
  <si>
    <t>Professional charge $606,900
[04-Jun-2025] Close CxS order on SRD date: 11-Jan-2024</t>
    <phoneticPr fontId="11" type="noConversion"/>
  </si>
  <si>
    <t>http://10.10.10.209/OASIS_FILE_MANAGER/zip_files_download.php?qid=1153963&amp;serialno=GA24-00000064&amp;itemno=1&amp;token=237b31a7d1fa1e345e3690308e4b677c</t>
  </si>
  <si>
    <t>William LO, SM(EHP)11</t>
  </si>
  <si>
    <t xml:space="preserve">ehrdvpportaldev@ha.org.hk </t>
  </si>
  <si>
    <t>49a18d6cf118448a8659ea782b27f798</t>
    <phoneticPr fontId="11" type="noConversion"/>
  </si>
  <si>
    <t>EHP11-ODC-DEV</t>
    <phoneticPr fontId="11" type="noConversion"/>
  </si>
  <si>
    <t xml:space="preserve">
ehrdvpportaldev@ha.org.hk </t>
  </si>
  <si>
    <t>Room 701, 7/F., KITEC, 1 Trademart Drive, Kowloon Bay, Kowloon</t>
  </si>
  <si>
    <t xml:space="preserve">Billing Recipient Email Address: ehrdvpportaldev@ha.org.hk; CCT594@ha.org.hk; lowlw@ha.org.hk; </t>
  </si>
  <si>
    <t>CL548927</t>
    <phoneticPr fontId="11" type="noConversion"/>
  </si>
  <si>
    <t>RN 760762/1-2</t>
  </si>
  <si>
    <t>GB24-00000901\1(OM)</t>
  </si>
  <si>
    <t>SD11625072</t>
    <phoneticPr fontId="11" type="noConversion"/>
  </si>
  <si>
    <t>[12-Jan-24] Receive order. 
[15-Jan-24] Created Huawer A/C</t>
    <phoneticPr fontId="11" type="noConversion"/>
  </si>
  <si>
    <t>http://10.10.10.209/OASIS_FILE_MANAGER/zip_files_download.php?qid=1170097&amp;serialno=GB24-00000901&amp;itemno=1&amp;token=a964a32236e9d92cb29b0b25f27a5288</t>
  </si>
  <si>
    <t>Offset Amount</t>
  </si>
  <si>
    <t>5333230838981770</t>
  </si>
  <si>
    <t>hk.infra.support@win-hanverky.com.hk</t>
  </si>
  <si>
    <t>SD11625765</t>
  </si>
  <si>
    <t>Lamort Ng</t>
  </si>
  <si>
    <t>26603736 (Ext.1736)</t>
  </si>
  <si>
    <t>lamort.ng@lkk.com</t>
  </si>
  <si>
    <t>CL542512</t>
    <phoneticPr fontId="11" type="noConversion"/>
  </si>
  <si>
    <t>RN205887</t>
  </si>
  <si>
    <t xml:space="preserve">CA23-00011909 / 1 </t>
  </si>
  <si>
    <t>PS Job only (Setup Multi-Cloud HKD28,000) , without existing Alilbaba Cloud Account
[01-Feb-2024] Completed CxS order on 01-Feb-2024</t>
    <phoneticPr fontId="11" type="noConversion"/>
  </si>
  <si>
    <t>http://10.10.10.209/OASIS_FILE_MANAGER/zip_files_download.php?qid=1160778&amp;serialno=CA23-00011909&amp;itemno=1&amp;token=3c7bd89e447a74f822154e4023a9e10e</t>
  </si>
  <si>
    <t>Tony Kwok</t>
  </si>
  <si>
    <t>bis4cloudadmin@ha.org.hk</t>
    <phoneticPr fontId="11" type="noConversion"/>
  </si>
  <si>
    <t>1d524472a1e6434ab83b20e73f64a861</t>
    <phoneticPr fontId="11" type="noConversion"/>
  </si>
  <si>
    <t>BIS4-HHB-PRD</t>
  </si>
  <si>
    <t>bis4cloudadmin@ha.org.hk</t>
  </si>
  <si>
    <t>7/F, KITEC, 1 Trademart Drive, Kowloon Bay, Kowloon</t>
    <phoneticPr fontId="11" type="noConversion"/>
  </si>
  <si>
    <t>Billing Recipient Email Address: bis4cloudadmin@ha.org.hk; lcm494@ha.org.hk; ckwok@ha.org.hk</t>
    <phoneticPr fontId="11" type="noConversion"/>
  </si>
  <si>
    <t>CL549009</t>
    <phoneticPr fontId="11" type="noConversion"/>
  </si>
  <si>
    <t>RN  760762/3-4</t>
  </si>
  <si>
    <t>SD11627269</t>
    <phoneticPr fontId="11" type="noConversion"/>
  </si>
  <si>
    <t>[24-Jan-24] Receive order. 
[24-Jan-24] Created Huawei A/C</t>
  </si>
  <si>
    <t>165394784213</t>
  </si>
  <si>
    <t>CL549208</t>
  </si>
  <si>
    <t>aws_aem@chowtaifook.com</t>
  </si>
  <si>
    <t>25/F, World Peace Centre, 41-55 Wo Tong St, Kwai Chung, NT</t>
  </si>
  <si>
    <t>CL549720</t>
  </si>
  <si>
    <t>RN 794949/1-2</t>
  </si>
  <si>
    <t>CB24-00000602\1(OM)</t>
  </si>
  <si>
    <t>CTF have created new account for AEM project.</t>
  </si>
  <si>
    <t>http://10.10.10.209/OASIS_FILE_MANAGER/zip_files_download.php?qid=1165566&amp;serialno=CB24-00000602&amp;itemno=1&amp;token=d2fcc63539ab421111515b95e3d48e8c</t>
  </si>
  <si>
    <t>Raymond Fung</t>
    <phoneticPr fontId="11" type="noConversion"/>
  </si>
  <si>
    <t>2899 3269 / 9522 0153</t>
    <phoneticPr fontId="11" type="noConversion"/>
  </si>
  <si>
    <t>RaymondFung@ygs-ent.com</t>
    <phoneticPr fontId="11" type="noConversion"/>
  </si>
  <si>
    <t>Domian name: HE00101294@onmicrosoft.com</t>
    <phoneticPr fontId="11" type="noConversion"/>
  </si>
  <si>
    <t>CL547052</t>
    <phoneticPr fontId="11" type="noConversion"/>
  </si>
  <si>
    <t>RN 564689/1-2</t>
    <phoneticPr fontId="11" type="noConversion"/>
  </si>
  <si>
    <t>GB24-00000363\1(OM)</t>
    <phoneticPr fontId="11" type="noConversion"/>
  </si>
  <si>
    <t>PS Cost for Azure (Implementation, Migration) $46,080
[25-Jan-2024] Order Isued
[30-Apr-2024] Connie from sale team return the signed Work Order Form and confirms the PS for those quotation services had been completed
[2-May-2024] Connie from sale team return the signed WO for pS of  ForitGate , confirm those PS had been completed and signed/cfm with customer.
[10-May-2024} Close CxS Order on 10-May-2024</t>
  </si>
  <si>
    <t xml:space="preserve">http://10.10.10.209/OASIS_FILE_MANAGER/zip_files_download.php?qid=1166911&amp;serialno=GB24-00000363&amp;itemno=1&amp;token=da34855977b6597edca13772e897f19a </t>
    <phoneticPr fontId="11" type="noConversion"/>
  </si>
  <si>
    <t>admin@hkttts.onmicrosoft.com</t>
    <phoneticPr fontId="11" type="noConversion"/>
  </si>
  <si>
    <t>CL543353</t>
    <phoneticPr fontId="11" type="noConversion"/>
  </si>
  <si>
    <t>RN 666475/1-2</t>
    <phoneticPr fontId="11" type="noConversion"/>
  </si>
  <si>
    <t xml:space="preserve">TID103728 </t>
    <phoneticPr fontId="11" type="noConversion"/>
  </si>
  <si>
    <t>BBSMA24-00000048\1(OM)</t>
    <phoneticPr fontId="11" type="noConversion"/>
  </si>
  <si>
    <t xml:space="preserve">http://10.10.10.209/OASIS_FILE_MANAGER/zip_files_download.php?qid=1167097&amp;serialno=BBSMA24-00000048&amp;itemno=1&amp;token=0cc88db95574e130f1ff0784c353575e </t>
    <phoneticPr fontId="11" type="noConversion"/>
  </si>
  <si>
    <t>Account Created</t>
  </si>
  <si>
    <t>Ricky HUI</t>
  </si>
  <si>
    <t xml:space="preserve">ehr.ai6sup@ha.org.hk </t>
    <phoneticPr fontId="11" type="noConversion"/>
  </si>
  <si>
    <t>0b62440fc58f4ff683a31bb23e45fde1</t>
  </si>
  <si>
    <t>EHP5-ODC-DEV</t>
  </si>
  <si>
    <t>ehr.ai6sup@ha.org.hk</t>
    <phoneticPr fontId="11" type="noConversion"/>
  </si>
  <si>
    <t xml:space="preserve">Billing Recipient Email Address:	ehr.ai6sup@ha.org.hk; slchu@ha.org.hk; huikl@ha.org.hk; </t>
    <phoneticPr fontId="11" type="noConversion"/>
  </si>
  <si>
    <t>CL549670</t>
    <phoneticPr fontId="11" type="noConversion"/>
  </si>
  <si>
    <t>RN 600063/9-10</t>
  </si>
  <si>
    <t>SD11629817</t>
  </si>
  <si>
    <t>[06-Feb-24] Receive order. 
[07-Feb-24] Created Huawei A/C</t>
    <phoneticPr fontId="11" type="noConversion"/>
  </si>
  <si>
    <t>yves.yueh@hkjairport.com</t>
  </si>
  <si>
    <t>Airport Authority</t>
  </si>
  <si>
    <t>0b62440fc58f4ff683a31bb23e45fde1</t>
    <phoneticPr fontId="11" type="noConversion"/>
  </si>
  <si>
    <t>CTF_165394784213_CTF_AEM Code Commit + Cloudfront_PS</t>
  </si>
  <si>
    <t>RN 326381/1</t>
  </si>
  <si>
    <t>GB24-00000980\1(OM)</t>
    <phoneticPr fontId="11" type="noConversion"/>
  </si>
  <si>
    <t>[15-Feb-24] PS Job forward to Lok Wong</t>
    <phoneticPr fontId="11" type="noConversion"/>
  </si>
  <si>
    <t>http://10.10.10.209/OASIS_FILE_MANAGER/zip_files_download.php?qid=1171835&amp;serialno=GB24-00000980&amp;itemno=1&amp;token=130994d99428d806a08c466b41518bef</t>
  </si>
  <si>
    <t>Richard C M Ho</t>
  </si>
  <si>
    <t>cmho@cedd.gov.hk</t>
  </si>
  <si>
    <t>7/F, Civil Engineering and Development Building, 101 Princess Margaret Road, Homantin, KLN</t>
  </si>
  <si>
    <t>CL542279</t>
    <phoneticPr fontId="11" type="noConversion"/>
  </si>
  <si>
    <t>RN 295770/1</t>
    <phoneticPr fontId="11" type="noConversion"/>
  </si>
  <si>
    <t>[15-Feb-24] PS Job forward to Lok Wong
[26-Apr-2024] Confirm with Lok, PS is finished. Close CxS order on 26-Apr-2024</t>
  </si>
  <si>
    <t>936618183152</t>
  </si>
  <si>
    <t>RN 049421/1</t>
  </si>
  <si>
    <t>CB24-00000823\1(OM)</t>
  </si>
  <si>
    <t>Centrakized FireWall</t>
  </si>
  <si>
    <t>http://10.10.10.209/OASIS_FILE_MANAGER/zip_files_download.php?qid=1169881&amp;serialno=CB24-00000823&amp;itemno=1&amp;token=d2fcc63539ab421111515b95e3d48e8c</t>
  </si>
  <si>
    <t>alan.cheung@hsitp.org</t>
  </si>
  <si>
    <t>5a2f0528-a6d7-47b5-8096-68d9fb7f0897</t>
  </si>
  <si>
    <t>D3IT1558p&amp;</t>
  </si>
  <si>
    <t>207-208, 2/F, Building 10W, 10 Sicence Park West Avenue, Shatin, NT</t>
  </si>
  <si>
    <t>RN 446591/1-2</t>
  </si>
  <si>
    <t>GA24-00001112\1(OM)</t>
    <phoneticPr fontId="11" type="noConversion"/>
  </si>
  <si>
    <t>[15-Feb-24] Azure subscription cretated, but cant add the role assisment, created the ticket and waiting Microsoft reply
[16-Feb-24] Assigned the default admin account in 2 azure subscription
[16-Feb-24] Forward the Welcome Letter to Lok Wong to follow  the PS Job</t>
  </si>
  <si>
    <t>http://10.10.10.209/OASIS_FILE_MANAGER/zip_files_download.php?qid=1174275&amp;serialno=GA24-00001112&amp;itemno=1&amp;token=f226aee136c3b5fcb7a958130dd303cc</t>
  </si>
  <si>
    <t>Kenny IP</t>
  </si>
  <si>
    <t>hagoodcsupport@ha.org.hk</t>
  </si>
  <si>
    <t>622a5bcd0dd6495f92a5532ee9e7ed45</t>
  </si>
  <si>
    <t>CP12-ODC-DEV</t>
    <phoneticPr fontId="11" type="noConversion"/>
  </si>
  <si>
    <t>HO-ITS-CP12, 1/F West Wing, Multi-service Centre, Queen Elizabeth Hospital, 30 Gascoigne Road, Kowloon</t>
  </si>
  <si>
    <t>CL550123</t>
    <phoneticPr fontId="11" type="noConversion"/>
  </si>
  <si>
    <t>RN 600063/11-12</t>
  </si>
  <si>
    <t xml:space="preserve">SD11631020	</t>
  </si>
  <si>
    <t>[16-Feb-24] Created Huawei A/C</t>
  </si>
  <si>
    <t>Don Ng</t>
    <phoneticPr fontId="11" type="noConversion"/>
  </si>
  <si>
    <t>851725505359</t>
  </si>
  <si>
    <t>k11-aws-kidzania-nonprd</t>
  </si>
  <si>
    <t>k11-aws-kidzania-nonprd@nwcs.com.hk</t>
  </si>
  <si>
    <t>New World Corporate Services Limited, 29/F, New World Tower, 16-18 Queen's Road Central</t>
    <phoneticPr fontId="11" type="noConversion"/>
  </si>
  <si>
    <t>CL541056</t>
    <phoneticPr fontId="11" type="noConversion"/>
  </si>
  <si>
    <t>RN 718094/1-2</t>
  </si>
  <si>
    <t>CB24-00001025\1(OM)</t>
  </si>
  <si>
    <t>http://10.10.10.209/OASIS_FILE_MANAGER/zip_files_download.php?qid=1174461&amp;serialno=CB24-00001025&amp;itemno=1&amp;token=6846eac8eff0831566cf6e4382db1f12</t>
  </si>
  <si>
    <t>637423268434</t>
  </si>
  <si>
    <t>k11-aws-11skies-nonprd</t>
  </si>
  <si>
    <t>k11-aws-11skies-nonprd@nwcs.com.hk</t>
  </si>
  <si>
    <t>New World Corporate Services Limited, 29/F, New World Tower, 16-18 Queen's Road Central</t>
  </si>
  <si>
    <t>CL544162</t>
  </si>
  <si>
    <t>RN 718094/3-4</t>
  </si>
  <si>
    <t>kdp_aws_eshop_prd</t>
  </si>
  <si>
    <t>kdp_aws_eshop_prd@nwcs.com.hk</t>
  </si>
  <si>
    <t>CL544916</t>
    <phoneticPr fontId="11" type="noConversion"/>
  </si>
  <si>
    <t>RN 718094/5-6</t>
  </si>
  <si>
    <t>Katherine Leung</t>
  </si>
  <si>
    <t>2980 1709</t>
  </si>
  <si>
    <t>CL543077</t>
    <phoneticPr fontId="11" type="noConversion"/>
  </si>
  <si>
    <t xml:space="preserve">http://10.10.10.209/OASIS_FILE_MANAGER/zip_files_download.php?qid=1104701&amp;serialno=GA23-00005011&amp;itemno=1&amp;token=1d9c61ddc83df440eb3e0ee4ef984888 </t>
    <phoneticPr fontId="11" type="noConversion"/>
  </si>
  <si>
    <t>Andy WONG</t>
  </si>
  <si>
    <t>hoehp4odcsuppac@ha.org.hk</t>
    <phoneticPr fontId="11" type="noConversion"/>
  </si>
  <si>
    <t>eb80adb6364a4c14972dedc9150abc51</t>
  </si>
  <si>
    <t>EHP4-ODC-DEV</t>
    <phoneticPr fontId="11" type="noConversion"/>
  </si>
  <si>
    <t>hoehp4odcsuppac@ha.org.hk</t>
  </si>
  <si>
    <t>EHP4 , 7/F, Kowloonbay International Trade &amp; Exhibition Centre,1 TRADEMART DRIVE , KWUN TONG DISTRICT , KOWLOON</t>
  </si>
  <si>
    <t>CL550202</t>
    <phoneticPr fontId="11" type="noConversion"/>
  </si>
  <si>
    <t>RN 600063/13-14</t>
  </si>
  <si>
    <t>SD11632815</t>
    <phoneticPr fontId="11" type="noConversion"/>
  </si>
  <si>
    <t>[26-Feb-24] Receive order. 
[26-Feb-24] Created Huawei A/C</t>
    <phoneticPr fontId="11" type="noConversion"/>
  </si>
  <si>
    <t>donng@nwcs.com.hk</t>
    <phoneticPr fontId="11" type="noConversion"/>
  </si>
  <si>
    <t>730335499688</t>
  </si>
  <si>
    <t>APP SUCCESS LIMITED</t>
    <phoneticPr fontId="11" type="noConversion"/>
  </si>
  <si>
    <t>aws@appsuccesshk.com</t>
    <phoneticPr fontId="11" type="noConversion"/>
  </si>
  <si>
    <t>CL544069</t>
  </si>
  <si>
    <t>RN 693402/1-2</t>
    <phoneticPr fontId="11" type="noConversion"/>
  </si>
  <si>
    <t>CB24-00001173\1(OM)</t>
    <phoneticPr fontId="11" type="noConversion"/>
  </si>
  <si>
    <t>[22-Feb-2024] Order issued
[27-Feb-2024] Close CxS order</t>
    <phoneticPr fontId="11" type="noConversion"/>
  </si>
  <si>
    <t xml:space="preserve">http://10.10.10.209/OASIS_FILE_MANAGER/zip_files_download.php?qid=1177381&amp;serialno=CB24-00001173&amp;itemno=1&amp;token=6846eac8eff0831566cf6e4382db1f12 </t>
    <phoneticPr fontId="11" type="noConversion"/>
  </si>
  <si>
    <t>992382600173</t>
  </si>
  <si>
    <t>nwg_aws_shared_prd</t>
  </si>
  <si>
    <t>nwg_aws_shared_prd@nwcs.com.hk</t>
    <phoneticPr fontId="11" type="noConversion"/>
  </si>
  <si>
    <t>CL545502</t>
    <phoneticPr fontId="11" type="noConversion"/>
  </si>
  <si>
    <t xml:space="preserve">RN 034472 </t>
    <phoneticPr fontId="11" type="noConversion"/>
  </si>
  <si>
    <t>CB24-00001360\1(OM)</t>
    <phoneticPr fontId="11" type="noConversion"/>
  </si>
  <si>
    <t xml:space="preserve">http://10.10.10.209/OASIS_FILE_MANAGER/zip_files_download.php?qid=1181440&amp;serialno=CB24-00001360&amp;itemno=1&amp;token=6846eac8eff0831566cf6e4382db1f12 </t>
    <phoneticPr fontId="11" type="noConversion"/>
  </si>
  <si>
    <t>767397676874</t>
  </si>
  <si>
    <t>k11-aws-11skies-prd</t>
  </si>
  <si>
    <t>k11-aws-11skies-prd@nwcs.com.hk</t>
    <phoneticPr fontId="11" type="noConversion"/>
  </si>
  <si>
    <t>CL545557</t>
    <phoneticPr fontId="11" type="noConversion"/>
  </si>
  <si>
    <t>RN 034472</t>
    <phoneticPr fontId="11" type="noConversion"/>
  </si>
  <si>
    <t>590183830759</t>
  </si>
  <si>
    <t>hsa-aws-shared-nonprod</t>
  </si>
  <si>
    <t>hsa-aws-shared-nonprod@nwcs.com.hk</t>
    <phoneticPr fontId="11" type="noConversion"/>
  </si>
  <si>
    <t>CL545652</t>
    <phoneticPr fontId="11" type="noConversion"/>
  </si>
  <si>
    <t>992382795602</t>
  </si>
  <si>
    <t>CL545881</t>
    <phoneticPr fontId="11" type="noConversion"/>
  </si>
  <si>
    <t>975050291696</t>
  </si>
  <si>
    <t>kdp-aws-topup-prd</t>
  </si>
  <si>
    <t>kdp-aws-topup-prd@nwcs.com.hk</t>
    <phoneticPr fontId="11" type="noConversion"/>
  </si>
  <si>
    <t>CL545955</t>
    <phoneticPr fontId="11" type="noConversion"/>
  </si>
  <si>
    <t>58264208635</t>
  </si>
  <si>
    <t>Email : dcmsadmin@ha.org.hk</t>
  </si>
  <si>
    <t>Address : 1/F, Blk.A, Information Technology Block, 147A, Argyle Street, Kowloon, Hong Kong</t>
  </si>
  <si>
    <t>RN 568802</t>
    <phoneticPr fontId="11" type="noConversion"/>
  </si>
  <si>
    <t>AWS (Amazon Web Service)</t>
    <phoneticPr fontId="11" type="noConversion"/>
  </si>
  <si>
    <t>Pre-Provisioning</t>
  </si>
  <si>
    <t>hoewsprdadmin@ha.org.hk</t>
  </si>
  <si>
    <t>1/F, Blk.A, Information Technology Block, 147A, Argyle Street, Kowloon, Hong Kong</t>
  </si>
  <si>
    <t>CL549237</t>
  </si>
  <si>
    <t>RN 600063/5-6</t>
  </si>
  <si>
    <t xml:space="preserve">GitHub Copilot (CP8 Team) </t>
  </si>
  <si>
    <t>CL549085</t>
  </si>
  <si>
    <t>RN 600063/1-2</t>
  </si>
  <si>
    <t>AIS3-OCR-DEV</t>
  </si>
  <si>
    <t>RN 600063/3-4</t>
  </si>
  <si>
    <t>533267240950</t>
  </si>
  <si>
    <t>AIS3-OCR-AAT</t>
    <phoneticPr fontId="11" type="noConversion"/>
  </si>
  <si>
    <t>aiocraatsupp@ha.org.hk</t>
    <phoneticPr fontId="11" type="noConversion"/>
  </si>
  <si>
    <t>1/F, Block B, Hosptial Authority ITB, Kowloon Hospital, Kowloon</t>
    <phoneticPr fontId="11" type="noConversion"/>
  </si>
  <si>
    <t xml:space="preserve">Billing Recipient Email Address: aiocraatsupp@ha.org.hk; sck433@ha.org.hk; sck433@ha.org.hk; </t>
    <phoneticPr fontId="11" type="noConversion"/>
  </si>
  <si>
    <t>CL542808</t>
    <phoneticPr fontId="11" type="noConversion"/>
  </si>
  <si>
    <t>RN 383506/1-2</t>
  </si>
  <si>
    <t>UB24-00000197\1(OM)</t>
    <phoneticPr fontId="11" type="noConversion"/>
  </si>
  <si>
    <t>[12-Mar-2024] Receive order.</t>
    <phoneticPr fontId="11" type="noConversion"/>
  </si>
  <si>
    <t xml:space="preserve">http://10.10.10.209/OASIS_FILE_MANAGER/zip_files_download.php?qid=1187141&amp;serialno=UB24-00000197&amp;itemno=1&amp;token=a964a32236e9d92cb29b0b25f27a5288 
  </t>
    <phoneticPr fontId="11" type="noConversion"/>
  </si>
  <si>
    <t>805289138174</t>
  </si>
  <si>
    <t>AIS3-LOCATIONMAP-PRD</t>
    <phoneticPr fontId="11" type="noConversion"/>
  </si>
  <si>
    <t>halocamapsyssupp@ha.org.hk</t>
    <phoneticPr fontId="11" type="noConversion"/>
  </si>
  <si>
    <t>Billing Recipient Email Address: halocamapsyssupp@ha.org.hk; nathan.ng@ha.org.hk; gary.jan@ha.org.hk;</t>
    <phoneticPr fontId="11" type="noConversion"/>
  </si>
  <si>
    <t>CL544113</t>
    <phoneticPr fontId="11" type="noConversion"/>
  </si>
  <si>
    <t>RN 383506/3-4</t>
  </si>
  <si>
    <t>471112710338</t>
  </si>
  <si>
    <t>HA11-CAMS-DEV</t>
    <phoneticPr fontId="11" type="noConversion"/>
  </si>
  <si>
    <t>camssupdev@ha.org.hk</t>
  </si>
  <si>
    <t>G/F, Blk. A, Hospital Authority Information Technology Block, 147A Argyle Street, Mongkok, Kowloon</t>
    <phoneticPr fontId="11" type="noConversion"/>
  </si>
  <si>
    <t>Billing Recipient Email Address: camssupdev@ha.org.hk; camssupdev@ha.org.hk; camssupdev@ha.org.hk</t>
    <phoneticPr fontId="11" type="noConversion"/>
  </si>
  <si>
    <t>CL545111</t>
    <phoneticPr fontId="11" type="noConversion"/>
  </si>
  <si>
    <t>RN 383506/5-6</t>
  </si>
  <si>
    <t>992382587608</t>
  </si>
  <si>
    <t>CTF_CRM_APIGW_Prod</t>
  </si>
  <si>
    <t>CL542374</t>
    <phoneticPr fontId="11" type="noConversion"/>
  </si>
  <si>
    <t>RN 286640/1-2</t>
  </si>
  <si>
    <t>UD24-00000300\1(OM)</t>
  </si>
  <si>
    <t>http://10.10.10.209/OASIS_FILE_MANAGER/zip_files_download.php?qid=1190790&amp;serialno=UD24-00000300&amp;itemno=1&amp;token=d2fcc63539ab421111515b95e3d48e8c</t>
  </si>
  <si>
    <t>590183914256</t>
  </si>
  <si>
    <t>CTF_CRM_APIGW_UAT</t>
  </si>
  <si>
    <t>CL542657</t>
  </si>
  <si>
    <t>RN 286640/3-4</t>
  </si>
  <si>
    <r>
      <rPr>
        <sz val="11"/>
        <color rgb="FF000000"/>
        <rFont val="Aptos Narrow"/>
        <family val="2"/>
        <scheme val="minor"/>
      </rPr>
      <t>[28-Oct-2024] Wrong CL# provided to Kaite, amended CL# from CL242657 to CL</t>
    </r>
    <r>
      <rPr>
        <sz val="11"/>
        <color rgb="FFFF0000"/>
        <rFont val="Aptos Narrow"/>
        <family val="2"/>
        <scheme val="minor"/>
      </rPr>
      <t>5</t>
    </r>
    <r>
      <rPr>
        <sz val="11"/>
        <color rgb="FF000000"/>
        <rFont val="Aptos Narrow"/>
        <family val="2"/>
        <scheme val="minor"/>
      </rPr>
      <t>42657 (Bonnie)</t>
    </r>
  </si>
  <si>
    <t>178777946090</t>
  </si>
  <si>
    <t>datacleansing_UAT</t>
  </si>
  <si>
    <t>CL543221</t>
  </si>
  <si>
    <t>RN 286640/5-6</t>
  </si>
  <si>
    <r>
      <rPr>
        <sz val="11"/>
        <color rgb="FF000000"/>
        <rFont val="Aptos Narrow"/>
        <family val="2"/>
        <scheme val="minor"/>
      </rPr>
      <t>[28-Oct-2024] Wrong CL# provided to Kaite, amended CL# from CL243221 to CL</t>
    </r>
    <r>
      <rPr>
        <sz val="11"/>
        <color rgb="FFFF0000"/>
        <rFont val="Aptos Narrow"/>
        <family val="2"/>
        <scheme val="minor"/>
      </rPr>
      <t>5</t>
    </r>
    <r>
      <rPr>
        <sz val="11"/>
        <color rgb="FF000000"/>
        <rFont val="Aptos Narrow"/>
        <family val="2"/>
        <scheme val="minor"/>
      </rPr>
      <t>43221 (Bonnie)</t>
    </r>
  </si>
  <si>
    <t>502741919927</t>
  </si>
  <si>
    <t>datacleansing_Prod</t>
  </si>
  <si>
    <t>CL543390</t>
  </si>
  <si>
    <t>RN 286640/7-8</t>
  </si>
  <si>
    <t>975050056767</t>
  </si>
  <si>
    <t>CTF_AEM_UAT</t>
  </si>
  <si>
    <t>CL544555</t>
  </si>
  <si>
    <t>RN 286640/9-10</t>
  </si>
  <si>
    <t xml:space="preserve">CTF_992382587608_CTF_One Web Phase 1 </t>
  </si>
  <si>
    <t>RN 478486/1</t>
    <phoneticPr fontId="11" type="noConversion"/>
  </si>
  <si>
    <t>CB24-00001419\1(OM)</t>
  </si>
  <si>
    <t>C-Order
Multi-Cloud_OrderForm_2021101q v1 7_AWS(CTF_992382587608_CTF_One Web Phase 1)
CL# : CL556169
HKD $24000</t>
  </si>
  <si>
    <t>http://10.10.10.209/OASIS_FILE_MANAGER/zip_files_download.php?qid=1194751&amp;serialno=CB24-00001419&amp;itemno=1&amp;token=d2fcc63539ab421111515b95e3d48e8c</t>
  </si>
  <si>
    <t>RN 478486/3</t>
  </si>
  <si>
    <t>C-Order
Multi-Cloud_OrderForm_2021101q v1 7_AWS(CTF_165394784213_CTF_AEM Code Commit + Cloudfront_PS)
CL549720
HKD $24000</t>
  </si>
  <si>
    <t>10461381676</t>
  </si>
  <si>
    <t>AA HKIA TOWER, 1 SKY PLAZA ROAD, HK INTERNATIONAL AIRPORT, CHEK LAP KOK LANTAU ISLAND</t>
    <phoneticPr fontId="11" type="noConversion"/>
  </si>
  <si>
    <t>CL552619</t>
    <phoneticPr fontId="11" type="noConversion"/>
  </si>
  <si>
    <t>RN 839471/13-14</t>
    <phoneticPr fontId="11" type="noConversion"/>
  </si>
  <si>
    <t>UB24-00001176\1(OM)</t>
    <phoneticPr fontId="11" type="noConversion"/>
  </si>
  <si>
    <t>[22-Apr-2024] Receive Order
[23-Apr-2024] Inform katie for order mapping
[23-Apr-2024] Close CxS Order
* CL no. update from CL540724 (RN839471/1-2) to CL552619 (RN839471/13-14)</t>
  </si>
  <si>
    <t>173684730798</t>
  </si>
  <si>
    <t>CL543455</t>
    <phoneticPr fontId="11" type="noConversion"/>
  </si>
  <si>
    <t>RN 839471/3-4</t>
    <phoneticPr fontId="11" type="noConversion"/>
  </si>
  <si>
    <t>[22-Apr-2024] Receive Order
[23-Apr-2024] Inform katie for order mapping
[23-Apr-2024] Close CxS Order</t>
  </si>
  <si>
    <t>441313409445</t>
  </si>
  <si>
    <t>CL545155</t>
    <phoneticPr fontId="11" type="noConversion"/>
  </si>
  <si>
    <t>RN839471/5-6</t>
    <phoneticPr fontId="11" type="noConversion"/>
  </si>
  <si>
    <t>514405428519</t>
  </si>
  <si>
    <t>CL545354</t>
    <phoneticPr fontId="11" type="noConversion"/>
  </si>
  <si>
    <t>RN839471/7-8</t>
    <phoneticPr fontId="11" type="noConversion"/>
  </si>
  <si>
    <t>575942681040</t>
  </si>
  <si>
    <t>CL547277</t>
    <phoneticPr fontId="11" type="noConversion"/>
  </si>
  <si>
    <t>RN839471/9-10</t>
    <phoneticPr fontId="11" type="noConversion"/>
  </si>
  <si>
    <t>606098631480</t>
  </si>
  <si>
    <t>CL547279</t>
    <phoneticPr fontId="11" type="noConversion"/>
  </si>
  <si>
    <t>RN839471/11-12</t>
    <phoneticPr fontId="11" type="noConversion"/>
  </si>
  <si>
    <t>634732609678</t>
    <phoneticPr fontId="11" type="noConversion"/>
  </si>
  <si>
    <t>aws_aet_sqcc</t>
  </si>
  <si>
    <t>aws.aet.sqcc@hkairport.com</t>
  </si>
  <si>
    <t>CL547523</t>
    <phoneticPr fontId="11" type="noConversion"/>
  </si>
  <si>
    <t>RN753287/1-2</t>
    <phoneticPr fontId="11" type="noConversion"/>
  </si>
  <si>
    <t>Pre-provisioning order, sales will place order afterward.
[18-Oct-23] MultiCloudMS Created AWS A/C
[22-Apr-2024] Receive Order
[23-Apr-2024] Inform katie for order mapping
[23-Apr-2024] Close CxS Order</t>
  </si>
  <si>
    <t>CL547563</t>
    <phoneticPr fontId="11" type="noConversion"/>
  </si>
  <si>
    <t>RN753287/3-4</t>
    <phoneticPr fontId="11" type="noConversion"/>
  </si>
  <si>
    <t>732483545703</t>
  </si>
  <si>
    <t>CL549274</t>
    <phoneticPr fontId="11" type="noConversion"/>
  </si>
  <si>
    <t>RN753287/5-6</t>
    <phoneticPr fontId="11" type="noConversion"/>
  </si>
  <si>
    <t>800618920236</t>
  </si>
  <si>
    <t>CL549311</t>
    <phoneticPr fontId="11" type="noConversion"/>
  </si>
  <si>
    <t>RN753287/7-8</t>
    <phoneticPr fontId="11" type="noConversion"/>
  </si>
  <si>
    <t>820827169789</t>
  </si>
  <si>
    <t>CL549748</t>
    <phoneticPr fontId="11" type="noConversion"/>
  </si>
  <si>
    <t>RN753287/9-10</t>
    <phoneticPr fontId="11" type="noConversion"/>
  </si>
  <si>
    <t>918925439042</t>
  </si>
  <si>
    <t>CL549969</t>
    <phoneticPr fontId="11" type="noConversion"/>
  </si>
  <si>
    <t>RN753287/11-12</t>
    <phoneticPr fontId="11" type="noConversion"/>
  </si>
  <si>
    <t>939286569314</t>
  </si>
  <si>
    <t>RN 899502/3</t>
    <phoneticPr fontId="11" type="noConversion"/>
  </si>
  <si>
    <t>[UB24-00000732\1(OM)</t>
  </si>
  <si>
    <t>Initial set up (Azure + AWS) 
with AWS &amp; Azure landing zone.
Total: $450,900.3 ( Azure 209,400.3 + AWS 241,500)</t>
  </si>
  <si>
    <t>rg-expressroutegw-sqcc-001</t>
    <phoneticPr fontId="11" type="noConversion"/>
  </si>
  <si>
    <t>RN 899502/1</t>
    <phoneticPr fontId="11" type="noConversion"/>
  </si>
  <si>
    <t xml:space="preserve">kin.luk@ha.org.hk </t>
    <phoneticPr fontId="11" type="noConversion"/>
  </si>
  <si>
    <t>590183778933</t>
  </si>
  <si>
    <t>HA1-OFOP-PRD</t>
    <phoneticPr fontId="11" type="noConversion"/>
  </si>
  <si>
    <t>dcmspca@ha.org.hk</t>
  </si>
  <si>
    <t>Billing Recipient Email Address: dcmspca@ha.org.hk; howk@ha.org.hk; sosl@ha.org.hk</t>
  </si>
  <si>
    <t>CL542193</t>
    <phoneticPr fontId="11" type="noConversion"/>
  </si>
  <si>
    <t>RN 635909/1-2</t>
    <phoneticPr fontId="11" type="noConversion"/>
  </si>
  <si>
    <t>UB24-00001721\1(OM)</t>
    <phoneticPr fontId="11" type="noConversion"/>
  </si>
  <si>
    <t>SD11650101</t>
  </si>
  <si>
    <t>[5-Apr-2024] Receive order request
[5-Apr-2024] Account created
[13-May-2024] Receive Oasis Order. Close CxS order on 01-Apr-2024
[13-May-2024] Inform katie for order mapping</t>
  </si>
  <si>
    <t>http://10.10.10.209/OASIS_FILE_MANAGER/zip_files_download.php?qid=1221079&amp;serialno=UB24-00001721&amp;itemno=1&amp;token=a964a32236e9d92cb29b0b25f27a5288</t>
    <phoneticPr fontId="11" type="noConversion"/>
  </si>
  <si>
    <t>T7 Team (Public Cloud</t>
    <phoneticPr fontId="11" type="noConversion"/>
  </si>
  <si>
    <t>905418243383</t>
  </si>
  <si>
    <t>HA1-OFOP-DEV</t>
    <phoneticPr fontId="11" type="noConversion"/>
  </si>
  <si>
    <t>dcmsadmin@ha.org.hk</t>
    <phoneticPr fontId="11" type="noConversion"/>
  </si>
  <si>
    <t>1/F, Blk.A, Information Technology Block, 147A, Argyle Street, Kowloon, Hong Kong</t>
    <phoneticPr fontId="11" type="noConversion"/>
  </si>
  <si>
    <t>Billing Recipient Email Address: dcmsadmin@ha.org.hk; dcmsadmin@ha.org.hk; dcmsadmin@ha.org.hk</t>
    <phoneticPr fontId="11" type="noConversion"/>
  </si>
  <si>
    <t>CL542195</t>
    <phoneticPr fontId="11" type="noConversion"/>
  </si>
  <si>
    <t>RN635909/3-4</t>
    <phoneticPr fontId="11" type="noConversion"/>
  </si>
  <si>
    <t>SD11650076</t>
    <phoneticPr fontId="11" type="noConversion"/>
  </si>
  <si>
    <t>[29-Feb-2024] Receive order request
[4-Mar-2024] Account Created
[13-May-2024] Receive Oasis Order. Close cxS order on 01-May-2024
[13-May-2024] Inform katie for order mapping</t>
  </si>
  <si>
    <t>JACKY LEUNG</t>
  </si>
  <si>
    <t>jacky.leung.k.c@chowsangsang.com</t>
    <phoneticPr fontId="11" type="noConversion"/>
  </si>
  <si>
    <t>CHOW SANG SANG JEWELLERY CO LTD</t>
    <phoneticPr fontId="11" type="noConversion"/>
  </si>
  <si>
    <t xml:space="preserve">
Existing Microsoft A/C : sharon.tse.w.m@chowsangsang.com</t>
  </si>
  <si>
    <t>26/F, 9 Wing Hong Street, Cheung Sha Wan, Kowloon</t>
    <phoneticPr fontId="11" type="noConversion"/>
  </si>
  <si>
    <t>CL551000</t>
  </si>
  <si>
    <t>RN 262688/1-2</t>
  </si>
  <si>
    <t>UB24-00000655\1(OM)</t>
  </si>
  <si>
    <t>SD11658982</t>
  </si>
  <si>
    <t>[18-Jun-2024] Receive order cancellatiob
[18-Jun-2024] Acknowlege cancel order RN 262688/1-2 via CxS. (SD11658982)</t>
  </si>
  <si>
    <t xml:space="preserve">http://10.10.10.209/OASIS_FILE_MANAGER/zip_files_download.php?qid=1196442&amp;serialno=UB24-00000655&amp;itemno=1&amp;token=6a4b9161fe3388f0bdd10456249dca09 </t>
    <phoneticPr fontId="11" type="noConversion"/>
  </si>
  <si>
    <t>Sunny Mak</t>
    <phoneticPr fontId="11" type="noConversion"/>
  </si>
  <si>
    <t>sunnymak@firstbullion.com</t>
    <phoneticPr fontId="11" type="noConversion"/>
  </si>
  <si>
    <t>Remarks: Customer Migrate from existing CSP Azure Subscription to HKT
1. Customer name: First Asia Merchants Bullion Ltd
2. Email address: admin1@firstbullion.com
3. Partner name: Ingram Micro (China) Limited 
4.  Partner ID: c3878722-b647-48fc-bbde-222414b658b9</t>
    <phoneticPr fontId="11" type="noConversion"/>
  </si>
  <si>
    <t>CL544554</t>
    <phoneticPr fontId="11" type="noConversion"/>
  </si>
  <si>
    <t>RN 249234/1-2</t>
    <phoneticPr fontId="11" type="noConversion"/>
  </si>
  <si>
    <t>TI24-00002030\1(OM)</t>
    <phoneticPr fontId="11" type="noConversion"/>
  </si>
  <si>
    <t>SD11641444</t>
    <phoneticPr fontId="11" type="noConversion"/>
  </si>
  <si>
    <t>Managed Service T1 has been added (with 10% discount off)
[8-Mar-2024] Order Issued
[31-May-2024] Receive Welcome Letter
[31-May-2024] Close CxS order on SRD date: 8-Apr-2024</t>
    <phoneticPr fontId="11" type="noConversion"/>
  </si>
  <si>
    <t xml:space="preserve">http://10.10.10.209/OASIS_FILE_MANAGER/zip_files_download.php?qid=1197577&amp;serialno=TI24-00002030&amp;itemno=1&amp;token=65d9bdc4f8c51deb655f4357572371ae </t>
    <phoneticPr fontId="11" type="noConversion"/>
  </si>
  <si>
    <t>2786 8836</t>
    <phoneticPr fontId="11" type="noConversion"/>
  </si>
  <si>
    <t>vincent.wong@kmb.hk</t>
    <phoneticPr fontId="11" type="noConversion"/>
  </si>
  <si>
    <t>Existing Microsoft A/C : vincent.wong@azureadminkmb.onmicrosoft.com</t>
    <phoneticPr fontId="11" type="noConversion"/>
  </si>
  <si>
    <t>5/F, No.9 Po Lun Street</t>
    <phoneticPr fontId="11" type="noConversion"/>
  </si>
  <si>
    <t>Azure ID: 
8f09ef82-dd38-4a93-90c7-2c97ddf927ef
af4a9ac0-c9eb-497f-bffb-882d94e369e6
f34ee0f6-1dde-4c46-b685-3fe5547621e2
071a2d3e-5170-441a-8889-ea51034949a2
630d609b-52ad-4aed-93ee-44b71e9d8f3f</t>
    <phoneticPr fontId="11" type="noConversion"/>
  </si>
  <si>
    <t>CL544019</t>
    <phoneticPr fontId="11" type="noConversion"/>
  </si>
  <si>
    <t>RN 444061/1-2</t>
    <phoneticPr fontId="11" type="noConversion"/>
  </si>
  <si>
    <t>UD24-00000501\1(OM)</t>
    <phoneticPr fontId="11" type="noConversion"/>
  </si>
  <si>
    <t>SD11641132</t>
    <phoneticPr fontId="11" type="noConversion"/>
  </si>
  <si>
    <t>Remarks: Managed Service T1 has been added (with 12% discount off)
[26-Mar-2024] Order Issued
[20-May-2024] Receive welcome Letter for the Subscribed Service. Close CxS order on 20-May-2024</t>
    <phoneticPr fontId="11" type="noConversion"/>
  </si>
  <si>
    <t xml:space="preserve">http://10.10.10.209/OASIS_FILE_MANAGER/zip_files_download.php?qid=1196030&amp;serialno=UD24-00000501&amp;itemno=1&amp;token=3236c2237035e7dbdfa1ba58f278916e </t>
    <phoneticPr fontId="11" type="noConversion"/>
  </si>
  <si>
    <t>AIS1</t>
  </si>
  <si>
    <t>hoais1ailabhdevsupp@ha.org.hk</t>
    <phoneticPr fontId="11" type="noConversion"/>
  </si>
  <si>
    <t>bf083ecb4c7949c78574b813f2b95bd9</t>
    <phoneticPr fontId="11" type="noConversion"/>
  </si>
  <si>
    <t>AIS1-AILAB-DEV</t>
    <phoneticPr fontId="11" type="noConversion"/>
  </si>
  <si>
    <t>7/F, KITEC, Kowloon Bay</t>
    <phoneticPr fontId="11" type="noConversion"/>
  </si>
  <si>
    <t>hoais1ailabhdevsupp@ha.org.hk; joe.wan@ha.org.hk; byron.so@ha.org.hk</t>
    <phoneticPr fontId="11" type="noConversion"/>
  </si>
  <si>
    <t>CL542198</t>
    <phoneticPr fontId="11" type="noConversion"/>
  </si>
  <si>
    <t>RN 635909/5-6</t>
    <phoneticPr fontId="11" type="noConversion"/>
  </si>
  <si>
    <t>SD11641191</t>
    <phoneticPr fontId="11" type="noConversion"/>
  </si>
  <si>
    <t>[9-Apr-24] Receive order request
[10-Apr-24] Created Huawei A/C
[13-May-2024] Receive Oasis order. Close CxS on 01-Apr-2024
[13-May-2024] Inform katie for order mapping</t>
  </si>
  <si>
    <t>Frank Kwong</t>
    <phoneticPr fontId="11" type="noConversion"/>
  </si>
  <si>
    <t>2268 0611</t>
    <phoneticPr fontId="11" type="noConversion"/>
  </si>
  <si>
    <t>itops@mib.com.hk</t>
    <phoneticPr fontId="11" type="noConversion"/>
  </si>
  <si>
    <t>5081812801587417</t>
    <phoneticPr fontId="11" type="noConversion"/>
  </si>
  <si>
    <t>Lee Garden Three, 1 Sunning Road, Causeway Bay, Hong Kong</t>
    <phoneticPr fontId="11" type="noConversion"/>
  </si>
  <si>
    <t>CL548598</t>
    <phoneticPr fontId="11" type="noConversion"/>
  </si>
  <si>
    <t>RN 616276/1-2</t>
    <phoneticPr fontId="11" type="noConversion"/>
  </si>
  <si>
    <t>UE24-00000605\1(OM)
UE24-00001723\1(OM)</t>
    <phoneticPr fontId="11" type="noConversion"/>
  </si>
  <si>
    <t>SD11641610</t>
    <phoneticPr fontId="11" type="noConversion"/>
  </si>
  <si>
    <t>[10-Apr-24] Receive product request for account pre-provisioning
[11-Apr-24] Created Alibaba A/C, Welcome letter issued.
[12-Apr-2024] CxS close on 12-Apr-2024
[04-Jun-2024] Waiting Order Issue, Please set the Alibaba credit limit from USD1 to USD1800 once order receive
[05-Jun-24] Receive Order CL548598 (RN280171/1-2) and change the QUota Amount form $1 to $1800, RN280171/1-2, CxS completed on 05-Jun -24 (SD11655793)</t>
  </si>
  <si>
    <t>http://10.10.10.209/OASIS_FILE_MANAGER/zip_files_download.php?qid=1203291&amp;serialno=UE24-00000605&amp;itemno=1&amp;token=6846eac8eff0831566cf6e4382db1f12
http://10.10.10.209/OASIS_FILE_MANAGER/zip_files_download.php?qid=1235294&amp;serialno=UE24-00001723&amp;itemno=1&amp;token=6846eac8eff0831566cf6e4382db1f12</t>
    <phoneticPr fontId="11" type="noConversion"/>
  </si>
  <si>
    <t>6759 4210</t>
    <phoneticPr fontId="11" type="noConversion"/>
  </si>
  <si>
    <t>533267389195</t>
  </si>
  <si>
    <t>nwd-aws-hkpss-nonprd</t>
  </si>
  <si>
    <t>nwd_aws_hkpss_nonprd@nwcs.com.hk</t>
    <phoneticPr fontId="11" type="noConversion"/>
  </si>
  <si>
    <t>CL548783</t>
    <phoneticPr fontId="11" type="noConversion"/>
  </si>
  <si>
    <t>RN 585833/1-2</t>
    <phoneticPr fontId="11" type="noConversion"/>
  </si>
  <si>
    <t>UE24-00000604\1(OM)</t>
    <phoneticPr fontId="11" type="noConversion"/>
  </si>
  <si>
    <t>SD11641884</t>
    <phoneticPr fontId="11" type="noConversion"/>
  </si>
  <si>
    <t>[11-Apr-2024] Receive order
[12-Apr-2024] Inform Katie for order mapping
[12-Apr-2024] CxS close on 12-Apr-2024</t>
  </si>
  <si>
    <t xml:space="preserve">http://10.10.10.209/OASIS_FILE_MANAGER/zip_files_download.php?qid=1203453&amp;serialno=UE24-00000604&amp;itemno=1&amp;token=3a577825b6b079b72327513261726934 
  </t>
    <phoneticPr fontId="11" type="noConversion"/>
  </si>
  <si>
    <t>975050185472</t>
  </si>
  <si>
    <t>nwd_aws_nwdpss_nonprd</t>
    <phoneticPr fontId="11" type="noConversion"/>
  </si>
  <si>
    <t>nwd_aws_nwdpss_nonprd@nwcs.com.hk</t>
    <phoneticPr fontId="11" type="noConversion"/>
  </si>
  <si>
    <t>CL548884</t>
    <phoneticPr fontId="11" type="noConversion"/>
  </si>
  <si>
    <t>RN 585833/3-4</t>
    <phoneticPr fontId="11" type="noConversion"/>
  </si>
  <si>
    <t>UE24-00000604\1(OM)</t>
  </si>
  <si>
    <t>SD11641886</t>
    <phoneticPr fontId="11" type="noConversion"/>
  </si>
  <si>
    <t>533267092169</t>
  </si>
  <si>
    <t>nwd_aws_nwdpss_prd</t>
    <phoneticPr fontId="11" type="noConversion"/>
  </si>
  <si>
    <t>nwd_aws_nwdpss_prd@nwcs.com.hk</t>
    <phoneticPr fontId="11" type="noConversion"/>
  </si>
  <si>
    <t>CL548930</t>
    <phoneticPr fontId="11" type="noConversion"/>
  </si>
  <si>
    <t>RN 585833/5-6</t>
    <phoneticPr fontId="11" type="noConversion"/>
  </si>
  <si>
    <t>SD11641868</t>
    <phoneticPr fontId="11" type="noConversion"/>
  </si>
  <si>
    <t>waichung@chowtaifook.com</t>
    <phoneticPr fontId="11" type="noConversion"/>
  </si>
  <si>
    <t>CTF__867641674091  &amp; 753652787035 _gravityproduction&amp;UAT</t>
    <phoneticPr fontId="11" type="noConversion"/>
  </si>
  <si>
    <t>CL540430</t>
    <phoneticPr fontId="11" type="noConversion"/>
  </si>
  <si>
    <t>RN 627831</t>
    <phoneticPr fontId="11" type="noConversion"/>
  </si>
  <si>
    <t>UD24-00000835\1(OM)</t>
  </si>
  <si>
    <t xml:space="preserve">CTF_867641674091 &amp; 753652787035_gravityproduction&amp;UAT (CL540430)
[12-Apr-2024] Receive C-Order request.
Remark: PS job amount: HKD24,000
PS Job Description: Develop Lambda to add the white frame to the photos in S3 buckets
To setup and Cfg the  Lambda is used for CTF King's Gravity accounts in Production and UAT.
gravityproduction: AWS ID: 867641674091 (CL540430)
gravityuat: AWS ID: 53652787035 (CL542254)
Pending for order issue. Completed CxS directly when order issued and no need to pass to PS team as the job has completed already
[4-Jun-2024] Order issued [CL547449 (749294/1-2)]. Close CxS order on SRD date: 30-Apr-2024 [*Order issued wrongly as I-order]
[Link account:AWS account ID: 726125834629 (CL554149)]
</t>
  </si>
  <si>
    <t>http://10.10.10.209/OASIS_FILE_MANAGER/zip_files_download.php?qid=1233359&amp;serialno=UD24-00001717&amp;itemno=1&amp;token=c06cce3eff3dc4d96de7404e15fc66e1</t>
    <phoneticPr fontId="11" type="noConversion"/>
  </si>
  <si>
    <t>Kenneth Leung</t>
    <phoneticPr fontId="11" type="noConversion"/>
  </si>
  <si>
    <t>2894 3392</t>
    <phoneticPr fontId="11" type="noConversion"/>
  </si>
  <si>
    <t>wkkennethleung@hkhs.com</t>
    <phoneticPr fontId="11" type="noConversion"/>
  </si>
  <si>
    <t>10/F, 1063 Kings Road, Quarry Bay, Hong Kong (Attn: Matthew Chan)</t>
    <phoneticPr fontId="11" type="noConversion"/>
  </si>
  <si>
    <t>CL541044</t>
    <phoneticPr fontId="11" type="noConversion"/>
  </si>
  <si>
    <t>RN 273693</t>
    <phoneticPr fontId="11" type="noConversion"/>
  </si>
  <si>
    <t>UC24-00000962\1(OM)</t>
    <phoneticPr fontId="11" type="noConversion"/>
  </si>
  <si>
    <t>[15-Apr-2024] Receive Order
Remarks: PS job amount: HKD234,000
This order is professional service ONLY. The customer use their existing tenant and won't migrate to HKT at this moment. For order details, please contact Product Manager, Jackie Chan at +852 2883 8581
[16-Apr-2024] Close CxS order</t>
    <phoneticPr fontId="11" type="noConversion"/>
  </si>
  <si>
    <t xml:space="preserve">http://10.10.10.209/OASIS_FILE_MANAGER/zip_files_download.php?qid=1204682&amp;serialno=UC24-00000962&amp;itemno=1&amp;token=1f7415a01d6652b715b0d92d62a0d006 </t>
    <phoneticPr fontId="11" type="noConversion"/>
  </si>
  <si>
    <t>Simon Leung</t>
    <phoneticPr fontId="11" type="noConversion"/>
  </si>
  <si>
    <t>simonleung@nwcs.com.hk</t>
    <phoneticPr fontId="11" type="noConversion"/>
  </si>
  <si>
    <t>19-Apr-204</t>
    <phoneticPr fontId="11" type="noConversion"/>
  </si>
  <si>
    <t>CL541338</t>
  </si>
  <si>
    <t>UE24-00000646\1(OM)</t>
  </si>
  <si>
    <t>[15-Apr-2024] Receive Order
One off charge: HKD869, 500
[19-Apr-2024] Due to AM and ASM request to close CxS order before SRD date. CxS order has closed at 19-Apr-2024</t>
  </si>
  <si>
    <t xml:space="preserve">http://10.10.10.209/OASIS_FILE_MANAGER/zip_files_download.php?qid=1205122&amp;serialno=UE24-00000646&amp;itemno=1&amp;token=3a577825b6b079b72327513261726934 </t>
    <phoneticPr fontId="11" type="noConversion"/>
  </si>
  <si>
    <t>Lam Tam</t>
    <phoneticPr fontId="11" type="noConversion"/>
  </si>
  <si>
    <t>hkt.poc.mib@hkt-cloud.com</t>
    <phoneticPr fontId="11" type="noConversion"/>
  </si>
  <si>
    <t>23087881000193</t>
    <phoneticPr fontId="11" type="noConversion"/>
  </si>
  <si>
    <t>5117113238604573</t>
  </si>
  <si>
    <t>26/F, PCCW Tower, Taikoo Place, Hong Kong, HK</t>
  </si>
  <si>
    <t>CL545759</t>
    <phoneticPr fontId="11" type="noConversion"/>
  </si>
  <si>
    <t>RN 665160/1-2</t>
  </si>
  <si>
    <t>BBSMA24-00000380\1(OM)</t>
  </si>
  <si>
    <t>SD11642824</t>
  </si>
  <si>
    <r>
      <rPr>
        <sz val="11"/>
        <color rgb="FF000000"/>
        <rFont val="Aptos Narrow"/>
        <family val="2"/>
        <scheme val="minor"/>
      </rPr>
      <t xml:space="preserve">[16-Apr-2024] Receive Order to  pre-provisiong Account for MIB SECURITIES (HONG KONG) LIMITED CL548598. 
Sent invition to customer.
[19-Aug-2024] Product Team - Lam has sent email to order Team - Ran to issue order for this UID. Order Log - BBSMA24-380 has been created by Ran </t>
    </r>
    <r>
      <rPr>
        <b/>
        <sz val="11"/>
        <color rgb="FF00B050"/>
        <rFont val="Aptos Narrow"/>
        <family val="2"/>
        <scheme val="minor"/>
      </rPr>
      <t xml:space="preserve">&lt; Bonnie &gt; 
</t>
    </r>
    <r>
      <rPr>
        <sz val="11"/>
        <color rgb="FF000000"/>
        <rFont val="Aptos Narrow"/>
        <family val="2"/>
        <scheme val="minor"/>
      </rPr>
      <t>[20-Aug-24] Receive OASIS order issue
[23-Aug-2024] Close CxS order on SRD: 23-Aug-2024. Inform katie for order mapping</t>
    </r>
  </si>
  <si>
    <t xml:space="preserve">http://10.10.10.209/OASIS_FILE_MANAGER/zip_files_download.php?qid=1277552&amp;serialno=BBSMA24-00000380&amp;itemno=1&amp;token=0cc88db95574e130f1ff0784c353575e </t>
  </si>
  <si>
    <t>Kathy LEE</t>
    <phoneticPr fontId="11" type="noConversion"/>
  </si>
  <si>
    <t>lcy372@ha.org.hk</t>
    <phoneticPr fontId="11" type="noConversion"/>
  </si>
  <si>
    <t>a602dc5b5b3a4a24a785b33d42c81771</t>
    <phoneticPr fontId="11" type="noConversion"/>
  </si>
  <si>
    <t>CP3-ODC-DEV</t>
  </si>
  <si>
    <t>hoitcp3@ha.org.hk</t>
    <phoneticPr fontId="11" type="noConversion"/>
  </si>
  <si>
    <t>3/F, MSC, 30 Gascoigne Road, Kowloon</t>
    <phoneticPr fontId="11" type="noConversion"/>
  </si>
  <si>
    <t>Billing Recipient Email Address: hoitcp3@ha.org.hk; lsy375@ha.org.hk; lcy372@ha.org.hk; tangcw@ha.org.hk; leunghp@ha.org.hk; ckw730@ha.org.hk</t>
    <phoneticPr fontId="11" type="noConversion"/>
  </si>
  <si>
    <t>CL542202</t>
    <phoneticPr fontId="11" type="noConversion"/>
  </si>
  <si>
    <t>RN 635909/7-8</t>
    <phoneticPr fontId="11" type="noConversion"/>
  </si>
  <si>
    <t>UB24-00001721\1(OM)</t>
  </si>
  <si>
    <t>SD11642880</t>
    <phoneticPr fontId="11" type="noConversion"/>
  </si>
  <si>
    <t>[15-Apr-2024] Receive order request
[16-Apr-2024] Account created. Wait until order issued to close CxS
[13-May-2024] Receive Oasis Order. Close CxS order on 01-Apr-2024
[13-May-2024] Inform katie for order mapping</t>
  </si>
  <si>
    <t>Wency</t>
    <phoneticPr fontId="11" type="noConversion"/>
  </si>
  <si>
    <t>hung_chow@lukfook.com</t>
  </si>
  <si>
    <t>LUK FOOK HOLDINGS CO LTD</t>
  </si>
  <si>
    <t>5118018466683405</t>
  </si>
  <si>
    <t>27/F, Metropole SQ, 2 On YIU Street, Sha Tin, NT</t>
  </si>
  <si>
    <t>CL547443</t>
  </si>
  <si>
    <t>RN 632371/1-2</t>
  </si>
  <si>
    <t>UC24-00000930\1(OM)</t>
    <phoneticPr fontId="11" type="noConversion"/>
  </si>
  <si>
    <t>[19-Apr-2024] reserved consumption budget order for UID 5118018466683405</t>
  </si>
  <si>
    <t>http://10.10.10.209/OASIS_FILE_MANAGER/zip_files_download.php?qid=1202232&amp;serialno=UC24-00000930&amp;itemno=1&amp;token=3c7bd89e447a74f822154e4023a9e10e</t>
  </si>
  <si>
    <t>931326598243</t>
  </si>
  <si>
    <t>BEA-BEST-COIN-SBX</t>
    <phoneticPr fontId="11" type="noConversion"/>
  </si>
  <si>
    <t>CL554230</t>
    <phoneticPr fontId="11" type="noConversion"/>
  </si>
  <si>
    <t>RN 630265/1-2</t>
    <phoneticPr fontId="11" type="noConversion"/>
  </si>
  <si>
    <t>UB24-00001800\1(OM)</t>
  </si>
  <si>
    <t>SD11652874</t>
    <phoneticPr fontId="11" type="noConversion"/>
  </si>
  <si>
    <t>[23-Apr-2024] From the reminder of CloudChker, find the have 29 qty AWS may about The BANK OF ASIA, Asking Kaite to issue those order.
Excel Record form Row 567(This Row) to Row 608.
[24-May-2024] Receive order. Close CxS on 24-May-2024</t>
    <phoneticPr fontId="11" type="noConversion"/>
  </si>
  <si>
    <t xml:space="preserve">http://10.10.10.209/OASIS_FILE_MANAGER/zip_files_download.php?qid=1223483&amp;serialno=UB24-00001800&amp;itemno=1&amp;token=87276d7537153c071cf1e3757f9286fb </t>
    <phoneticPr fontId="11" type="noConversion"/>
  </si>
  <si>
    <t>900544297376</t>
  </si>
  <si>
    <t>BEA-SYS-SEC-DEV</t>
  </si>
  <si>
    <t>CL554301</t>
    <phoneticPr fontId="11" type="noConversion"/>
  </si>
  <si>
    <t>RN 630265/3-4</t>
    <phoneticPr fontId="11" type="noConversion"/>
  </si>
  <si>
    <t>[24-May-2024] Receive order. Close CxS on 24-May-2024</t>
    <phoneticPr fontId="11" type="noConversion"/>
  </si>
  <si>
    <t>864536917403</t>
  </si>
  <si>
    <t>BEA-XDO-TST-DEV</t>
  </si>
  <si>
    <t>CL554304</t>
    <phoneticPr fontId="11" type="noConversion"/>
  </si>
  <si>
    <t>RN 630265/5-6</t>
    <phoneticPr fontId="11" type="noConversion"/>
  </si>
  <si>
    <r>
      <t>http://10.10.10.209/OASIS_FILE_MANAGER/zip_files_download.php?qid=1223483&amp;serialno=UB24-00001800&amp;itemno=1&amp;token=87276d7537153c071cf1e3757f9286fb</t>
    </r>
    <r>
      <rPr>
        <u/>
        <sz val="11"/>
        <color theme="10"/>
        <rFont val="Aptos Narrow"/>
        <family val="1"/>
        <charset val="136"/>
        <scheme val="minor"/>
      </rPr>
      <t xml:space="preserve"> </t>
    </r>
  </si>
  <si>
    <t>434177921721</t>
  </si>
  <si>
    <t>BEA-LMG-AIA-UAT</t>
  </si>
  <si>
    <t>CL544273</t>
    <phoneticPr fontId="11" type="noConversion"/>
  </si>
  <si>
    <t>RN 630265/7-8</t>
    <phoneticPr fontId="11" type="noConversion"/>
  </si>
  <si>
    <t>41706630250</t>
  </si>
  <si>
    <t>BEA-FDD-HKBE-SBX</t>
  </si>
  <si>
    <t>CL552432</t>
    <phoneticPr fontId="11" type="noConversion"/>
  </si>
  <si>
    <t>RN 630265/9-10</t>
    <phoneticPr fontId="11" type="noConversion"/>
  </si>
  <si>
    <t>221782790279</t>
  </si>
  <si>
    <t>BEA-SYS-NET-DEV</t>
  </si>
  <si>
    <t>CL552538</t>
    <phoneticPr fontId="11" type="noConversion"/>
  </si>
  <si>
    <t>RN 630265/11-12</t>
    <phoneticPr fontId="11" type="noConversion"/>
  </si>
  <si>
    <t>256874518497</t>
  </si>
  <si>
    <t>BEA-SYS-SEC-PRD</t>
  </si>
  <si>
    <t>CL552687</t>
    <phoneticPr fontId="11" type="noConversion"/>
  </si>
  <si>
    <t>RN 630265/13-14</t>
    <phoneticPr fontId="11" type="noConversion"/>
  </si>
  <si>
    <t>288309189514</t>
  </si>
  <si>
    <t>BEA-LMG-AIA-PRD</t>
  </si>
  <si>
    <t>CL553212</t>
    <phoneticPr fontId="11" type="noConversion"/>
  </si>
  <si>
    <t>RN 630265/15-16</t>
    <phoneticPr fontId="11" type="noConversion"/>
  </si>
  <si>
    <t>180252206650</t>
  </si>
  <si>
    <t>BEA-SYS-IAM-DEV</t>
  </si>
  <si>
    <t>CL553388</t>
    <phoneticPr fontId="11" type="noConversion"/>
  </si>
  <si>
    <t>RN 630265/17-18</t>
    <phoneticPr fontId="11" type="noConversion"/>
  </si>
  <si>
    <t>735595862500</t>
  </si>
  <si>
    <t>BEA-SYS-IAM-PRD</t>
  </si>
  <si>
    <t>CL553581</t>
    <phoneticPr fontId="11" type="noConversion"/>
  </si>
  <si>
    <t>RN 630265/19-20</t>
    <phoneticPr fontId="11" type="noConversion"/>
  </si>
  <si>
    <t>167354520441</t>
  </si>
  <si>
    <t>BEA-BMS-ADM-UAT</t>
  </si>
  <si>
    <t>CL553818</t>
    <phoneticPr fontId="11" type="noConversion"/>
  </si>
  <si>
    <t>RN 630265/21-22</t>
    <phoneticPr fontId="11" type="noConversion"/>
  </si>
  <si>
    <t>458013164510</t>
  </si>
  <si>
    <t>BEA-DSGD-ERD-SBX</t>
  </si>
  <si>
    <t>CL553898</t>
    <phoneticPr fontId="11" type="noConversion"/>
  </si>
  <si>
    <t>RN 630265/23-24</t>
    <phoneticPr fontId="11" type="noConversion"/>
  </si>
  <si>
    <t>[24-May-2024] Receive order. Close CxS on 24-May-2024</t>
  </si>
  <si>
    <t>19992777420</t>
  </si>
  <si>
    <t>BEA-BMS-ADM-PRD</t>
  </si>
  <si>
    <t>CL553985</t>
    <phoneticPr fontId="11" type="noConversion"/>
  </si>
  <si>
    <t>RN 630265/25-26</t>
    <phoneticPr fontId="11" type="noConversion"/>
  </si>
  <si>
    <t>969883589883</t>
  </si>
  <si>
    <t>BEA-XDO-TST-UAT</t>
  </si>
  <si>
    <t>CL553986</t>
    <phoneticPr fontId="11" type="noConversion"/>
  </si>
  <si>
    <t>RN 630265/27-28</t>
    <phoneticPr fontId="11" type="noConversion"/>
  </si>
  <si>
    <t>497687483072</t>
  </si>
  <si>
    <t>BEA-XDO-IAC-UAT</t>
  </si>
  <si>
    <t>RN 630265/29-30</t>
    <phoneticPr fontId="11" type="noConversion"/>
  </si>
  <si>
    <t>23246765081</t>
  </si>
  <si>
    <t>BEA-MNG-OPR-DEV</t>
  </si>
  <si>
    <t>CL554023</t>
    <phoneticPr fontId="11" type="noConversion"/>
  </si>
  <si>
    <t>RN 630265/31-32</t>
    <phoneticPr fontId="11" type="noConversion"/>
  </si>
  <si>
    <t>625204496145</t>
  </si>
  <si>
    <t>BEA-SYS-NET-UAT</t>
  </si>
  <si>
    <t>CL554050</t>
    <phoneticPr fontId="11" type="noConversion"/>
  </si>
  <si>
    <t>RN 630265/33-34</t>
    <phoneticPr fontId="11" type="noConversion"/>
  </si>
  <si>
    <t>548067624435</t>
  </si>
  <si>
    <t>BEA-SYS-SS-UAT</t>
  </si>
  <si>
    <t>CL554060</t>
    <phoneticPr fontId="11" type="noConversion"/>
  </si>
  <si>
    <t>RN 630265/35-36</t>
    <phoneticPr fontId="11" type="noConversion"/>
  </si>
  <si>
    <t>285235077282</t>
  </si>
  <si>
    <t>BEA-SYS-LOG-UAT</t>
  </si>
  <si>
    <t>CL554067</t>
    <phoneticPr fontId="11" type="noConversion"/>
  </si>
  <si>
    <t>RN 630265/37-38</t>
    <phoneticPr fontId="11" type="noConversion"/>
  </si>
  <si>
    <t>843733946244</t>
  </si>
  <si>
    <t>BEA-ICC-MBK-DEV</t>
  </si>
  <si>
    <t>CL554087</t>
    <phoneticPr fontId="11" type="noConversion"/>
  </si>
  <si>
    <t>RN 630265/39-40</t>
    <phoneticPr fontId="11" type="noConversion"/>
  </si>
  <si>
    <t>675216751684</t>
  </si>
  <si>
    <t>BEA-MNG-OPR-PRD</t>
  </si>
  <si>
    <t>CL554334</t>
    <phoneticPr fontId="11" type="noConversion"/>
  </si>
  <si>
    <t>RN 630265/41-42</t>
    <phoneticPr fontId="11" type="noConversion"/>
  </si>
  <si>
    <t>670204192575</t>
  </si>
  <si>
    <t>BEA-KMS-PRD</t>
  </si>
  <si>
    <t>CL554344</t>
    <phoneticPr fontId="11" type="noConversion"/>
  </si>
  <si>
    <t>RN 630265/43-44</t>
    <phoneticPr fontId="11" type="noConversion"/>
  </si>
  <si>
    <t>17188564427</t>
  </si>
  <si>
    <t>BEA-BMS-ADM-DEV</t>
  </si>
  <si>
    <t>CL554378</t>
    <phoneticPr fontId="11" type="noConversion"/>
  </si>
  <si>
    <t>RN 630265/45-46</t>
    <phoneticPr fontId="11" type="noConversion"/>
  </si>
  <si>
    <t>659112390610</t>
  </si>
  <si>
    <t>BEA-SYS-LOG-DEV</t>
  </si>
  <si>
    <t>CL554391</t>
    <phoneticPr fontId="11" type="noConversion"/>
  </si>
  <si>
    <t>RN 630265/47-48</t>
    <phoneticPr fontId="11" type="noConversion"/>
  </si>
  <si>
    <t>661012673246</t>
  </si>
  <si>
    <t>BEA-XDO-IAC-DEV</t>
  </si>
  <si>
    <t>CL554409</t>
    <phoneticPr fontId="11" type="noConversion"/>
  </si>
  <si>
    <t>RN 630265/49-50</t>
    <phoneticPr fontId="11" type="noConversion"/>
  </si>
  <si>
    <t>328737537445</t>
  </si>
  <si>
    <t>BEA-MNG-OPR-UAT</t>
  </si>
  <si>
    <t>CL554425</t>
    <phoneticPr fontId="11" type="noConversion"/>
  </si>
  <si>
    <t>RN 630265/51-52</t>
    <phoneticPr fontId="11" type="noConversion"/>
  </si>
  <si>
    <t>894849410890</t>
  </si>
  <si>
    <t>BEA-SYS-LOG-PRD</t>
  </si>
  <si>
    <t>CL554455</t>
    <phoneticPr fontId="11" type="noConversion"/>
  </si>
  <si>
    <t>RN 630265/53-54</t>
    <phoneticPr fontId="11" type="noConversion"/>
  </si>
  <si>
    <t>331486673110</t>
  </si>
  <si>
    <t>BEA-KMS-UAT</t>
  </si>
  <si>
    <t>CL554522</t>
    <phoneticPr fontId="11" type="noConversion"/>
  </si>
  <si>
    <t>RN 630265/55-56</t>
    <phoneticPr fontId="11" type="noConversion"/>
  </si>
  <si>
    <t>697382302860</t>
  </si>
  <si>
    <t>BEA-XDO-IAC-PRD</t>
  </si>
  <si>
    <t>CL554573</t>
    <phoneticPr fontId="11" type="noConversion"/>
  </si>
  <si>
    <t>RN 630265/57-58</t>
    <phoneticPr fontId="11" type="noConversion"/>
  </si>
  <si>
    <t>614830240161</t>
  </si>
  <si>
    <t>BEA-FDD-UDPN-SBX</t>
  </si>
  <si>
    <t>CL554579</t>
    <phoneticPr fontId="11" type="noConversion"/>
  </si>
  <si>
    <t>RN 630265/59-60</t>
    <phoneticPr fontId="11" type="noConversion"/>
  </si>
  <si>
    <t>691340942133</t>
  </si>
  <si>
    <t>BEA-TST-DEV</t>
  </si>
  <si>
    <t>CL554638</t>
    <phoneticPr fontId="11" type="noConversion"/>
  </si>
  <si>
    <t>RN 630265/61-62</t>
    <phoneticPr fontId="11" type="noConversion"/>
  </si>
  <si>
    <t>249411106642</t>
  </si>
  <si>
    <t>BEA-XDO-TST-PRD</t>
  </si>
  <si>
    <t>CL554666</t>
    <phoneticPr fontId="11" type="noConversion"/>
  </si>
  <si>
    <t>RN 630265/63-64</t>
    <phoneticPr fontId="11" type="noConversion"/>
  </si>
  <si>
    <t>750658152329</t>
  </si>
  <si>
    <t>BEA-SYS-IAM-UAT</t>
  </si>
  <si>
    <t>CL554684</t>
    <phoneticPr fontId="11" type="noConversion"/>
  </si>
  <si>
    <t>RN 630265/65-66</t>
    <phoneticPr fontId="11" type="noConversion"/>
  </si>
  <si>
    <t>623844726074</t>
  </si>
  <si>
    <t>BEA-KMS-DEV</t>
  </si>
  <si>
    <t>CL554717</t>
    <phoneticPr fontId="11" type="noConversion"/>
  </si>
  <si>
    <t>RN 630265/67-68</t>
    <phoneticPr fontId="11" type="noConversion"/>
  </si>
  <si>
    <t>152850347039</t>
  </si>
  <si>
    <t>BEA-LMG-AIA-DEV</t>
  </si>
  <si>
    <t>CL554726</t>
    <phoneticPr fontId="11" type="noConversion"/>
  </si>
  <si>
    <t>RN 630265/69-70</t>
    <phoneticPr fontId="11" type="noConversion"/>
  </si>
  <si>
    <t>199486872613</t>
  </si>
  <si>
    <t>BEA-RAN-PRD</t>
  </si>
  <si>
    <t>CL554744</t>
    <phoneticPr fontId="11" type="noConversion"/>
  </si>
  <si>
    <t>RN 630265/71-72</t>
    <phoneticPr fontId="11" type="noConversion"/>
  </si>
  <si>
    <t>555344966285</t>
  </si>
  <si>
    <t>BEA-SYS-SS-DEV</t>
  </si>
  <si>
    <t>CL554745</t>
    <phoneticPr fontId="11" type="noConversion"/>
  </si>
  <si>
    <t>RN 630265/73-74</t>
    <phoneticPr fontId="11" type="noConversion"/>
  </si>
  <si>
    <t>660349120858</t>
  </si>
  <si>
    <t>BEA-SYS-SEC-UAT</t>
  </si>
  <si>
    <t>CL554746</t>
    <phoneticPr fontId="11" type="noConversion"/>
  </si>
  <si>
    <t>RN 630265/75-76</t>
    <phoneticPr fontId="11" type="noConversion"/>
  </si>
  <si>
    <t>BEA-SYS-SS-PRD</t>
  </si>
  <si>
    <t>CL554756</t>
    <phoneticPr fontId="11" type="noConversion"/>
  </si>
  <si>
    <t>RN 630265/77-78</t>
    <phoneticPr fontId="11" type="noConversion"/>
  </si>
  <si>
    <t>[23-Apr-2024] From the reminder of CloudChker, find the have 29 qty AWS may about The BANK OF ASIA, Asking Kaite to issue those order.
Excel Record end form Row form 567
[24-May-2024] Receive order. Close CxS on 24-May-2024</t>
    <phoneticPr fontId="11" type="noConversion"/>
  </si>
  <si>
    <t>dc8d9caa6240447082abf51a3add70e0</t>
  </si>
  <si>
    <t>T6-ODC-DEV</t>
    <phoneticPr fontId="11" type="noConversion"/>
  </si>
  <si>
    <t>hoitt6support@ha.org.hk</t>
  </si>
  <si>
    <t>8/F.,HSHQ,1 Trademart Drive, Kowloon Bay, Kowloon</t>
  </si>
  <si>
    <t>Billing Recipient Email Address: hoitt6support@ha.org.hk; john.pun@ha.org.hk; lct893@ha.org.hk; clt207@ha.org.hk; aldan.lau@ha.org.hk; harvey.chow@ha.org.hk</t>
  </si>
  <si>
    <t>CL543522</t>
    <phoneticPr fontId="11" type="noConversion"/>
  </si>
  <si>
    <t>RN 635909/9-10</t>
    <phoneticPr fontId="11" type="noConversion"/>
  </si>
  <si>
    <t>SD11645488</t>
    <phoneticPr fontId="11" type="noConversion"/>
  </si>
  <si>
    <t>[25-Apr-2024] Receive order request
[26-Apr-2024] Account created. SD ticket updated. Wait order issued to close CxS
[13-May-2024] Receive Oasis Order. Close CxS order on 01-Apr-2024
[13-May-2024] Inform katie for order mapping</t>
  </si>
  <si>
    <t>654654423509</t>
  </si>
  <si>
    <t>EHP11-ECMC-PPM</t>
    <phoneticPr fontId="11" type="noConversion"/>
  </si>
  <si>
    <t>ecmccsppm@ha.org.hk</t>
  </si>
  <si>
    <t>12/F, HSHQ, Kln. Bay</t>
  </si>
  <si>
    <t>Billing Recipient Email Address: ecmccsppm@ha.org.hk; lowlw@ha.org.hk; ckh148@ha.org.hk</t>
  </si>
  <si>
    <t>CL544008</t>
  </si>
  <si>
    <t>RN 325859/3-4</t>
    <phoneticPr fontId="11" type="noConversion"/>
  </si>
  <si>
    <t>UB24-00002306\1(OM)</t>
  </si>
  <si>
    <t>SD11655917</t>
  </si>
  <si>
    <t>[26-Apr-2024] Receive order request
[26-Apr-2024] Account created
[04-Jun-24] Receive Katie Email call Bonnie Yeung submit the Order
[7-Jun-2024] Order issued. Close CxS order on 03-May-2024. Case close for SD11655917</t>
    <phoneticPr fontId="11" type="noConversion"/>
  </si>
  <si>
    <t>8dc9211738ed4b8f90dea3c82f6220ca</t>
  </si>
  <si>
    <t>T6-ODC-PRD</t>
    <phoneticPr fontId="11" type="noConversion"/>
  </si>
  <si>
    <t>t6support1st@ha.org.hk</t>
  </si>
  <si>
    <t>Billing Recipient Email Address:: t6support1st@ha.org.hk; john.pun@ha.org.hk; lct893@ha.org.hk; clt207@ha.org.hk; aldan.lau@ha.org.hk; harvey.chow@ha.org.hk</t>
  </si>
  <si>
    <t>CL546481</t>
  </si>
  <si>
    <t>RN 325859/5-6</t>
  </si>
  <si>
    <t>SD11647072</t>
  </si>
  <si>
    <t>[2-May-2024] Receive order request
[3-May-2024] Account created. SD ticket updated. Wait order issued to close CxS
[04-Jun-24] Receive Katie Email call Bonnie Yeung submit the Order
[7-Jun-2024] Order issue. Close CxS Order on 03-May-2024. Close SD11647072.</t>
    <phoneticPr fontId="11" type="noConversion"/>
  </si>
  <si>
    <t>Wency</t>
  </si>
  <si>
    <t>http://10.10.10.209/OASIS_FILE_MANAGER/zip_files_download.php?qid=1234772&amp;serialno=UB24-00002306&amp;itemno=1&amp;token=a964a32236e9d92cb29b0b25f27a5288</t>
  </si>
  <si>
    <t>Ivan Wan</t>
    <phoneticPr fontId="11" type="noConversion"/>
  </si>
  <si>
    <t>ivanwan@youthsquare.hk</t>
    <phoneticPr fontId="11" type="noConversion"/>
  </si>
  <si>
    <t>301752889811</t>
  </si>
  <si>
    <t>NWFM-Youth-Square</t>
  </si>
  <si>
    <t>7/F, CTR For Youth Dev, 238 Chai Wan Road, Chai Wan, HK</t>
  </si>
  <si>
    <t>CL548150</t>
    <phoneticPr fontId="11" type="noConversion"/>
  </si>
  <si>
    <t>RN 383893/1-2</t>
    <phoneticPr fontId="11" type="noConversion"/>
  </si>
  <si>
    <t>UE24-00001235\1(OM)</t>
    <phoneticPr fontId="11" type="noConversion"/>
  </si>
  <si>
    <t>SD11650427</t>
    <phoneticPr fontId="11" type="noConversion"/>
  </si>
  <si>
    <r>
      <t xml:space="preserve">[16-May-2024] Order Issued
</t>
    </r>
    <r>
      <rPr>
        <b/>
        <sz val="11"/>
        <color theme="1"/>
        <rFont val="Aptos Narrow"/>
        <family val="1"/>
        <charset val="136"/>
        <scheme val="minor"/>
      </rPr>
      <t>Remarks: One-off charge: $210,000, for acc ID 301752889811</t>
    </r>
    <r>
      <rPr>
        <sz val="11"/>
        <color theme="1"/>
        <rFont val="Aptos Narrow"/>
        <family val="2"/>
        <scheme val="minor"/>
      </rPr>
      <t xml:space="preserve">
[17-May-2024] Close CxS Order on SRD Date: 17-May-2024</t>
    </r>
  </si>
  <si>
    <t xml:space="preserve">http://10.10.10.209/OASIS_FILE_MANAGER/zip_files_download.php?qid=1222506&amp;serialno=UE24-00001235&amp;itemno=1&amp;token=3a577825b6b079b72327513261726934 </t>
    <phoneticPr fontId="11" type="noConversion"/>
  </si>
  <si>
    <t>Seamus Xie</t>
    <phoneticPr fontId="11" type="noConversion"/>
  </si>
  <si>
    <t>9099 9565 / 3543 1189</t>
    <phoneticPr fontId="11" type="noConversion"/>
  </si>
  <si>
    <t>seamus@fano.ai</t>
    <phoneticPr fontId="11" type="noConversion"/>
  </si>
  <si>
    <t>339713130246</t>
    <phoneticPr fontId="11" type="noConversion"/>
  </si>
  <si>
    <t>fanolabs</t>
    <phoneticPr fontId="11" type="noConversion"/>
  </si>
  <si>
    <t>aws@fano.ai</t>
    <phoneticPr fontId="11" type="noConversion"/>
  </si>
  <si>
    <t>CL544959</t>
    <phoneticPr fontId="11" type="noConversion"/>
  </si>
  <si>
    <t>RN 308316/1-2</t>
    <phoneticPr fontId="11" type="noConversion"/>
  </si>
  <si>
    <t>TI24-00004399\1(OM)</t>
    <phoneticPr fontId="11" type="noConversion"/>
  </si>
  <si>
    <t>SD11650795</t>
    <phoneticPr fontId="11" type="noConversion"/>
  </si>
  <si>
    <r>
      <t xml:space="preserve">[17-May-2024] Order issued
</t>
    </r>
    <r>
      <rPr>
        <b/>
        <sz val="11"/>
        <color theme="1"/>
        <rFont val="Aptos Narrow"/>
        <family val="1"/>
        <charset val="136"/>
        <scheme val="minor"/>
      </rPr>
      <t>Remarks: Managed Service - T1 is included</t>
    </r>
    <r>
      <rPr>
        <sz val="11"/>
        <color theme="1"/>
        <rFont val="Aptos Narrow"/>
        <family val="2"/>
        <scheme val="minor"/>
      </rPr>
      <t xml:space="preserve">
[22-May-2024] Sent email to Ingram to inform the account migration.
[23-May-2024] Send welcome letter to remind customer accept invitation
[24-My-2024] Close CxS order on 24-May-2024
Pening customer onboaring and create cloudcheckr account then send welcome letter
[3-Jun-2024] Created billing account and send the welcome to customer.</t>
    </r>
  </si>
  <si>
    <t>T1</t>
    <phoneticPr fontId="11" type="noConversion"/>
  </si>
  <si>
    <t>http://10.10.10.209/OASIS_FILE_MANAGER/zip_files_download.php?qid=1223672&amp;serialno=TI24-00004399&amp;itemno=1&amp;token=72562a8b90be655179037c2190c3172e</t>
    <phoneticPr fontId="11" type="noConversion"/>
  </si>
  <si>
    <t>Ridley Man</t>
    <phoneticPr fontId="11" type="noConversion"/>
  </si>
  <si>
    <t>9277 4031 / 2207 2688</t>
    <phoneticPr fontId="11" type="noConversion"/>
  </si>
  <si>
    <t>ridley.man@shacombank.com.hk</t>
    <phoneticPr fontId="11" type="noConversion"/>
  </si>
  <si>
    <t>Shacom Bank Payer</t>
    <phoneticPr fontId="11" type="noConversion"/>
  </si>
  <si>
    <t>aws.billing@shacombank.com.hk</t>
    <phoneticPr fontId="11" type="noConversion"/>
  </si>
  <si>
    <t>CL542616</t>
  </si>
  <si>
    <t>RN 715962</t>
    <phoneticPr fontId="11" type="noConversion"/>
  </si>
  <si>
    <t>UB24-00001859\1(OM)</t>
    <phoneticPr fontId="11" type="noConversion"/>
  </si>
  <si>
    <t>SD11651293</t>
    <phoneticPr fontId="11" type="noConversion"/>
  </si>
  <si>
    <r>
      <rPr>
        <sz val="11"/>
        <color rgb="FF000000"/>
        <rFont val="Aptos Narrow"/>
        <family val="2"/>
        <scheme val="minor"/>
      </rPr>
      <t xml:space="preserve">[20-May-2024] Order Issued
</t>
    </r>
    <r>
      <rPr>
        <b/>
        <sz val="11"/>
        <color rgb="FF000000"/>
        <rFont val="Aptos Narrow"/>
        <family val="2"/>
        <scheme val="minor"/>
      </rPr>
      <t xml:space="preserve">Remarks: Managed Service - T1 is required
</t>
    </r>
    <r>
      <rPr>
        <sz val="11"/>
        <color rgb="FF000000"/>
        <rFont val="Aptos Narrow"/>
        <family val="2"/>
        <scheme val="minor"/>
      </rPr>
      <t>AWS account is managed by another AWS partner currently. Migrate the account to Shacombank (by 30-Jun-2024), then next migrate to HKT (01-Jul-2024)
[08-Aug-2024] Close CxS order on SRD: 01-Jul-2024 as migration has been done. For the 6 x accounts under this master account, need to wait for the order issue. 
[16-Aug-24] Grand the right and Welcome Letter send to gordon.tsang@shacombank.com.hk, it_admin@shacombank.com.hk by Kelvin (SD11676385)</t>
    </r>
  </si>
  <si>
    <t>http://10.10.10.209/OASIS_FILE_MANAGER/zip_files_download.php?qid=1224843&amp;serialno=UB24-00001859&amp;itemno=1&amp;token=61ab8cd8d23432b22af0854ed48ab6cf</t>
    <phoneticPr fontId="11" type="noConversion"/>
  </si>
  <si>
    <t>2610 8769 / 9032 3685</t>
    <phoneticPr fontId="11" type="noConversion"/>
  </si>
  <si>
    <t>471112612075</t>
  </si>
  <si>
    <t>Clud_APP</t>
    <phoneticPr fontId="11" type="noConversion"/>
  </si>
  <si>
    <t>CL546252</t>
    <phoneticPr fontId="11" type="noConversion"/>
  </si>
  <si>
    <t>RN 204524/1-2</t>
    <phoneticPr fontId="11" type="noConversion"/>
  </si>
  <si>
    <t>UD24-00001552\1(OM)</t>
    <phoneticPr fontId="11" type="noConversion"/>
  </si>
  <si>
    <t>SD11651585</t>
    <phoneticPr fontId="11" type="noConversion"/>
  </si>
  <si>
    <t>[21-May-2024] Back Date Order Issued
[21-May-2024] Close CxS Order on SRD date: 30-Apr-2024 and close SD ticket
[22-May-2024] Inform katie for order mapping</t>
  </si>
  <si>
    <t>http://10.10.10.209/OASIS_FILE_MANAGER/zip_files_download.php?qid=1225407&amp;serialno=UD24-00001552&amp;itemno=1&amp;token=e3c8c002a5d723f8cc9ec5a10009fe8f</t>
    <phoneticPr fontId="11" type="noConversion"/>
  </si>
  <si>
    <t>533267180918</t>
  </si>
  <si>
    <t>Eventmenagement_Prod</t>
    <phoneticPr fontId="11" type="noConversion"/>
  </si>
  <si>
    <t>CL546301</t>
    <phoneticPr fontId="11" type="noConversion"/>
  </si>
  <si>
    <t>RN 204524/3-4</t>
    <phoneticPr fontId="11" type="noConversion"/>
  </si>
  <si>
    <t>SD11651621</t>
    <phoneticPr fontId="11" type="noConversion"/>
  </si>
  <si>
    <t>533267302420</t>
  </si>
  <si>
    <t>Eventmenagement_UAT</t>
    <phoneticPr fontId="11" type="noConversion"/>
  </si>
  <si>
    <t>CL546963</t>
    <phoneticPr fontId="11" type="noConversion"/>
  </si>
  <si>
    <t>RN 204524/5-6</t>
    <phoneticPr fontId="11" type="noConversion"/>
  </si>
  <si>
    <t>SD11651642</t>
    <phoneticPr fontId="11" type="noConversion"/>
  </si>
  <si>
    <t>905418435356</t>
  </si>
  <si>
    <t>REVAMP_PRD</t>
    <phoneticPr fontId="11" type="noConversion"/>
  </si>
  <si>
    <t>CL547917</t>
    <phoneticPr fontId="11" type="noConversion"/>
  </si>
  <si>
    <t>RN 204524/7-8</t>
    <phoneticPr fontId="11" type="noConversion"/>
  </si>
  <si>
    <t>SD11651629</t>
    <phoneticPr fontId="11" type="noConversion"/>
  </si>
  <si>
    <t>REVAMP</t>
    <phoneticPr fontId="11" type="noConversion"/>
  </si>
  <si>
    <t>CL548219</t>
    <phoneticPr fontId="11" type="noConversion"/>
  </si>
  <si>
    <t>RN  for Chow Tai Fook</t>
    <phoneticPr fontId="11" type="noConversion"/>
  </si>
  <si>
    <t>SD11651632</t>
    <phoneticPr fontId="11" type="noConversion"/>
  </si>
  <si>
    <t>Steven Fung</t>
    <phoneticPr fontId="11" type="noConversion"/>
  </si>
  <si>
    <t>2883 7140 / 9195 0517</t>
    <phoneticPr fontId="11" type="noConversion"/>
  </si>
  <si>
    <t>steven.kc.fung@pccw.com</t>
    <phoneticPr fontId="11" type="noConversion"/>
  </si>
  <si>
    <t>851725640244</t>
  </si>
  <si>
    <t>HKT_EMS_ITSM</t>
  </si>
  <si>
    <t xml:space="preserve">26/F, PCCW Tower </t>
    <phoneticPr fontId="11" type="noConversion"/>
  </si>
  <si>
    <t>CL551216</t>
  </si>
  <si>
    <t xml:space="preserve">RN 69828/1-2 </t>
    <phoneticPr fontId="11" type="noConversion"/>
  </si>
  <si>
    <t>BBSMA24-00000193\1(OM)</t>
    <phoneticPr fontId="11" type="noConversion"/>
  </si>
  <si>
    <t>SD11652280</t>
  </si>
  <si>
    <r>
      <rPr>
        <b/>
        <sz val="11"/>
        <color theme="1"/>
        <rFont val="Aptos Narrow"/>
        <family val="1"/>
        <charset val="136"/>
        <scheme val="minor"/>
      </rPr>
      <t>Remarks: This is an internal order to setup AWS account for HKT EMS ITSM_MX Project. Billing consolidation for HKT internal BU</t>
    </r>
    <r>
      <rPr>
        <sz val="11"/>
        <color theme="1"/>
        <rFont val="Aptos Narrow"/>
        <family val="2"/>
        <scheme val="minor"/>
      </rPr>
      <t xml:space="preserve">
[23-May-2024] Order Issued
Sent email to Ingram to inform the account migration.
Send welcome letter to remind customer accept invitation.</t>
    </r>
    <r>
      <rPr>
        <sz val="11"/>
        <color theme="1"/>
        <rFont val="Aptos Narrow"/>
        <family val="1"/>
        <charset val="136"/>
        <scheme val="minor"/>
      </rPr>
      <t xml:space="preserve">
[24-May-2024] Close CxS order on 24-May-2024
[27-May-2024] Create CloudCheckr account after onboard then send welcome letter</t>
    </r>
  </si>
  <si>
    <t>http://10.10.10.209/OASIS_FILE_MANAGER/zip_files_download.php?qid=1227380&amp;serialno=BBSMA24-00000193&amp;itemno=1&amp;token=0cc88db95574e130f1ff0784c353575e</t>
    <phoneticPr fontId="11" type="noConversion"/>
  </si>
  <si>
    <t>Aaron Huang</t>
    <phoneticPr fontId="11" type="noConversion"/>
  </si>
  <si>
    <t>2516 8911 (ext: 7832)</t>
    <phoneticPr fontId="11" type="noConversion"/>
  </si>
  <si>
    <t>aaron.huang@gammonconstruction.com / Alan.Kong@gammonconstruction.com</t>
    <phoneticPr fontId="11" type="noConversion"/>
  </si>
  <si>
    <t>0168A6-743E94-14C4FB</t>
    <phoneticPr fontId="11" type="noConversion"/>
  </si>
  <si>
    <t>GAMMON CONSTRUCTION LTD - HKT</t>
    <phoneticPr fontId="11" type="noConversion"/>
  </si>
  <si>
    <t>gambot2.gambot2@gmail.com</t>
  </si>
  <si>
    <t>22/F TOWER 1 THE QUAYSIDE, 77 HOI BUN ROAD , KWUN TONG KOWLOON</t>
    <phoneticPr fontId="11" type="noConversion"/>
  </si>
  <si>
    <t>CL540585</t>
    <phoneticPr fontId="11" type="noConversion"/>
  </si>
  <si>
    <t>RN 567323/1-2</t>
  </si>
  <si>
    <t>UC24-00002426\1(OM)</t>
    <phoneticPr fontId="11" type="noConversion"/>
  </si>
  <si>
    <t>SD11654678</t>
    <phoneticPr fontId="11" type="noConversion"/>
  </si>
  <si>
    <r>
      <rPr>
        <b/>
        <sz val="11"/>
        <color theme="1"/>
        <rFont val="Aptos Display"/>
        <family val="1"/>
        <charset val="136"/>
        <scheme val="major"/>
      </rPr>
      <t>Remarks: Managed Service - T1 is required</t>
    </r>
    <r>
      <rPr>
        <sz val="11"/>
        <color theme="1"/>
        <rFont val="Aptos Display"/>
        <family val="1"/>
        <charset val="136"/>
        <scheme val="major"/>
      </rPr>
      <t xml:space="preserve">
[31-May-2024} Order Issued
[3-Jun-2024] Account Created
[7-Jun-2024] Added gambot2.gambot2@gmail.com into Billing administrator role
[8-Jun-2024] Checked custoemr linked a project. Welcome letter issued.
[11-Jun-2024] Close CxS Order on 07-Jun-2024</t>
    </r>
  </si>
  <si>
    <t>http://10.10.10.209/OASIS_FILE_MANAGER/zip_files_download.php?qid=1232158&amp;serialno=UC24-00002426&amp;itemno=1&amp;token=3c7bd89e447a74f822154e4023a9e10e</t>
    <phoneticPr fontId="11" type="noConversion"/>
  </si>
  <si>
    <t>donng@nwcs.com.hk</t>
  </si>
  <si>
    <t>637423491964</t>
  </si>
  <si>
    <t>nwcs-aws-cms-nonprd</t>
  </si>
  <si>
    <t>nwcs_aws_cms_nonprd@nwcs.com.hk</t>
  </si>
  <si>
    <t>CL548235</t>
  </si>
  <si>
    <t>RN 335010/1-2</t>
  </si>
  <si>
    <t>UE24-00001919\1(OM)</t>
  </si>
  <si>
    <t>SD11658342</t>
  </si>
  <si>
    <t>[03-Jun-2024]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t>
  </si>
  <si>
    <t xml:space="preserve">http://10.10.10.209/OASIS_FILE_MANAGER/zip_files_download.php?qid=1240096&amp;serialno=UE24-00001919&amp;itemno=1&amp;token=3a577825b6b079b72327513261726934 </t>
  </si>
  <si>
    <t>39192384 / 95198740</t>
  </si>
  <si>
    <t xml:space="preserve">kin.luk@ha.org.hk </t>
  </si>
  <si>
    <t>HA11-UCS-PROD</t>
    <phoneticPr fontId="11" type="noConversion"/>
  </si>
  <si>
    <t>ucspubcloudprd@ha.org.hk</t>
    <phoneticPr fontId="11" type="noConversion"/>
  </si>
  <si>
    <t>CL544670</t>
    <phoneticPr fontId="11" type="noConversion"/>
  </si>
  <si>
    <t>RN 173195/1-2</t>
    <phoneticPr fontId="11" type="noConversion"/>
  </si>
  <si>
    <t>UB24-00002226\1(OM)</t>
  </si>
  <si>
    <t>SD11655208</t>
    <phoneticPr fontId="11" type="noConversion"/>
  </si>
  <si>
    <t>[3-Jun-2024] Order issued for billing
[3-Jun-2024] Close CxS order on 1-Apr-2024</t>
    <phoneticPr fontId="11" type="noConversion"/>
  </si>
  <si>
    <t>http://10.10.10.209/OASIS_FILE_MANAGER/zip_files_download.php?qid=1232902&amp;serialno=UB24-00002226&amp;itemno=1&amp;token=a964a32236e9d92cb29b0b25f27a5288</t>
  </si>
  <si>
    <t>730335200496</t>
  </si>
  <si>
    <t>EHP11-ECMC-PRD</t>
    <phoneticPr fontId="11" type="noConversion"/>
  </si>
  <si>
    <t>ecmccsprod@ha.org.hk</t>
    <phoneticPr fontId="11" type="noConversion"/>
  </si>
  <si>
    <t>12/F, HSHQ, Kln. Bay</t>
    <phoneticPr fontId="11" type="noConversion"/>
  </si>
  <si>
    <t>Billing Recipient Email Address: ecmccsprod@ha.org.hk; lowlw@ha.org.hk; ckh148@ha.org.hk</t>
    <phoneticPr fontId="11" type="noConversion"/>
  </si>
  <si>
    <t>CL548255</t>
  </si>
  <si>
    <t>RN 325859/7-8</t>
    <phoneticPr fontId="11" type="noConversion"/>
  </si>
  <si>
    <t>SD11655961</t>
  </si>
  <si>
    <t>[26-Apr-2024] Receive order request
[26-Apr-2024] Account created
[04-Jun-24] Receive Katie Email call Bonnie Yeung submit the Order
[7-Jun-2024] Order issued. Close CxS order on 03-May-2024. Case close for SD11655961.</t>
    <phoneticPr fontId="11" type="noConversion"/>
  </si>
  <si>
    <t xml:space="preserve">camssupport@ha.org.hk;
chk528@ha.org.hk; 
gavin.chan@ha.org.hk; </t>
  </si>
  <si>
    <t>HA11-CAMS-PROD</t>
    <phoneticPr fontId="11" type="noConversion"/>
  </si>
  <si>
    <t xml:space="preserve">camssupport@ha.org.hk </t>
    <phoneticPr fontId="11" type="noConversion"/>
  </si>
  <si>
    <t>G/F, Blk. A, Hospital Authority Information Technology Block, 147A Argyle Street, Mongkok, Kowloon</t>
  </si>
  <si>
    <t>Billing Recipient Email Address: camssupport@ha.org.hk; chk528@ha.org.hk; gavin.chan@ha.org.hk</t>
  </si>
  <si>
    <t>CL552807</t>
  </si>
  <si>
    <t>RN 733132/1-2</t>
  </si>
  <si>
    <t>UB24-00003983\1(OM)</t>
  </si>
  <si>
    <t>SD11655962</t>
  </si>
  <si>
    <t>[05-Jun-24] Receive order request. Waiting for Account Create
[13-Jun-24] Sent Email to Katie to issue the Order
[05-Aug-24] Katie send email to Bonnie Yeung to issue the Order
[07-Aug-24] Order issued. inform Katie the mapping list of Huawei accounts. Close CxS order on SRD: 01-Jul-2024</t>
    <phoneticPr fontId="11" type="noConversion"/>
  </si>
  <si>
    <t>http://10.10.10.209/OASIS_FILE_MANAGER/zip_files_download.php?qid=1269847&amp;serialno=UB24-00003983&amp;itemno=1&amp;token=a964a32236e9d92cb29b0b25f27a5288</t>
  </si>
  <si>
    <t>c5043c827da046a2ace565d7d051124c</t>
  </si>
  <si>
    <t>T7-IGS-PRD</t>
  </si>
  <si>
    <t>8/F.,HSHQ,8 Lam Chak Street, Kowloon Bay, Kowloon</t>
  </si>
  <si>
    <t>Billing Recipient Email Address: t7support@ha.org.hk; lewis.lau@ha.org.hk; alan.chan@ha.org.hk</t>
  </si>
  <si>
    <t>CL541882</t>
  </si>
  <si>
    <t>RN 114088/1-2</t>
  </si>
  <si>
    <t>[UB24-00003448\1(OM)]</t>
  </si>
  <si>
    <t>SD11657875</t>
  </si>
  <si>
    <t>[06-Jun-24] Receive Account Createation request.
[13-Jun-2024] Huawei Account Created
[18-Jul-2024] Inform Katie the mapping list of Huawei accounts. Close CxS order on SRD: 01-Jun-2024</t>
    <phoneticPr fontId="11" type="noConversion"/>
  </si>
  <si>
    <t xml:space="preserve">http://10.10.10.209/OASIS_FILE_MANAGER/zip_files_download.php?qid=1258109&amp;serialno=UB24-00003448&amp;itemno=1&amp;token=a964a32236e9d92cb29b0b25f27a5288 </t>
  </si>
  <si>
    <t>Minnie T Y Liu</t>
  </si>
  <si>
    <t>2183 5703</t>
  </si>
  <si>
    <t>838776425275</t>
  </si>
  <si>
    <t>AIRPORT Authority Payer</t>
  </si>
  <si>
    <t>Billing Contact: Minnie Liu (M: 9322 9961), email: minnie.ty.liu@hkairport.com</t>
  </si>
  <si>
    <t>CL543975</t>
  </si>
  <si>
    <t>RN 566636/1-2</t>
  </si>
  <si>
    <t>UB24-00002350\1(OM)</t>
  </si>
  <si>
    <t>SD11656473</t>
  </si>
  <si>
    <r>
      <rPr>
        <b/>
        <strike/>
        <sz val="11"/>
        <color rgb="FF000000"/>
        <rFont val="Aptos Narrow"/>
        <family val="2"/>
        <scheme val="minor"/>
      </rPr>
      <t xml:space="preserve">[7-Jun-2024] Order Issued for the Provision of AWS Subscription (HKAA - ZAPIG) - NAT gateway
Remarks: Configuration Charge $271,722.09
</t>
    </r>
    <r>
      <rPr>
        <b/>
        <sz val="11"/>
        <color rgb="FF000000"/>
        <rFont val="Aptos Narrow"/>
        <family val="2"/>
        <scheme val="minor"/>
      </rPr>
      <t>[26-Jun-2024] Because sales miss understand i-Order and C-Order Process, so wrong issue order of ZAPIG (Order Before)
So now change this I-order from "</t>
    </r>
    <r>
      <rPr>
        <b/>
        <u/>
        <sz val="11"/>
        <color rgb="FF000000"/>
        <rFont val="Aptos Narrow"/>
        <family val="2"/>
        <scheme val="minor"/>
      </rPr>
      <t>ZAPIG</t>
    </r>
    <r>
      <rPr>
        <b/>
        <sz val="11"/>
        <color rgb="FF000000"/>
        <rFont val="Aptos Narrow"/>
        <family val="2"/>
        <scheme val="minor"/>
      </rPr>
      <t>: to "</t>
    </r>
    <r>
      <rPr>
        <b/>
        <u/>
        <sz val="11"/>
        <color rgb="FF000000"/>
        <rFont val="Aptos Narrow"/>
        <family val="2"/>
        <scheme val="minor"/>
      </rPr>
      <t>ZAPIG Provision for HKIA orignal AWS ID</t>
    </r>
    <r>
      <rPr>
        <b/>
        <sz val="11"/>
        <color rgb="FF000000"/>
        <rFont val="Aptos Narrow"/>
        <family val="2"/>
        <scheme val="minor"/>
      </rPr>
      <t xml:space="preserve">" 838776425275 which it hasn't issue the order before since 2022. Name of Account is "AIRPORT Authority Payer". Sales also will issue a C-Order of this order later.
Ref Email date time : 12:16 26-Jun-2024 send form </t>
    </r>
    <r>
      <rPr>
        <b/>
        <u/>
        <sz val="11"/>
        <color rgb="FF000000"/>
        <rFont val="Aptos Narrow"/>
        <family val="2"/>
        <scheme val="minor"/>
      </rPr>
      <t>Bonnie</t>
    </r>
    <r>
      <rPr>
        <b/>
        <sz val="11"/>
        <color rgb="FF000000"/>
        <rFont val="Aptos Narrow"/>
        <family val="2"/>
        <scheme val="minor"/>
      </rPr>
      <t xml:space="preserve">, Subject : [OASIS] ......
[12-Aug-2024] Re-submit the Order Form from OASIS, UB24-00003022\1(OM) for PS Job $288000
[Bonnie] 
This quotation is for the Payer Account creation (AWS ID 838776425275) - Project name : ZAPIG provision for HKIA original AWS ID . Configuration Charge $271,722.09. 
</t>
    </r>
    <r>
      <rPr>
        <b/>
        <sz val="11"/>
        <color rgb="FFFF0000"/>
        <rFont val="Aptos Narrow"/>
        <family val="2"/>
        <scheme val="minor"/>
      </rPr>
      <t xml:space="preserve">1) This order will treat as I-order for AWS ID ( 838776425275) which has no order issued before. 
2) C-order under this (CL543975) has to be be issued for the PS job ZAPIG provision for HKIA original AWS ID after it. 
[9-Aug-2024] Diva sent email to ASM - Susan to issue C-order with PS job $28,800. 
</t>
    </r>
    <r>
      <rPr>
        <b/>
        <sz val="11"/>
        <color rgb="FF000000"/>
        <rFont val="Aptos Narrow"/>
        <family val="2"/>
        <scheme val="minor"/>
      </rPr>
      <t>[12-Aug-2024] I-order closed via CxS to issued C-order</t>
    </r>
  </si>
  <si>
    <t>http://10.10.10.209/OASIS_FILE_MANAGER/zip_files_download.php?qid=1236640&amp;serialno=UB24-00002350&amp;itemno=1&amp;token=9f6addcb0d82f484aca6665b5dc9237d</t>
  </si>
  <si>
    <t>RN 639575/1-2</t>
  </si>
  <si>
    <t>UB24-00003022\1(OM)</t>
  </si>
  <si>
    <t>SD11674926</t>
  </si>
  <si>
    <t>[9-Aug-2024] Waiting for C-order issue for the PS job ZAPIG provision for HKIA original AWS ID 
[12-Aug-2024] C-order issued for configuration charge HKD28,800
[13-Aug-2024] Close CxS order and inform Martin Wong and MS team that order includes T3 managed service has been closed</t>
  </si>
  <si>
    <t>http://10.10.10.209/OASIS_FILE_MANAGER/zip_files_download.php?qid=1273751&amp;serialno=UB24-00003022&amp;itemno=1&amp;token=acddc3ef143d61133d36ebdde799eab9</t>
  </si>
  <si>
    <t>Virgina Lau</t>
  </si>
  <si>
    <t>2188 7177</t>
  </si>
  <si>
    <t>virginia.lau@hkairport.com</t>
  </si>
  <si>
    <t>HKIA tower 2, HK international airport</t>
  </si>
  <si>
    <t>Billing Contact: Virgina Lau (T: 21887177), email: virginia.lau@hkairport.com</t>
  </si>
  <si>
    <t>CL540048</t>
  </si>
  <si>
    <t>RN 278373/1-2</t>
  </si>
  <si>
    <t>UB24-00002414\1(OM)</t>
  </si>
  <si>
    <t>SD11657096</t>
  </si>
  <si>
    <r>
      <rPr>
        <sz val="11"/>
        <color rgb="FF000000"/>
        <rFont val="Aptos Narrow"/>
        <family val="2"/>
        <scheme val="minor"/>
      </rPr>
      <t xml:space="preserve">[11-Jun-2024] Order Issued for ASI Platform renewal billing
Remarks: Configuration Charge $325,227.15
</t>
    </r>
    <r>
      <rPr>
        <sz val="11"/>
        <color rgb="FFFF0000"/>
        <rFont val="Aptos Narrow"/>
        <family val="2"/>
        <scheme val="minor"/>
      </rPr>
      <t xml:space="preserve">
[ Bonnie ]
</t>
    </r>
    <r>
      <rPr>
        <sz val="11"/>
        <color rgb="FF000000"/>
        <rFont val="Aptos Narrow"/>
        <family val="2"/>
        <scheme val="minor"/>
      </rPr>
      <t xml:space="preserve">Lam Tam clarified with engineer that this quotation order is renewal of project “My HKG App” with AWD ID 173684730798 (aws_myhkgadaptor_prod) which hasCL#  - CL543455
(Amount $325,227.15 Yr 8-Jun-2024 to 7-Jun-2025)
</t>
    </r>
    <r>
      <rPr>
        <sz val="11"/>
        <color rgb="FFFF0000"/>
        <rFont val="Aptos Narrow"/>
        <family val="2"/>
        <scheme val="minor"/>
      </rPr>
      <t xml:space="preserve">I-Order is wrongly issue. Need to issue C-order under CL543455 (AWD ID 173684730798) to capture the one-time special charge for the renewal of “My HKG App”. ASM to amend order. This I-order (CL50048) should be cancelled. 
</t>
    </r>
    <r>
      <rPr>
        <sz val="11"/>
        <color rgb="FF000000"/>
        <rFont val="Aptos Narrow"/>
        <family val="2"/>
        <scheme val="minor"/>
      </rPr>
      <t xml:space="preserve">
</t>
    </r>
    <r>
      <rPr>
        <sz val="11"/>
        <color rgb="FFFF0000"/>
        <rFont val="Aptos Narrow"/>
        <family val="2"/>
        <scheme val="minor"/>
      </rPr>
      <t xml:space="preserve">Remark: Huge amount ($325,227.15) &gt; arrange manual bill via eRII 
</t>
    </r>
    <r>
      <rPr>
        <sz val="11"/>
        <color rgb="FF000000"/>
        <rFont val="Aptos Narrow"/>
        <family val="2"/>
        <scheme val="minor"/>
      </rPr>
      <t>[21-Aug-2024] Refer to email on 21-Aug-2024 from Bonnie,  there should not have order for the budget reserved order, thereafter, she asks for the handling for this reserved budget order from Tam Lam (Product Team) - cancel order or keep issue C-order
[28-Aug-2024] Confirm this order will cancel.
[06-Sep-2024] Order cancellation has issued. Acknowledge cancel order via CxS</t>
    </r>
  </si>
  <si>
    <t>http://10.10.10.209/OASIS_FILE_MANAGER/zip_files_download.php?qid=1237076&amp;serialno=UB24-00002414&amp;itemno=1&amp;token=9f6addcb0d82f484aca6665b5dc9237d</t>
  </si>
  <si>
    <t>Mr. Hui</t>
  </si>
  <si>
    <t>6570 3203</t>
  </si>
  <si>
    <t>admin.ps@psuccesshk.com</t>
  </si>
  <si>
    <t>905418194266</t>
  </si>
  <si>
    <t>Unit B31, 14/F, Richwealth IND. Buidling, 77-87 Wang Lung Street, Tsuen Wan, N.T.</t>
  </si>
  <si>
    <t>CL544771</t>
    <phoneticPr fontId="11" type="noConversion"/>
  </si>
  <si>
    <t>RN  069526/1-2</t>
    <phoneticPr fontId="11" type="noConversion"/>
  </si>
  <si>
    <t>TI24-00005258\1(OM)</t>
    <phoneticPr fontId="11" type="noConversion"/>
  </si>
  <si>
    <t>SD11657504
SD11658588</t>
  </si>
  <si>
    <t>[12-Jun-2024] Order Issued for AWS account migration
[14-Jun-2024] Send migirate email to Bdata to send invitation to customer
[14-Jun-2024] Sent reminder to customer 
[17-Jun-2024] Customer accept the invitation, Wait the Billing Account onboarded in Cloud Checker
[08-Aug-2024] Customer account is joined under HKT. Close CxS order
[19-Jun-2024] Close CxS order on 19-Jun-2024
[1/6/2025] Send the welccme letter to customer.[Kilson]</t>
    <phoneticPr fontId="11" type="noConversion"/>
  </si>
  <si>
    <t>http://10.10.10.209/OASIS_FILE_MANAGER/zip_files_download.php?qid=1238649&amp;serialno=TI24-00005258&amp;itemno=1&amp;token=6fbe529a4a66811c5de6f5ab471f328d</t>
  </si>
  <si>
    <t>533267332423</t>
  </si>
  <si>
    <t>nwcs-aws-cms-prd</t>
  </si>
  <si>
    <t>nwcs_aws_cms_prd@nwcs.com.hk</t>
  </si>
  <si>
    <t>CL548774</t>
  </si>
  <si>
    <t>RN 335010/3-4</t>
  </si>
  <si>
    <t>SD11658329</t>
  </si>
  <si>
    <t>[10-Jun-2024] Receive a new AWS onbard AWS account. Cant find any information. Sent Email to Kaite asking to issue the order.
[13-Jun-24] katie send the orderform and call Cheryl and Kelvin to issue the order.
[14-Jun-2024] Order Issued. Close CxS order on SRD date: 14-Jun-2024
[14-Jun-2024] Inform katie for order mapping</t>
  </si>
  <si>
    <t>9b3dd005ad5046a0bf2e755a254860e8</t>
    <phoneticPr fontId="11" type="noConversion"/>
  </si>
  <si>
    <t>SC2-ODC-DEV</t>
    <phoneticPr fontId="11" type="noConversion"/>
  </si>
  <si>
    <t>sc2hwcldservicebill@ha.org.hk</t>
    <phoneticPr fontId="11" type="noConversion"/>
  </si>
  <si>
    <t>UNIT 801, 8/F, HARBOURSIDE HQ, 8 Lam Chak St, Kowloon Bay</t>
    <phoneticPr fontId="11" type="noConversion"/>
  </si>
  <si>
    <t xml:space="preserve">sc2hwcldservicebill@ha.org.hk; lkk319a@ha.org.hk; paul.chan@ha.org.hk; mschan@ha.org.hk; </t>
    <phoneticPr fontId="11" type="noConversion"/>
  </si>
  <si>
    <t>CL544877</t>
    <phoneticPr fontId="11" type="noConversion"/>
  </si>
  <si>
    <t>RN 114088/3-4</t>
    <phoneticPr fontId="11" type="noConversion"/>
  </si>
  <si>
    <t>[UB24-00003448\1(OM)</t>
    <phoneticPr fontId="11" type="noConversion"/>
  </si>
  <si>
    <t>SD11659273</t>
    <phoneticPr fontId="11" type="noConversion"/>
  </si>
  <si>
    <t>[17-Jun-2024] Receive Simon HA Huawei Cloud account creation request by email
{19-Jun-024] Huawei Account Created
[18-Jul-2024] Inform Katie the mapping list of Huawei accounts. Close CxS order on SRD: 01-Jun-2024</t>
    <phoneticPr fontId="11" type="noConversion"/>
  </si>
  <si>
    <t>http://10.10.10.209/OASIS_FILE_MANAGER/zip_files_download.php?qid=1258109&amp;serialno=UB24-00003448&amp;itemno=1&amp;token=a964a32236e9d92cb29b0b25f27a5288</t>
  </si>
  <si>
    <t>King Lee</t>
  </si>
  <si>
    <t>9634 0587</t>
  </si>
  <si>
    <t>25/F, World Peace Centre, 41-55 Wo Tong Tsui St. Kwai Chung</t>
  </si>
  <si>
    <t>CL540671</t>
  </si>
  <si>
    <t>RN 650129/1-2</t>
  </si>
  <si>
    <t>UD24-00001650\1(OM)</t>
  </si>
  <si>
    <t>SD11659853</t>
  </si>
  <si>
    <r>
      <rPr>
        <sz val="11"/>
        <color rgb="FF000000"/>
        <rFont val="Aptos Narrow"/>
        <family val="2"/>
        <scheme val="minor"/>
      </rPr>
      <t xml:space="preserve">[20-Jun-2024] Order issued
</t>
    </r>
    <r>
      <rPr>
        <b/>
        <sz val="11"/>
        <color rgb="FF000000"/>
        <rFont val="Aptos Narrow"/>
        <family val="2"/>
        <scheme val="minor"/>
      </rPr>
      <t>Remarks: Configuration Charge: HKD228,000</t>
    </r>
    <r>
      <rPr>
        <sz val="11"/>
        <color rgb="FF000000"/>
        <rFont val="Aptos Narrow"/>
        <family val="2"/>
        <scheme val="minor"/>
      </rPr>
      <t xml:space="preserve"> (CTF_ the 30 Mandays-)
[01-Aug-2024] Order is purchased for 30 days of mandays for future project use. CxS order closed</t>
    </r>
  </si>
  <si>
    <t>http://10.10.10.209/OASIS_FILE_MANAGER/zip_files_download.php?qid=1244444&amp;serialno=UD24-00001650&amp;itemno=1&amp;token=e3c8c002a5d723f8cc9ec5a10009fe8f</t>
  </si>
  <si>
    <t>17cf48892332491192e0420b5271cce7</t>
  </si>
  <si>
    <t>N7-ODC-PRD</t>
  </si>
  <si>
    <t>n7@ha.org.hk</t>
  </si>
  <si>
    <t>8/F Harbourside HQ – 8 Lam Chak Street</t>
  </si>
  <si>
    <t>Billing Recipient Email Address:	n7@ha.org.hk; robert.lam@ha.org.hk; ken.yo@ha.org.hk</t>
  </si>
  <si>
    <t>CL551077</t>
  </si>
  <si>
    <t>RN 114088/5-6</t>
  </si>
  <si>
    <t>SD11660036</t>
  </si>
  <si>
    <t>[20-Jun-2024] Receive Simon HA Huawei Cloud account creation request by email
[21-Jun-2024] Huawei Account Created
[18-Jul-2024] Inform Katie the mapping list of Huawei accounts. Close CxS order on SRD: 01-Jun-2024</t>
    <phoneticPr fontId="11" type="noConversion"/>
  </si>
  <si>
    <t>Roy Kwok</t>
  </si>
  <si>
    <t>roykwok@nwcs.com.hk</t>
  </si>
  <si>
    <t>nwdaws2</t>
  </si>
  <si>
    <t>nwdaws2@nwd.com.hk</t>
  </si>
  <si>
    <t>4/f TST Centre, 66 Mody Road, TST, KLN</t>
  </si>
  <si>
    <t>CL541107</t>
  </si>
  <si>
    <t>RN 772195/ 1-2</t>
  </si>
  <si>
    <t>UE24-00002080\1(OM)</t>
  </si>
  <si>
    <t>[22-Jun-2024] One-off charge for one-year Vmware subscription $299500 (No Account Creation)</t>
  </si>
  <si>
    <t>http://10.10.10.209/OASIS_FILE_MANAGER/zip_files_download.php?qid=1243941&amp;serialno=UE24-00002080&amp;itemno=1&amp;token=3a577825b6b079b72327513261726934</t>
  </si>
  <si>
    <t>68b22dbacfe843ed90854edaace41f8b</t>
  </si>
  <si>
    <t>N3-ODC-PRD</t>
  </si>
  <si>
    <t>n3capsnetworkimplt@ha.org.hk</t>
  </si>
  <si>
    <t>8/F., HSHQ, 8 Lam Chak Street, Kowloon Bay, Kowloon</t>
  </si>
  <si>
    <t>Billing Recipient Email Address: n3capsnetworkimplt@ha.org.hk; chanhca@ha.org.hk; leo.lam@ha.org.hk</t>
  </si>
  <si>
    <t>CL554385</t>
    <phoneticPr fontId="11" type="noConversion"/>
  </si>
  <si>
    <t>RN 733132/3-4</t>
  </si>
  <si>
    <t>SD11660599</t>
  </si>
  <si>
    <t>[24-Jun-2024] Receive email request from HA simon for Huawei account creation
[25-Jun-2024] Huawei Account Created (Huawei a/c ID: 77e418a83c8746bc893ffd06b80210d0)
[25-Jun-2024]  Simon requests to remove previous Huawei account and wait project team to provide another email account to recreate. Inform Martin and Multi-Cloud MS team ignore the previous email follow up request.
[26-Jun-2024] Arrange zoom meeting for Huawei account re-creation by email account: n3capsnetworkimplt@ha.org.hk on 28-Jun-2024
[28-Jun-2024] Huawei account created (a/c ID: 68b22dbacfe843ed90854edaace41f8b)
[05-Aug-24] Katie send email to Bonnie Yeung to issue the Order
[06-Aug-2024] Order Issued. Inform Katie the mapping list of Huawei accounts. Close CxS order on SRD: 01-Jul-2024</t>
    <phoneticPr fontId="11" type="noConversion"/>
  </si>
  <si>
    <t>waI CHUNG</t>
  </si>
  <si>
    <t>RN 367372/1-2</t>
  </si>
  <si>
    <t>UD24-00002060\1(OM)</t>
  </si>
  <si>
    <t>SD11661243</t>
  </si>
  <si>
    <t>Backdate order
[25-Jun-24] Receive C Order of CL553355 
Order Form: pls refer to attached: Multi-Cloud_OrderForm_2021101q v1 7_AWS( CTF_Photofram
AWS ID : 373851634295
Automatic Photo Frame
[25-Jun-2024] Close CxS order on SRD date: 31-May-2024</t>
  </si>
  <si>
    <t>http://10.10.10.209/OASIS_FILE_MANAGER/zip_files_download.php?qid=1242631&amp;serialno=UD24-00002060&amp;itemno=1&amp;token=e3c8c002a5d723f8cc9ec5a10009fe8f</t>
  </si>
  <si>
    <t>Jackie Chiang</t>
  </si>
  <si>
    <t>jackie.wc.chiang@pccw.com</t>
  </si>
  <si>
    <t>admin@FubonEntClouduser.onmicrosoft.com</t>
  </si>
  <si>
    <t>26/F, PCCW Tower, Quarry Bay, HKG</t>
  </si>
  <si>
    <t>CL553470</t>
  </si>
  <si>
    <t>RN 934658/1-2</t>
  </si>
  <si>
    <t>BBSMB24-00000155\1(OM)</t>
  </si>
  <si>
    <t>SD11661258</t>
  </si>
  <si>
    <t>Internal use account, send welcome letter (Login) to Jackie Chiang (Account Oener) &amp; cc Lok &amp; Martin after subscription added, because they need setup done before 05-Jul.
[28-Jul-24] Send Email ask Jackie ask the perfer domain name
[2-Jul-24] Call Jackie, no one pickup 11:00
[2-Jul-24] Call Jackie, no one pickup 13:00
[2-Jul-24] Call Jackie, Jackie say need ask his collage first, will reply the email later
[04-Jul-24] Receive reply and create the account domain as FubonEntClouduser.onmicrosoft.com.
Send the welcome letter to Jackie and CC to Lok and Martin
[05-Jul-2024] Close CxS order on SRD date: 05-Jul-2024</t>
  </si>
  <si>
    <t>http://10.10.10.209/OASIS_FILE_MANAGER/zip_files_download.php?qid=1247171&amp;serialno=BBSMB24-00000155&amp;itemno=1&amp;token=38fec1957f7f580995a6b7f72e2f0170</t>
  </si>
  <si>
    <t>Alex Kwan</t>
  </si>
  <si>
    <t>alex.k.c.kwan@hkairport.com</t>
  </si>
  <si>
    <t xml:space="preserve">HKIA Tower 2, HK International Airport </t>
  </si>
  <si>
    <t>CL551483</t>
  </si>
  <si>
    <t>RN 065006/1-2</t>
  </si>
  <si>
    <t>UB24-00003083\1(OM)</t>
  </si>
  <si>
    <t>SD11663414</t>
  </si>
  <si>
    <t xml:space="preserve"> [03-Jul-2024] budget reserved for “Azure subscription and Managed service ($232,275)
For Project : Cloud Platform Setup for Tree Management System &amp; Public Websit
[12-Aug-2024] CxS competle SRD on 08-Jul-2024</t>
  </si>
  <si>
    <t xml:space="preserve">http://10.10.10.209/OASIS_FILE_MANAGER/zip_files_download.php?qid=1250809&amp;serialno=UB24-00003083&amp;itemno=1&amp;token=9f6addcb0d82f484aca6665b5dc9237d </t>
  </si>
  <si>
    <t>Billing Contact: Alex Kwan (Tel: 2188 7371) Email: alex.k.c.kwan@hkairport.com</t>
  </si>
  <si>
    <t>RN 171007/1-2</t>
  </si>
  <si>
    <t>UB24-00004155\1(OM)</t>
  </si>
  <si>
    <t>SD11674261</t>
  </si>
  <si>
    <t>[09-Aug-2024] C-order will issue soon for PS job ($57,600) "Cloud Platform Setup for Tree Management System &amp; Public Website" [Helen]
[15-Aug-2024] receive the OASIS order with CL and TID [Helen]
[21-Aug-2024] Close CxS order on SRD: 19-Aug-2024. Inform Martin Wong, MS team and Cc: HKT Cloud SP that order includes managed service T3 by email [Helen]</t>
  </si>
  <si>
    <t>http://10.10.10.209/OASIS_FILE_MANAGER/zip_files_download.php?qid=1273803&amp;serialno=UB24-00004155&amp;itemno=1&amp;token=acddc3ef143d61133d36ebdde799eab9</t>
  </si>
  <si>
    <t>Ridley Man</t>
  </si>
  <si>
    <t>22072688 / 92774031</t>
  </si>
  <si>
    <t>ridley.man@shacombank.com.hk</t>
  </si>
  <si>
    <t>654654277504</t>
    <phoneticPr fontId="11" type="noConversion"/>
  </si>
  <si>
    <t>awsgenaipilot</t>
    <phoneticPr fontId="11" type="noConversion"/>
  </si>
  <si>
    <t>25/F, Block 2, Kowloon Commerce Centre, 51, Kwai Cheong Road, Kwai Chung, NT</t>
  </si>
  <si>
    <t>CL543323</t>
  </si>
  <si>
    <t>RN 340998/1-2</t>
  </si>
  <si>
    <t>UB24-00001859\1(OM)</t>
  </si>
  <si>
    <t>[09-Jul-24] Receive CloudChecker Reminder, Bonnie confirming Thomas the Migration is that finish.Please  ref CL542616 for the migration detail
[09-Jul-24] Thomas Confirm Migrstion complet, waiting comfirm the Orer issue.
[02-Sep-24] Receive Order Issue and sendto Katie to map the order</t>
  </si>
  <si>
    <t>T1</t>
  </si>
  <si>
    <t>http://10.10.10.209/OASIS_FILE_MANAGER/zip_files_download.php?qid=1285654&amp;serialno=UB24-00001859&amp;itemno=1&amp;token=61ab8cd8d23432b22af0854ed48ab6cf</t>
  </si>
  <si>
    <t>418280082261</t>
    <phoneticPr fontId="11" type="noConversion"/>
  </si>
  <si>
    <t>shacom-cdp-dev</t>
    <phoneticPr fontId="11" type="noConversion"/>
  </si>
  <si>
    <t>CL543372</t>
  </si>
  <si>
    <t>RN 340998/3-4</t>
  </si>
  <si>
    <t>444435522877</t>
    <phoneticPr fontId="11" type="noConversion"/>
  </si>
  <si>
    <t>shacom-security</t>
    <phoneticPr fontId="11" type="noConversion"/>
  </si>
  <si>
    <t>CL544676</t>
  </si>
  <si>
    <t>RN 340998/5-6</t>
  </si>
  <si>
    <t>600610815231</t>
    <phoneticPr fontId="11" type="noConversion"/>
  </si>
  <si>
    <t>shacom-cdp-prod</t>
    <phoneticPr fontId="11" type="noConversion"/>
  </si>
  <si>
    <t>CL545492</t>
  </si>
  <si>
    <t>RN 340998/7-8</t>
  </si>
  <si>
    <t>057422521102</t>
    <phoneticPr fontId="11" type="noConversion"/>
  </si>
  <si>
    <t>aws-network</t>
    <phoneticPr fontId="11" type="noConversion"/>
  </si>
  <si>
    <t>CL545555</t>
  </si>
  <si>
    <t>RN 340998/9-10</t>
  </si>
  <si>
    <t>381492161117</t>
    <phoneticPr fontId="11" type="noConversion"/>
  </si>
  <si>
    <t>shacom-tms-dev</t>
    <phoneticPr fontId="11" type="noConversion"/>
  </si>
  <si>
    <t>CL547301</t>
  </si>
  <si>
    <t>RN 340998/11-12</t>
  </si>
  <si>
    <t>SD11651293</t>
  </si>
  <si>
    <t>730335309889</t>
  </si>
  <si>
    <t>CTF_InventoryManagement_Prod</t>
  </si>
  <si>
    <t>CL540750</t>
  </si>
  <si>
    <t>RN 075279/1-2</t>
  </si>
  <si>
    <t>UD24-00002668\2(OM)</t>
  </si>
  <si>
    <t>SD11669264</t>
  </si>
  <si>
    <t>[09-Jul-24] Receive CloudChecker Reminder. Asking Katie is that issue the Order.
[09-Jul-24] Reveive Bonnie forward a email confirm that is asking Connie to submit the Order
[23-Jul-24] Receive Backdate Order
[23-Jul-2024] Close CxS Order on SRD date: 30-Jun-2024
[23-Aug-2024] Inform Katie for order mapping list for CTF</t>
  </si>
  <si>
    <t>http://10.10.10.209/OASIS_FILE_MANAGER/zip_files_download.php?qid=1261784&amp;serialno=UD24-00002668&amp;itemno=2&amp;token=e3c8c002a5d723f8cc9ec5a10009fe8f</t>
  </si>
  <si>
    <t>058264240576</t>
  </si>
  <si>
    <t>CTF_InventoryManagement_UAT</t>
  </si>
  <si>
    <t>CL541030</t>
  </si>
  <si>
    <t>RN 075279/3-4</t>
  </si>
  <si>
    <t>UD24-00002668\1(OM)</t>
  </si>
  <si>
    <t>SD11669284</t>
  </si>
  <si>
    <t xml:space="preserve">http://10.10.10.209/OASIS_FILE_MANAGER/zip_files_download.php?qid=1261783&amp;serialno=UD24-00002668&amp;itemno=1&amp;token=e3c8c002a5d723f8cc9ec5a10009fe8f </t>
  </si>
  <si>
    <t>Pending for order issued</t>
  </si>
  <si>
    <t>58264459732</t>
  </si>
  <si>
    <t>aws_zapig_prod</t>
  </si>
  <si>
    <t>AWSZAPIGPROD@hkairport.com</t>
  </si>
  <si>
    <t>[09-Jul-24] Receive CloudChecker Reminder. Asking Katie is that issue the Order.
[09-Jul-24] Bonnie ask Lam to ask account manager Diva Leung to issue the AA order</t>
  </si>
  <si>
    <t>891376997776</t>
  </si>
  <si>
    <t>aws_zapig_sqcc</t>
  </si>
  <si>
    <t>AWSZAPIGSQCC@hkairport.com</t>
  </si>
  <si>
    <t>Seamus Xie</t>
  </si>
  <si>
    <t>35431189 / 90999565</t>
  </si>
  <si>
    <t>seamus@fano.ai</t>
  </si>
  <si>
    <t>143426118095</t>
    <phoneticPr fontId="11" type="noConversion"/>
  </si>
  <si>
    <t>590184090855</t>
  </si>
  <si>
    <t>aws.prod@fano.ai</t>
  </si>
  <si>
    <t>RM1507-11, 15/F, Building 19W, 19 Science Park West Avenue, Shatin, N.T.</t>
  </si>
  <si>
    <t>CL548082</t>
  </si>
  <si>
    <t>RN 604351/1-2</t>
  </si>
  <si>
    <t>TI24-00006439\1(OM)</t>
  </si>
  <si>
    <t>SD11667726</t>
  </si>
  <si>
    <t>[15-Jul-2024] Order Issued
[17-Jul-2024] Send the migration request to Jason.
[08-Aug-2024] Customer has accepted invitation on 18-Jul-2024. Close CxS order
[11-11-2024] Send the Welcome to Customer b Email-System [Kilson]</t>
  </si>
  <si>
    <t>http://10.10.10.209/OASIS_FILE_MANAGER/zip_files_download.php?qid=1256250&amp;serialno=TI24-00006439&amp;itemno=1&amp;token=fab2253c2accb5e45faaa6a342625059</t>
  </si>
  <si>
    <t>Tang Kin Sing</t>
    <phoneticPr fontId="11" type="noConversion"/>
  </si>
  <si>
    <t>kstang@eduhk.hk</t>
    <phoneticPr fontId="11" type="noConversion"/>
  </si>
  <si>
    <t>ca52c758db26486ebab2c1da9119249b</t>
  </si>
  <si>
    <t>hid_8zwvtsmvtf13icj</t>
  </si>
  <si>
    <t>kstang@eduhk.hk</t>
  </si>
  <si>
    <t>A-3/F-09 Cho Kwai Chee Foundation Building, EdUHK,10 Lo Ping Road , Tai Po</t>
  </si>
  <si>
    <t>CL547404</t>
  </si>
  <si>
    <t>RN 74435/1-2</t>
  </si>
  <si>
    <t>UA24-00002028\1(OM)</t>
  </si>
  <si>
    <t>SD11669439</t>
    <phoneticPr fontId="11" type="noConversion"/>
  </si>
  <si>
    <t>Huawei Cloud
*One time charge billing: HKD16,626
&lt;&lt;SD11669439&gt;&gt;
Pre-provisioning order, sales will place order afterward.
[24-Jul-24] Sent invitation link to customer, waiting for reply
[26-Jul-24] SD ticket Closed. Confirm customer account creted. Unfrozen and set monthly budget as USD$354.84 (HKD$2771) for customer account
[31-Jul-24] Sent welcome letter to customer, CXS closed.</t>
  </si>
  <si>
    <t>http://10.10.10.209/OASIS_FILE_MANAGER/zip_files_download.php?qid=1267006&amp;serialno=UA24-00002028&amp;itemno=1&amp;token=0405ba589f27d6822cfba7cbf55883a9</t>
  </si>
  <si>
    <t>399b4b3cb8b144e386a29c43e2d7dc92</t>
  </si>
  <si>
    <t>SC5-ODC-DEV</t>
  </si>
  <si>
    <t>sc5odcdev@ha.org.hk</t>
  </si>
  <si>
    <t>Billing Recipient Email Address: sc5odcdev@ha.org.hk; yym242@ha.org.hk; yym242@ha.org.hk; yym242@ha.org.hk</t>
  </si>
  <si>
    <t>CL556203</t>
  </si>
  <si>
    <t>RN 700043/1-2</t>
  </si>
  <si>
    <t>UB24-00005086\1(OM)</t>
  </si>
  <si>
    <t>SD11673087</t>
  </si>
  <si>
    <t>[5-Aug-24] Receive HA Huawei account creation email request
[06-Aug-2024] Huawei account creation has done
[12-Sep-2024] Kaite ask Bonnie Yeung / Simon to issue the order
[16-Sep-2024] Receive OASIS Order, complete the cxs and send the account mapping to Katie (Bonnie Yeung Email) and close the SD (Kilson)
Forward Email to Martin for the T2 service</t>
  </si>
  <si>
    <t xml:space="preserve">http://10.10.10.209/OASIS_FILE_MANAGER/zip_files_download.php?qid=1292217&amp;serialno=UB24-00005086&amp;itemno=1&amp;token=a964a32236e9d92cb29b0b25f27a5288 </t>
  </si>
  <si>
    <t>d3c4b0950a11436db5ec3f1fc71cde16</t>
  </si>
  <si>
    <t>T7-IGS-DEV</t>
  </si>
  <si>
    <t>t7odcdev@ha.org.hk</t>
  </si>
  <si>
    <t>8/F, HSHQ, Kln. Bay</t>
  </si>
  <si>
    <t>Billing Recipient Email Address: t7odcdev@ha.org.hk; lausmk@ha.org.hk; alan.chan@ha.org.hk</t>
  </si>
  <si>
    <t>CL556402</t>
  </si>
  <si>
    <t>RN 700043/3-4</t>
  </si>
  <si>
    <t>SD11673856</t>
  </si>
  <si>
    <t>[5-Aug-24] Receive HA Huawei account creation email request
[09-Aug-2024] Receive email notice to  change the Child Account Name to “T7-IGS-DEV”
[12-Aug-2024] HA Huawei account created
[12-Sep-2024] Kaite ask Bonnie Yeung / Simon to issue the order
[16-Sep-2024] Receive OASIS Order, complete the cxs and send the account mapping to Katie (Bonnie Yeung Email) and close the SD (Kilson)
Forward Email to Martin for the T2 service.</t>
  </si>
  <si>
    <t>Nelson Wong</t>
    <phoneticPr fontId="11" type="noConversion"/>
  </si>
  <si>
    <t>nelson.wong@ha.org.hk</t>
    <phoneticPr fontId="11" type="noConversion"/>
  </si>
  <si>
    <t>EHP20-TECHSVC-DEV-admin 
143823dc-c73a-462c-9a44-e2b17417b2e3</t>
    <phoneticPr fontId="11" type="noConversion"/>
  </si>
  <si>
    <t>EHP20-TECHSVC-DEV</t>
  </si>
  <si>
    <t xml:space="preserve">ehealthazuredev@ha.org.hk </t>
  </si>
  <si>
    <t>12/F, Harbourside HQ – 8 Lam Chak Street, Kowloon Bay, HK</t>
  </si>
  <si>
    <t xml:space="preserve">Billing Recipient Email Address: ehealthazuredev@ha.org.hk; alex.lk.wong@ha.org.hk </t>
  </si>
  <si>
    <t>CL548141</t>
    <phoneticPr fontId="11" type="noConversion"/>
  </si>
  <si>
    <t>RN 579600/1-2</t>
    <phoneticPr fontId="11" type="noConversion"/>
  </si>
  <si>
    <t>UB24-00007239\1(OM)</t>
    <phoneticPr fontId="11" type="noConversion"/>
  </si>
  <si>
    <t>SD11708952</t>
    <phoneticPr fontId="11" type="noConversion"/>
  </si>
  <si>
    <t>[12Aug-2024] Receive email request from HA (Nelson) for Azure Resource Groups creation
[12-Aug-2024] HKT-Cloud EMS team will reply the case ID (e.g.#1232) to acknowledge the request and proivde status update
[12-Aug-2024] HKT-Cloud MC team will follow up Azure Rescource Groups creation with Nelson Wong (HA) via email communication
[13-Aug-2024] Azure Resource Groups created SD11676698
[11-Dec-2024] Close CxS order on SRD date: 01-Nov-2024. Inform Katie for order mapping. Email to Matirn Wong and Multi-Cloud MS Team that order has managed service T2</t>
    <phoneticPr fontId="11" type="noConversion"/>
  </si>
  <si>
    <t>http://10.10.10.209/OASIS_FILE_MANAGER/zip_files_download.php?qid=1338481&amp;serialno=UB24-00007239&amp;itemno=1&amp;token=a964a32236e9d92cb29b0b25f27a5288</t>
    <phoneticPr fontId="11" type="noConversion"/>
  </si>
  <si>
    <t>Nelson Wong</t>
  </si>
  <si>
    <t>EHP20-TECHSVC-PRD-admin
143823dc-c73a-462c-9a44-e2b17417b2e3</t>
    <phoneticPr fontId="11" type="noConversion"/>
  </si>
  <si>
    <t>EHP20-TECHSVC-PRD</t>
  </si>
  <si>
    <t>ehealthazurecldprd@ha.org.hk</t>
  </si>
  <si>
    <t xml:space="preserve">Billing Recipient Email : ehealthazurecldprd@ha.org.hk; alex.lk.wong@ha.org.hk </t>
  </si>
  <si>
    <t>CL548603</t>
    <phoneticPr fontId="11" type="noConversion"/>
  </si>
  <si>
    <t>RN 579600/3-4</t>
    <phoneticPr fontId="11" type="noConversion"/>
  </si>
  <si>
    <t>Barbara Cheung</t>
  </si>
  <si>
    <t xml:space="preserve"> barbara.cheung@hkairport.com</t>
  </si>
  <si>
    <t>Microsoft Azure</t>
    <phoneticPr fontId="11" type="noConversion"/>
  </si>
  <si>
    <t>Billing Contact: Barbara Cheung  Email:  barbara.cheung@hkairport.com</t>
  </si>
  <si>
    <t>15-Aug-204</t>
  </si>
  <si>
    <t>CL549395</t>
  </si>
  <si>
    <t>RN 373685/1-2</t>
  </si>
  <si>
    <t>UB24-00004156\1(OM)</t>
  </si>
  <si>
    <t>SD11675679</t>
  </si>
  <si>
    <t>[14-Aug-2024] I - Order Issued for budget reserved  for project: ZDSOTC
[14-Aug-2024] Receive order (amend) for TID
[15-Aug-2024] Close I-order via CxS to issued C-order for PS job charge (amount HKD65,000)</t>
  </si>
  <si>
    <t xml:space="preserve">http://10.10.10.209/OASIS_FILE_MANAGER/zip_files_download.php?qid=1273805&amp;serialno=UB24-00004156&amp;itemno=1&amp;token=acddc3ef143d61133d36ebdde799eab9 </t>
  </si>
  <si>
    <t>Pending for other parties</t>
  </si>
  <si>
    <t>SD11676044</t>
  </si>
  <si>
    <t>[15-Aug-2024] Email request to issue C-order for PS Job charge (Project: ZDSOTC, Configuration Charge: HKD65,000))
[16-Aug-2024] Refer to Surrey Ng (CCS)'s email, the fine-tuned order flow (incorponrating both CL# and PS job within in single order) will debief next week, pending for confirmation</t>
  </si>
  <si>
    <t>2188 7371</t>
  </si>
  <si>
    <t>15-Jul-204</t>
  </si>
  <si>
    <t>CL549705</t>
  </si>
  <si>
    <t>RN 72530/3-4</t>
  </si>
  <si>
    <t>UB24-00004154\1(OM)</t>
  </si>
  <si>
    <t>SD11675674</t>
  </si>
  <si>
    <r>
      <rPr>
        <sz val="11"/>
        <color rgb="FF000000"/>
        <rFont val="Aptos Narrow"/>
        <family val="2"/>
        <scheme val="minor"/>
      </rPr>
      <t xml:space="preserve">[14-Aug-2024] Backdate Order Issued for budget reserved of Project: ZWECHAT
[14-Aug-2024] Receive order (amend) for TID
[15-Aug-2024] Close I-order via CxS to issued C-order for PS job charge  (amount HKD64,800)
</t>
    </r>
    <r>
      <rPr>
        <sz val="11"/>
        <color rgb="FFFF0000"/>
        <rFont val="Aptos Narrow"/>
        <family val="2"/>
        <scheme val="minor"/>
      </rPr>
      <t xml:space="preserve">[16-Aug-2024] Aligned with Product Team - Lam that we have a special arrangement w/o creating a c-order for PS job &amp; account creation separately for this case as Sales &amp; AM created order wrongly by inputting all in the same order. (Bonnie)
</t>
    </r>
    <r>
      <rPr>
        <sz val="11"/>
        <color rgb="FF000000"/>
        <rFont val="Aptos Narrow"/>
        <family val="2"/>
        <scheme val="minor"/>
      </rPr>
      <t>[19-Aug-2024]  PS Team - Lok  replied that resources were created in existing Subscription - SQCC (Bonnie)</t>
    </r>
  </si>
  <si>
    <t xml:space="preserve">http://10.10.10.209/OASIS_FILE_MANAGER/zip_files_download.php?qid=1273798&amp;serialno=UB24-00004154&amp;itemno=1&amp;token=acddc3ef143d61133d36ebdde799eab9 </t>
  </si>
  <si>
    <t>Billing Contact: Alex Kwan (Tel: 2188 7371) Email:  alex.k.c.kwan@hkairport.com</t>
  </si>
  <si>
    <t>SD11675949</t>
  </si>
  <si>
    <t>[15-Aug-2024] Email request to issue C-order for PS Job charge (Project: ZWECHAT, Configuration Charge: HKD64,800)
[16-Aug-2024] Aligned with Product Team - Lam that we have a special arrangement w/o creating a c-order for PS job &amp; account creation separately for this case as Sales &amp; AM created order wrongly by inputting all in the same order. (Bonnie)</t>
  </si>
  <si>
    <t>767828750526</t>
  </si>
  <si>
    <t>nwg-aws-legacycrm-nonprd</t>
  </si>
  <si>
    <t>nwg_aws_legacycrm_nonprd@nwcs.com.hk_x000D_</t>
  </si>
  <si>
    <t>10/F, Tower A, 83 Cheung Sha Wan, KLN, HK</t>
  </si>
  <si>
    <t>CL548659</t>
  </si>
  <si>
    <t>RN 905339/1-2</t>
  </si>
  <si>
    <t>OASIS] [UE24-00003866\1(OM)</t>
  </si>
  <si>
    <t>SD11686439</t>
  </si>
  <si>
    <t xml:space="preserve">
[19-Aug-2024] Receive CloudChekr Reminder , No Order Record and send Email to Kaite aks to issue the Order.[Kilson]
[20-Sep-2024] Receive Order, CxS Complete Date 1-Sep 2024. Katie already map the order by herself. [Kilson]</t>
  </si>
  <si>
    <t>http://10.10.10.209/OASIS_FILE_MANAGER/zip_files_download.php?qid=1294921&amp;serialno=UE24-00003866&amp;itemno=1&amp;token=3a577825b6b079b72327513261726934</t>
  </si>
  <si>
    <t xml:space="preserve"> Ray C W Law</t>
  </si>
  <si>
    <t>2188 9677</t>
  </si>
  <si>
    <t>ray.law@hkairport.com</t>
  </si>
  <si>
    <t>I-Order for project: MFA</t>
  </si>
  <si>
    <t>CL540833</t>
    <phoneticPr fontId="11" type="noConversion"/>
  </si>
  <si>
    <t>RN 175187/1-2</t>
  </si>
  <si>
    <t>UB24-00004381\1(OM)</t>
    <phoneticPr fontId="11" type="noConversion"/>
  </si>
  <si>
    <t>SD11677289</t>
    <phoneticPr fontId="11" type="noConversion"/>
  </si>
  <si>
    <t>[20-Aug-2024] Order Issued for project: MFA (Configuration Charge HKD195,500) *T3
[29-Aug-2024] Pass the Case to Kilson. Also forward to PS Team Lok to follow the order. and inform Martin and MS Team have T3 (Kilson)
[29-Al-12-20241 PS Job amount (HKD195.500) is missing in CxS work queue. Confirm with Bonnie, order can close. Close CxS order on SRD: 29-Aug-2024 [Helenl
[11-Jun-2025] Receive UAT sign back form from Ryan Liu to inform that MFA migration project is completed [Helen]</t>
    <phoneticPr fontId="11" type="noConversion"/>
  </si>
  <si>
    <t>http://10.10.10.209/OASIS_FILE_MANAGER/zip_files_download.php?qid=1278231&amp;serialno=UB24-00004381&amp;itemno=1&amp;token=acddc3ef143d61133d36ebdde799eab9</t>
  </si>
  <si>
    <t>(C-Order for New MQ)</t>
  </si>
  <si>
    <t>RN 71387/1</t>
  </si>
  <si>
    <t>UD24-00003293\1(OM</t>
  </si>
  <si>
    <t>SD11677632</t>
  </si>
  <si>
    <t>[21-Aug-2024] Receive email notice to inform backdate C-Order of AWS ID: 373851634295 CL553355 (New MQ) will issue soon
[27-Aug-2024] Close CxS order [Kilson]</t>
  </si>
  <si>
    <t xml:space="preserve">http://10.10.10.209/OASIS_FILE_MANAGER/zip_files_download.php?qid=1281606&amp;serialno=UD24-00003293&amp;itemno=1&amp;token=d2fcc63539ab421111515b95e3d48e8c </t>
  </si>
  <si>
    <t>(C-Order Client VPN)</t>
  </si>
  <si>
    <t>RN 71387/5</t>
  </si>
  <si>
    <t>SD11677645</t>
  </si>
  <si>
    <t>[21-Aug-2024] Receive email notice to inform backdate C-Order of AWS ID: 867641674091 CL540430 (Client VPN) will issue soon
[21-Aug-2024] Receive email notice to inform backdate C-Order of AWS ID: 373851634295 CL553355 (New MQ) will issue soon
[27-Aug-2024] Close CxS order [Kilson]</t>
  </si>
  <si>
    <t>http://10.10.10.209/OASIS_FILE_MANAGER/zip_files_download.php?qid=1281606&amp;serialno=UD24-00003293&amp;itemno=1&amp;token=d2fcc63539ab421111515b95e3d48e8c</t>
  </si>
  <si>
    <t>CL549793</t>
  </si>
  <si>
    <t>RN 63058/1-2</t>
  </si>
  <si>
    <t>UB24-00004370\1(OM)</t>
  </si>
  <si>
    <t>SD11677728</t>
  </si>
  <si>
    <t>[21-Aug-2024] Order issued for project: Aircargo platform [Configuration Charge: HKD57,600) *T3 (PO1045331) [Helen]
[21-Aug-2024] Assign PS Job task to kilson follow up with PS team [Helen]
[21-Aug-2024] Inform PS team to arrange engineer follow-up PS job [Kilson]
[19-Sep-2024] Close CxS order on SRD date: 19-Sep-2024 [Helen]</t>
    <phoneticPr fontId="11" type="noConversion"/>
  </si>
  <si>
    <t xml:space="preserve">http://10.10.10.209/OASIS_FILE_MANAGER/zip_files_download.php?qid=1277695&amp;serialno=UB24-00004370&amp;itemno=1&amp;token=9f6addcb0d82f484aca6665b5dc9237d </t>
  </si>
  <si>
    <t>Jackie Ng</t>
  </si>
  <si>
    <t>228883335 / 9319 3441</t>
  </si>
  <si>
    <t>jackie.sh.ng@pccw.com</t>
  </si>
  <si>
    <t>hid_nub3f4ara_qc3y0</t>
    <phoneticPr fontId="11" type="noConversion"/>
  </si>
  <si>
    <t>27/F, PCCW Tower, Quarry Bay, HKG</t>
  </si>
  <si>
    <t>CL546426</t>
    <phoneticPr fontId="11" type="noConversion"/>
  </si>
  <si>
    <t>RN 500796/1-2</t>
    <phoneticPr fontId="11" type="noConversion"/>
  </si>
  <si>
    <t>BBSMB25-00000128\1(OM)</t>
    <phoneticPr fontId="11" type="noConversion"/>
  </si>
  <si>
    <t>SD11679398</t>
    <phoneticPr fontId="11" type="noConversion"/>
  </si>
  <si>
    <t>[27-Aug-2024] Huawei account was pre-provisioned by product team , no follow up action but just record the order inventory and order can be closed after receive Order [Helen]
[10-Jan-2025] Chase up Katie and order team to issue order [Helen]
[15-May-2025] Order issued. Close CxS order on SRD date: 15-May-2025 [Helen]</t>
    <phoneticPr fontId="11" type="noConversion"/>
  </si>
  <si>
    <t>/</t>
    <phoneticPr fontId="11" type="noConversion"/>
  </si>
  <si>
    <t>No</t>
    <phoneticPr fontId="11" type="noConversion"/>
  </si>
  <si>
    <t>http://10.10.10.209/OASIS_FILE_MANAGER/zip_files_download.php?qid=1410737&amp;serialno=BBSMB25-00000128&amp;itemno=1&amp;token=0cc88db95574e130f1ff0784c353575e</t>
    <phoneticPr fontId="11" type="noConversion"/>
  </si>
  <si>
    <t>Gary Fung</t>
  </si>
  <si>
    <t>gary.fung@shacombank.com.hk</t>
  </si>
  <si>
    <t>851725466015</t>
  </si>
  <si>
    <t>shacom-tms-prod</t>
  </si>
  <si>
    <t>25/F, BLK 2, Kowloon Commercial Centre, 51-53 Kwai Cheong Road, Kaai Chung, NT</t>
  </si>
  <si>
    <t>CL542460</t>
  </si>
  <si>
    <t>RN 56009/3-4</t>
  </si>
  <si>
    <t>UB24-00005026\1(OM)</t>
  </si>
  <si>
    <t>SD11684707</t>
  </si>
  <si>
    <t>[09-Sep-2024] Receve Cloud Checker Reminder Account Created. Send Email to katie to ask the order issue.
[10-Sep-2024] Katie ask Charlotte to issue the order.
[13-Sep-2024] Order issued. Close Backdate order on SRD: 01-Sep-2024 [Helen]</t>
  </si>
  <si>
    <t>http://10.10.10.209/OASIS_FILE_MANAGER/zip_files_download.php?qid=1290625&amp;serialno=UB24-00005026&amp;itemno=1&amp;token=61ab8cd8d23432b22af0854ed48ab6cf</t>
  </si>
  <si>
    <t>148761672430</t>
    <phoneticPr fontId="11" type="noConversion"/>
  </si>
  <si>
    <t>aem_ctf_group</t>
    <phoneticPr fontId="11" type="noConversion"/>
  </si>
  <si>
    <t>CL541969</t>
    <phoneticPr fontId="11" type="noConversion"/>
  </si>
  <si>
    <t>RN 934512/1-2</t>
    <phoneticPr fontId="11" type="noConversion"/>
  </si>
  <si>
    <t>UD25-00000188\1(OM)</t>
    <phoneticPr fontId="11" type="noConversion"/>
  </si>
  <si>
    <t>SD11717409</t>
    <phoneticPr fontId="11" type="noConversion"/>
  </si>
  <si>
    <t xml:space="preserve">
[16-Sep-2024] Receve Cloud Checker Reminder Account Created. Send Email to katie to ask the order issue[Kilson] SD11685347
[10-Jan-2025] Enquiry for order issued status from Katie [Helen]
[15-Jan-2025] Order Issued. Inform Katie for order mapping [Helen]
[16-Jan-2025] Close CxS order on SRD date: 30-Sep-2024. Notify Lok and HKT Pro Cloud MS team that order has managed service T3 [Helen]</t>
    <phoneticPr fontId="11" type="noConversion"/>
  </si>
  <si>
    <t>http://10.10.10.209/OASIS_FILE_MANAGER/zip_files_download.php?qid=1354748&amp;serialno=UD25-00000188&amp;itemno=1&amp;token=d2fcc63539ab421111515b95e3d48e8c</t>
    <phoneticPr fontId="11" type="noConversion"/>
  </si>
  <si>
    <t>rg-hkskytopia-prod-001
rg-hkskytopia-sqcc-001</t>
    <phoneticPr fontId="11" type="noConversion"/>
  </si>
  <si>
    <t>HKIA tower 2, HK international airport</t>
    <phoneticPr fontId="11" type="noConversion"/>
  </si>
  <si>
    <t>Billing Contact: Gary Fung (Tel: 2183 5741) Email: FUNGGKC@hkairport.com</t>
  </si>
  <si>
    <t>CL540396</t>
    <phoneticPr fontId="11" type="noConversion"/>
  </si>
  <si>
    <t>156970/1-2</t>
  </si>
  <si>
    <t>UB24-00005110\1(OM)</t>
  </si>
  <si>
    <t>SD11685747</t>
  </si>
  <si>
    <t>Skycity website revamp Project (PO1087366) [Helen]
(Resource Group name: rg-hkskytopia-prod-001; rg-hkskytopia-sqcc-001)
(PS Job: Cloud Infrastructure Setup, Cloud Security Configuration, Cloud Management and Monitoring)
[16-Sep-2024] Receive order issued
[16-Sep-2024] Bonnie requests lok to provide Azure account name
[17-Sep-2024] Lok replies HKIA Azure project will use the existing subscription (rg-skycity-minisite-prod-001, rg-skycity-minisite-prod-002). No new subscription will be created. Close CxS order on SRD date: 17-Sep-2024. Notify Martin and MS team that order includes managed service T3 by email [Helen]</t>
    <phoneticPr fontId="11" type="noConversion"/>
  </si>
  <si>
    <t>http://10.10.10.209/OASIS_FILE_MANAGER/zip_files_download.php?qid=1292344&amp;serialno=UB24-00005110&amp;itemno=1&amp;token=acddc3ef143d61133d36ebdde799eab9</t>
  </si>
  <si>
    <t>5878226800173996</t>
  </si>
  <si>
    <t>9/F, Tower A, 83 Cheung Sha Wan, KLN, HK</t>
  </si>
  <si>
    <t>RN 234360/1-2</t>
  </si>
  <si>
    <t>[UE24-00003900\1(OM)</t>
  </si>
  <si>
    <t>SD11686353</t>
  </si>
  <si>
    <t>[20-Sep-2024] Receive email to pre-provisioning order to create Alibaba Account, Account Created and send the invitation to customer.Waiting the order issue.[Kilson]
[20-Sep-2024] Customer accept the Invitation and created the account, UID : 5878226800173996, waiting issue the order then send welcome Letter [Kilson]
[20-Sep-2024] Receive Lam Tam Eamil request customer amount form $2143USD to $6429 ($2143 x 3 Mths), and finish adjust the amount.
[20-Sep-2024] Order Issued. Send the Welcome Letter to customer and sent the order Mapping to Katie. CxS will complete on SRD 27 Sep 2024 [Kilson]
[23-Sep-2024] Complete the CxS on 20-Sep-2024 [Kilson]</t>
    <phoneticPr fontId="11" type="noConversion"/>
  </si>
  <si>
    <t xml:space="preserve">http://10.10.10.209/OASIS_FILE_MANAGER/zip_files_download.php?qid=1295297&amp;serialno=UE24-00003900&amp;itemno=1&amp;token=3a577825b6b079b72327513261726934 </t>
  </si>
  <si>
    <t>203918846291</t>
  </si>
  <si>
    <t>nwg-aws-legacycrm-prd</t>
  </si>
  <si>
    <t>nwg_aws_legacycrm_prd@nwcs.com.hk_x000D_</t>
  </si>
  <si>
    <t>CL548788</t>
    <phoneticPr fontId="11" type="noConversion"/>
  </si>
  <si>
    <t>RN 905339/3-4</t>
  </si>
  <si>
    <t>SD11686381</t>
    <phoneticPr fontId="11" type="noConversion"/>
  </si>
  <si>
    <t xml:space="preserve">
[20-Sep-2024] Receive Order, CxS Complete Date 1-Sep 2024. Katie already map the order by herself. [Kilson]
[7-Oct-2024] Receive CloudChekcer Reminder for this Account. Opt-out is done [Kilson]</t>
  </si>
  <si>
    <t>2183 5741_x000D_</t>
  </si>
  <si>
    <t>FUNGGKC@hkairport.com</t>
  </si>
  <si>
    <t>PS Job for CL540396</t>
  </si>
  <si>
    <t>CL540396</t>
  </si>
  <si>
    <t>RN 260554/3</t>
    <phoneticPr fontId="11" type="noConversion"/>
  </si>
  <si>
    <t>UB24-00005216\1(OM)</t>
    <phoneticPr fontId="11" type="noConversion"/>
  </si>
  <si>
    <t>SD11686336</t>
  </si>
  <si>
    <t>Remarks: C-order for SKYCITY Website Project (PS Job: Cloud Infrastructure Setup, Cloud Security Configuration, Cloud Management and Monitoring)
[20-Sep-2024] Receive C-Order of CL540396. Inform Lok arrange engineer follow up. Waiting close CxS order on SRD date [Helen]
[25-Sep-2024] Close CxS order on SRD date: 24-Sep-2024. Inform Martin and MS team that order include Managed Service T3 by email [Helen]</t>
  </si>
  <si>
    <t>http://10.10.10.209/OASIS_FILE_MANAGER/zip_files_download.php?qid=1294745&amp;serialno=UB24-00005216&amp;itemno=1&amp;token=acddc3ef143d61133d36ebdde799eab9</t>
  </si>
  <si>
    <t>Project: HKIA Cargo Multiple Zone</t>
  </si>
  <si>
    <t>CL556003</t>
  </si>
  <si>
    <t>RN 580403/1-2</t>
  </si>
  <si>
    <t>UB24-00005251\1(OM)</t>
  </si>
  <si>
    <t>SD11687351</t>
  </si>
  <si>
    <t>Remarks: Cloud Platform Setup for HKIA Cargo Multiple Zone (PS Job: Cloud Infrastructure Setup HKD56,000) (*T3) PO1087950 (HKD411,996.97)
[20-Sep-2024] Receive Order Issued. Inform Lok arrange engineer follow up the PS Job and provide RG name for this project. Waiting to close I-order on SRD date, then inform sales to issue C-order for PS Job  [Helen]
[24-Sep-2024] Andy Szeto (PS team) replies that RG name for HKIA Cargo Multiple Zone is not yet defined, will prepare a questionnaire to ask client about this [Helen]
[27-Sep-2024] Close CxS order on SRD date: 27-Sep-2024. Inform Martin Wong and MCS Team that order includes managed service T3 and inform Diva Leung (sales team) to issue C-order for PS job [Helen]
[21-Oct-2024] Receive RG name from Andy:
(i) rg-bicp-prod-001
(ii) rg-bicp-sqcc-001</t>
  </si>
  <si>
    <t xml:space="preserve">http://10.10.10.209/OASIS_FILE_MANAGER/zip_files_download.php?qid=1295298&amp;serialno=UB24-00005251&amp;itemno=1&amp;token=acddc3ef143d61133d36ebdde799eab9 </t>
  </si>
  <si>
    <t>C-order for Cloud Platform Setup for Project: HKIA Cargo Multiple Zone
(RG name: rg-bicp-prod-001, rg-bicp-sqcc-001)</t>
    <phoneticPr fontId="11" type="noConversion"/>
  </si>
  <si>
    <t>RN 691492/1-2</t>
  </si>
  <si>
    <t>UB24-00005431\1(OM)</t>
  </si>
  <si>
    <t>SD11687428</t>
  </si>
  <si>
    <t>Remarks:C-order (PS Job: Cloud Infrastructure Setup HKD56,000) for Project: HKIA Cargo Multiple Zone
[24-Sep-2024] Waiting to close I-order on SRD date and inform sales to issue C-order for PS Job [Helen]
[27-Sep-2024] Inform Diva Leung (sales team) to issue C-order for PS job after close I-order [Helen]
[28-Sep-2024] Receive C-order issued. Waiting to close CxS order on SRD date [Helen]
[02-Oct-2024] Close C-order and inform Lok and Pro MS team that order includes managed service T3</t>
    <phoneticPr fontId="11" type="noConversion"/>
  </si>
  <si>
    <t>http://10.10.10.209/OASIS_FILE_MANAGER/zip_files_download.php?qid=1299545&amp;serialno=UB24-00005431&amp;itemno=1&amp;token=acddc3ef143d61133d36ebdde799eab9</t>
  </si>
  <si>
    <t>Project: AA Landing Zone migration</t>
  </si>
  <si>
    <t>CL547551</t>
  </si>
  <si>
    <t>RN 737399/1-2</t>
  </si>
  <si>
    <t>UB24-00005362\1(OM)</t>
  </si>
  <si>
    <t>SD11688253</t>
  </si>
  <si>
    <t>Remarks: Cloud Platform Setup for VIP Lounge website - AA Landing Zone migration  (*T3) PO1088401
[26-Sep-2024] Inform Lok assigns engineer follow up the PS Job and provide RG name. Waiting to close I-order on SRD date and inform sales to issue C-order
[30-Sep-2024] Close CxS order on SRD date: 30-Sep-2024. Inform Diva Leung (sales team) to issue C-order for PS job and email to Martin Wong and MCS team that order includes managed service T3 [Helen]
[30-Sep-2024] Reply from Andy Szeto for Resource Group Name:
(i) rg-hkial-prod-001 - Azure CSP Subscription HKT Production
(ii) rg-hkial-sqcc-001 - Azure CSP Subscription HKT SQCC</t>
    <phoneticPr fontId="11" type="noConversion"/>
  </si>
  <si>
    <t xml:space="preserve">http://10.10.10.209/OASIS_FILE_MANAGER/zip_files_download.php?qid=1299134&amp;serialno=UB24-00005362&amp;itemno=1&amp;token=acddc3ef143d61133d36ebdde799eab9 </t>
  </si>
  <si>
    <t>C-order for Project: AA Landing Zone migration
(rg-hkial-prod-001 - Azure CSP Subscription HKT Production
rg-hkial-sqcc-001 - Azure CSP Subscription HKT SQCC)</t>
  </si>
  <si>
    <t>RN 292086/1-2</t>
  </si>
  <si>
    <t>UB24-00005503\1(OM)</t>
  </si>
  <si>
    <t>SD11688257</t>
  </si>
  <si>
    <t>Remarks: C-order (PS job: Cloud Infrastructure set up) for Project: AA Landing Zone migration 
[26-Sep-2024] Waiting to close I-order on SRD date and inform sales to issue C-order for PS Job for Project: AA Landing Zone migration [Helen]
[30-Sep-2024] Inform Diva Leung (sales team) to issue C-order for PS job [Helen]
[07-Oct-2024] Close CxS order. Inform Lok and Pro Cloud MS team that order includes managed service T3 [Helen]</t>
  </si>
  <si>
    <t>571600851239</t>
  </si>
  <si>
    <t>elderly-aws-ani</t>
  </si>
  <si>
    <t>elderly.aws.ani@nwcs.com.hk</t>
  </si>
  <si>
    <t>CL545198</t>
  </si>
  <si>
    <t>RN 415082/1-2</t>
  </si>
  <si>
    <t>UE24-00004243\1(OM)</t>
  </si>
  <si>
    <t>SD11688924
SD11693471</t>
  </si>
  <si>
    <t>[30-Sep-2024] Receive Cloud Checker Reminder Account Created. Send Email to katie to ask the order issue[Kelvin]
[09-10-2024] Receive Katie Email call sales Cheryl to issue the Order.[Kilson]
[15-Oct-2024] Order Issued. [Helen]
[16-Oct-2024] Checkr account created &amp; sent welcome letter
[16-Otct-2024] Close CxS order [Helen]</t>
  </si>
  <si>
    <t xml:space="preserve">http://10.10.10.209/OASIS_FILE_MANAGER/zip_files_download.php?qid=1306154&amp;serialno=UE24-00004243&amp;itemno=1&amp;token=237b31a7d1fa1e345e3690308e4b677c </t>
  </si>
  <si>
    <t>TI3 Team (Public loud)</t>
    <phoneticPr fontId="11" type="noConversion"/>
  </si>
  <si>
    <t>39192384 / 95198740</t>
    <phoneticPr fontId="11" type="noConversion"/>
  </si>
  <si>
    <t>8fa790c3d09a45e9abffb19b442cad2c</t>
  </si>
  <si>
    <t>AIS1-ODC-DEV</t>
  </si>
  <si>
    <t>ailabodcdev@ha.org.hk</t>
  </si>
  <si>
    <t>11/F, Harbourside HQ,8 Lam Chak St, Kowloon Bay, Kowloon</t>
  </si>
  <si>
    <t>Billing Recipient Email Address: ailabodcdev@ha.org.hk; byron.so@ha.org.hk; kenneth.lui@ha.org.hk</t>
  </si>
  <si>
    <t>CL546950</t>
  </si>
  <si>
    <t>RN 526406/1-2</t>
  </si>
  <si>
    <t>UB24-00006711\1(OM)</t>
    <phoneticPr fontId="11" type="noConversion"/>
  </si>
  <si>
    <t>SD11689577</t>
    <phoneticPr fontId="11" type="noConversion"/>
  </si>
  <si>
    <t>[02-Oct-2024] Receive email request for Huawei account creation from Nelson Wong (HA) [Helen]
[03-Oct-2024] Huawei account creation has done (a/c ID: 8fa790c3d09a45e9abffb19b442cad2c) [Helen]
[11/19/2024] Receive Oasis Order , CxS complete on 1-Oct-2024 [Kilson]
[20-Nov-2024] Notify Martin Wong and Multi-Cloud MS team that order has managed service T2</t>
    <phoneticPr fontId="11" type="noConversion"/>
  </si>
  <si>
    <t>http://10.10.10.209/OASIS_FILE_MANAGER/zip_files_download.php?qid=1326541&amp;serialno=UB24-00006711&amp;itemno=1&amp;token=a964a32236e9d92cb29b0b25f27a5288</t>
  </si>
  <si>
    <t>5898728525262074</t>
  </si>
  <si>
    <t>omni-hub_prod@chowtaifook.com</t>
  </si>
  <si>
    <t>CL559900</t>
  </si>
  <si>
    <t>RN 293565/1-2</t>
  </si>
  <si>
    <t>UD24-00004082\1(OM)</t>
  </si>
  <si>
    <t>SD11691360</t>
  </si>
  <si>
    <t>9/10/2024] Receive Email pre-provision to create a Alibaba Account. 
Account Created and Send the Invitation to customer.Waiting the order issue.[Kilson]
[9-10-2024] Receive Order [Kilson]
[10-10-2024] Sent Welcome Letter to customer and cc to wai Chung [Kilson]
[10-10-2024] CxS Complete [Kilson]
[14-Oct-2024] Send email to Lok and HKT Pro Cloud MS team that order includes managed service T3</t>
  </si>
  <si>
    <t>http://10.10.10.209/OASIS_FILE_MANAGER/zip_files_download.php?qid=1305246&amp;serialno=UD24-00004082&amp;itemno=1&amp;token=d2fcc63539ab421111515b95e3d48e8c</t>
  </si>
  <si>
    <t>5065928526144451</t>
  </si>
  <si>
    <t xml:space="preserve">omni-hub_uat@chowtaifook.com; </t>
  </si>
  <si>
    <t>CL559002</t>
  </si>
  <si>
    <t>RN 293565/3-4</t>
  </si>
  <si>
    <t>SD11691368</t>
  </si>
  <si>
    <t>10/9/2024] Receive Email pre-provision to create a Alibaba Account. 
Account Created and Send the Invitation to customer.Waiting the order issue. [Kilson]
[09-10-2024] Receive Order[Kilson]
[10-10-2024] Sent Welcome Letter to customer and cc to wai Chung [Kilson]
[10-10-2024] CxS Complete [Kilson]
[14-Oct-2024] Send email to Lok and HKT Pro Cloud MS team that order includes managed service T3</t>
  </si>
  <si>
    <t>kester Leung</t>
  </si>
  <si>
    <t xml:space="preserve">kester.leung@hkairport.com </t>
  </si>
  <si>
    <t xml:space="preserve">My HKG Adapter rebuild </t>
  </si>
  <si>
    <t>CL559003</t>
  </si>
  <si>
    <t>RN 699053/1-2</t>
  </si>
  <si>
    <t>UB24-00005648\1(OM)</t>
  </si>
  <si>
    <t>SD11691498</t>
  </si>
  <si>
    <t>[09-10-2024]  Cloud Platform Setup for My HKG Adapter Platform Rebuild
Ps job: Cloud Infrastructure set up[Kilson]
[09-10-2024] Confirm by Lok this is a new project, it require PS to perform the deployment, so the resource group name not yet confirm.[Kilson]
[14-Oct-2024] Close CxS order on SRD date: 14-Oct-2024. Inform Diva (sales team) to issue C-order for the billing charge of PS Job and email to Lok and HKT Pro Cloud MS team that order has managed service T3 [Helen]</t>
  </si>
  <si>
    <t>http://10.10.10.209/OASIS_FILE_MANAGER/zip_files_download.php?qid=1303965&amp;serialno=UB24-00005648&amp;itemno=1&amp;token=acddc3ef143d61133d36ebdde799eab9</t>
  </si>
  <si>
    <t xml:space="preserve">C-order for My HKG Adapter rebuild </t>
  </si>
  <si>
    <t>RN 205021/1-2</t>
  </si>
  <si>
    <t>UB24-00005828\1(OM)</t>
  </si>
  <si>
    <t>SD11692454</t>
    <phoneticPr fontId="11" type="noConversion"/>
  </si>
  <si>
    <t>Remarks: C-order for Project: My HKG Adapter rebuild on Azure (PS Job charge: HKD46,800)
[14-Oct-2024] Close I-order of My HKG Adapter rebuild on Azure. Inform Diva (sales team) to issue C-order for the billing charge of PS job [Helen]
[15-Oct-2024] C-order issued. [Helen]
[16-Oct-2024] Close CxS order. Inform Lok and Pro Cloud MS team that order has managed service T3 by email</t>
  </si>
  <si>
    <t xml:space="preserve">http://10.10.10.209/OASIS_FILE_MANAGER/zip_files_download.php?qid=1307379&amp;serialno=UB24-00005828&amp;itemno=1&amp;token=acddc3ef143d61133d36ebdde799eab9 </t>
  </si>
  <si>
    <t>TI3 Team (Public Cloud)</t>
  </si>
  <si>
    <t>a79fed061c01486f83974f4cc8c4945b</t>
  </si>
  <si>
    <t>EHP19-ODC-DEV</t>
  </si>
  <si>
    <t>dapodcdev@ha.org.hk</t>
  </si>
  <si>
    <t>12/F, Harbourside HQ, 8 Lam Chak St, Kowloon Bay, Kowloon</t>
  </si>
  <si>
    <t>Billing Recipient Email Address: dapodcdev@ha.org.hk; siuy@ha.org.hk; adam.ho@ha.org.hk;</t>
  </si>
  <si>
    <t>CL547575</t>
    <phoneticPr fontId="11" type="noConversion"/>
  </si>
  <si>
    <t>RN 526406/5-6</t>
  </si>
  <si>
    <t>UB24-00006711\1(OM)</t>
  </si>
  <si>
    <t>SD11691726</t>
  </si>
  <si>
    <t>[10-Oct-2024] Receive email request for Huawei account creation from Nelson Wong (HA) [Kelvin]
[10-Oct-2024] Huawei account creation has done (a/c ID: a79fed061c01486f83974f4cc8c4945b ) [Kelvin]
[11/19/2024] Receive Oasis Order , CxS complete on 1-Oct-2024 [Kilson]
[20-Nov-2024] Notify Martin Wong and Multi-Cloud MS team that order has managed service T2</t>
    <phoneticPr fontId="11" type="noConversion"/>
  </si>
  <si>
    <t>TI3 Team (Public Cloud)</t>
    <phoneticPr fontId="11" type="noConversion"/>
  </si>
  <si>
    <t>96b11112e2194451a371cda5f737e1e5</t>
  </si>
  <si>
    <t>EHP18-ODC-DEV</t>
  </si>
  <si>
    <t>hoitehp18cloud@ha.org.hk</t>
  </si>
  <si>
    <t>Billing Recipient Email Address: hoitehp18cloud@ha.org.hk; leungkn@ha.org.hk; kenny.chan1@ha.org.hk;</t>
  </si>
  <si>
    <t>CL547536</t>
  </si>
  <si>
    <t>RN 526406/3-4</t>
  </si>
  <si>
    <t>SD11691924</t>
    <phoneticPr fontId="11" type="noConversion"/>
  </si>
  <si>
    <t>[10-Oct-2024] Receive email request for Huawei account creation from Nelson Wong (HA) [Kelvin]
[10-Oct-2024] Since Cusotmer email account issue, pending HA side confirm the new meeting Data &amp; time. [Kelvin]
[14-Oct-2024] Huawei account creation has done (a/c ID: 96b11112e2194451a371cda5f737e1e5 ) [Kelvin]
[11/19/2024] Receive Oasis Order , CxS complete on 1-Oct-2024 [Kilson]
[20-Nov-2024] Notify Martin Wong and Multi-Cloud MS team that order has managed service T2</t>
    <phoneticPr fontId="11" type="noConversion"/>
  </si>
  <si>
    <t>Sam Wong</t>
  </si>
  <si>
    <t>sam.wong@crypto.com</t>
  </si>
  <si>
    <t>C-order for B&amp;Data Support Token</t>
  </si>
  <si>
    <t>RM1506-6, Floor 15, Pacific Plaza, 418 Des Voeux Road, West Sai Wan, Hong Kong</t>
  </si>
  <si>
    <t>RN 142523/1-2</t>
  </si>
  <si>
    <t>TI24-00010033\1(OM)</t>
  </si>
  <si>
    <t>SD11693834</t>
  </si>
  <si>
    <t>Service Charge (B&amp;Data Support Token) "One off prepayment HKD188,400"
[18-Oct-2024] Order Issued. Inform Joyce (order team) provides TID [Helen]
[18-Oct-2024] CxS order is auto-completed by system with subtype no.23 [Helen]</t>
  </si>
  <si>
    <t>http://10.10.10.209/OASIS_FILE_MANAGER/zip_files_download.php?qid=1309929&amp;serialno=TI24-00010033&amp;itemno=1&amp;token=80494c88d5b9ff927c743e7c522572f2</t>
  </si>
  <si>
    <t>084828562277</t>
  </si>
  <si>
    <t>sfcc_hof_website</t>
  </si>
  <si>
    <t>21-10-2024</t>
  </si>
  <si>
    <t>CL546312</t>
    <phoneticPr fontId="11" type="noConversion"/>
  </si>
  <si>
    <t>RN 733056/3-4</t>
    <phoneticPr fontId="11" type="noConversion"/>
  </si>
  <si>
    <t>UD24-00004918\1(OM)</t>
  </si>
  <si>
    <t>SD11694393</t>
    <phoneticPr fontId="11" type="noConversion"/>
  </si>
  <si>
    <t>[21-Oct-2024] Receive Cloudchecker Reminder for AWS ID: 084828562277, No order issue record. Send Email to Katie to ask sales  issue the Order.[Kilson]
[11/19/2024] Receive order and get the mapping record from Katie. CxS Completee date : 11/19/2024
Forward the email to Dear Lok and Pro Cloud MS team for T3 service [Kilson]</t>
  </si>
  <si>
    <t>http://10.10.10.209/OASIS_FILE_MANAGER/zip_files_download.php?qid=1326705&amp;serialno=UD24-00004918&amp;itemno=1&amp;token=d2fcc63539ab421111515b95e3d48e8c</t>
  </si>
  <si>
    <t>IT Admin</t>
  </si>
  <si>
    <t>2830 5714</t>
  </si>
  <si>
    <t>infraadmin@hysan.com.hk</t>
  </si>
  <si>
    <t>746669236935</t>
  </si>
  <si>
    <t>App Hosting in AWS Cloud Services</t>
    <phoneticPr fontId="11" type="noConversion"/>
  </si>
  <si>
    <t>50/F, Lee Garden One, 33 Hysan Avenue, Causeway Bay, Hong Kong</t>
  </si>
  <si>
    <t>CL557577</t>
  </si>
  <si>
    <t>RN 156410/1-2</t>
  </si>
  <si>
    <t>UD24-00004290\1(OM)</t>
  </si>
  <si>
    <t>SD11695409</t>
  </si>
  <si>
    <t xml:space="preserve">[23-Oct-2024] Order issued. [PS Job (one-off) HKD54,000] [Helen]
[23-Oct-2024] Migration Request sent by Email-System. [Kilson]
[23-Oct-2024] Jason reply already sent the invitation. [Kilson]
[23-Oct-2024] Send the Invitiation to customer [Kilson]
[25-Oct-2024] Bonnie informs Lok to follow up PS job by email. Customer has accepted the migration request via AWS console. Close CxS order on 25-Oct-2024 [Helen]
[25-Oct-2024] Inform Stephen (sales) and Jeff (ASM) to issue C-order for PS job and notify Martin Wong and Multi-Cloud MS team that order has managed service T2 [Helen]
[28-Oct-2024] Checkr account created &amp; sent welcome letter [Kelvin] </t>
  </si>
  <si>
    <t>http://10.10.10.209/OASIS_FILE_MANAGER/zip_files_download.php?qid=1313220&amp;serialno=UD24-00004290&amp;itemno=1&amp;token=79de2540eb354e9fcf69643b382b367b</t>
  </si>
  <si>
    <t>Misc Change</t>
    <phoneticPr fontId="11" type="noConversion"/>
  </si>
  <si>
    <t>C-order for App Hosting in AWS Cloud Services</t>
    <phoneticPr fontId="11" type="noConversion"/>
  </si>
  <si>
    <t>RN720368/5-6</t>
    <phoneticPr fontId="11" type="noConversion"/>
  </si>
  <si>
    <t>UD25-00002068\1(OM)</t>
    <phoneticPr fontId="11" type="noConversion"/>
  </si>
  <si>
    <t>SD11696067</t>
    <phoneticPr fontId="11" type="noConversion"/>
  </si>
  <si>
    <t>PS Job (one-off) HKD54,000
[25-Oct-2024] Inform Stephen (sales) and Jeff (ASM) to issue C-order for PS job [Helen]
[13-May-2025] Back date order Issued. Close CxS order on 01-Feb-2025 [Helen]</t>
    <phoneticPr fontId="11" type="noConversion"/>
  </si>
  <si>
    <t>http://10.10.10.209/OASIS_FILE_MANAGER/zip_files_download.php?qid=1409278&amp;serialno=UD25-00002068&amp;itemno=1&amp;token=60dd0b3f39f9d7bc59c4edb98c5a7721</t>
    <phoneticPr fontId="11" type="noConversion"/>
  </si>
  <si>
    <t>itdadmin@chowsangsang.com</t>
  </si>
  <si>
    <t>Existing Microsoft A/C : sharon.tse.w.m@chowsangsang.com</t>
  </si>
  <si>
    <t>26/F, 9 Wing Hong Street, Cheung Sha Wan, Kowloon</t>
  </si>
  <si>
    <t>CL559006</t>
  </si>
  <si>
    <t>RN 060995/1-2</t>
  </si>
  <si>
    <t>UB24-00006047\1(OM)</t>
  </si>
  <si>
    <t>SD11695475</t>
  </si>
  <si>
    <t>[23-Oct-2024] Order issued. [Setup Required: Visual Studio Professional]
[24-Oct-2024] No further follow up. Close CxS order [Helen]</t>
  </si>
  <si>
    <t>http://10.10.10.209/OASIS_FILE_MANAGER/zip_files_download.php?qid=1312943&amp;serialno=UB24-00006047&amp;itemno=1&amp;token=acddc3ef143d61133d36ebdde799eab9</t>
  </si>
  <si>
    <t>039612869094</t>
  </si>
  <si>
    <t>CTF_omihub</t>
  </si>
  <si>
    <t>CL546297</t>
  </si>
  <si>
    <t>RN 733056/1-2</t>
  </si>
  <si>
    <t>SD11696489</t>
  </si>
  <si>
    <t>[28-Oct-2024] Receve Cloud Checker Reminder Account Created. Send Email to katie to ask the order issue.  SD11696489
[11/19/2024] Receive order and get the mapping record from Katie. CxS Completee date : 11/19/2024
Forward the email to Dear Lok and Pro Cloud MS team for T3 service [Kilson]</t>
  </si>
  <si>
    <t>Project: Cloud Platform Setup for mobile app on Azure</t>
    <phoneticPr fontId="11" type="noConversion"/>
  </si>
  <si>
    <t>CL551625</t>
  </si>
  <si>
    <t>RN068215/1-2</t>
  </si>
  <si>
    <t>UB24-00006171\1(OM)</t>
  </si>
  <si>
    <t>SD11697069</t>
  </si>
  <si>
    <t>Project: Cloud Platform Setup for mobile app on Azure [PO1089578 (HKD1,585,046.62]
Close CxS order on SRD date: 29-Oct-2024. Inform Diva (sales team) to issue C-order for the billing charge of PS Job [Kilson]</t>
    <phoneticPr fontId="11" type="noConversion"/>
  </si>
  <si>
    <t>http://10.10.10.209/OASIS_FILE_MANAGER/zip_files_download.php?qid=1315484&amp;serialno=UB24-00006171&amp;itemno=1&amp;token=acddc3ef143d61133d36ebdde799eab9</t>
  </si>
  <si>
    <t>C-order for 
Project: Cloud Platform Setup for mobile app on Azure</t>
    <phoneticPr fontId="11" type="noConversion"/>
  </si>
  <si>
    <t>RN261130/1-2</t>
    <phoneticPr fontId="11" type="noConversion"/>
  </si>
  <si>
    <t>UB24-00006591\1(OM)</t>
    <phoneticPr fontId="11" type="noConversion"/>
  </si>
  <si>
    <t>SD11697263</t>
  </si>
  <si>
    <t>[Helen]
Project: Cloud Platform Setup for mobile app on Azure [PS Job for Cloud Infrastructure set up (HKD443,500)]
[30-Oct-2024] Waiting C-order issue (PS Job for Cloud Infrastructure set up)
[14-Nov-2024] Order Issued. Inform Lok arranges engineers follow up the PS job
[14-Nov-2024] Notify Lok and Pro Cloud MS team that order has managed service T3. Close CxS order</t>
    <phoneticPr fontId="11" type="noConversion"/>
  </si>
  <si>
    <t>http://10.10.10.209/OASIS_FILE_MANAGER/zip_files_download.php?qid=1324457&amp;serialno=UB24-00006591&amp;itemno=1&amp;token=acddc3ef143d61133d36ebdde799eab9</t>
    <phoneticPr fontId="11" type="noConversion"/>
  </si>
  <si>
    <t>CL553182</t>
  </si>
  <si>
    <t>RN 327767/1-2</t>
  </si>
  <si>
    <t>UD24-00004502\1(OM)</t>
    <phoneticPr fontId="11" type="noConversion"/>
  </si>
  <si>
    <t>SD11697077</t>
  </si>
  <si>
    <t>Remark: 30 Mandays Token [HKD228,000] PID:9016576
[29-Oct-2024] PS job charge for 30 Mandays-Order_2nd Token, Forward the mail to Lok</t>
    <phoneticPr fontId="11" type="noConversion"/>
  </si>
  <si>
    <t xml:space="preserve">http://10.10.10.209/OASIS_FILE_MANAGER/zip_files_download.php?qid=1315868&amp;serialno=UD24-00004502&amp;itemno=1&amp;token=d2fcc63539ab421111515b95e3d48e8c </t>
  </si>
  <si>
    <t>clientelingapp_prd
clientelingapp_uat</t>
  </si>
  <si>
    <t>25/F, World Peace Centre, 41-55 Wo Tong Tsui St., Kwai Chung, NT.</t>
  </si>
  <si>
    <t>RN 998485/1-2</t>
  </si>
  <si>
    <t>UD24-00004501\1(OM)</t>
  </si>
  <si>
    <t>SD11697413</t>
  </si>
  <si>
    <t>Backdate Order
Client Telling App (HKD56,000): Client telling PROD; Client telling UAT
[28-Oct-2024] C-order issue for Client Telling App
[30-Oct-024] Close CxS order on backdate 30-Sep-2024</t>
  </si>
  <si>
    <t>http://10.10.10.209/OASIS_FILE_MANAGER/zip_files_download.php?qid=1315061&amp;serialno=UD24-00004501&amp;itemno=1&amp;token=d2fcc63539ab421111515b95e3d48e8c</t>
  </si>
  <si>
    <t>CTF_CRM_APIGW_Prod
CTF_CRM_APIGW_UAT</t>
  </si>
  <si>
    <t>CL547917</t>
  </si>
  <si>
    <t>RN 998485/3-4</t>
  </si>
  <si>
    <t>Backdate Order
Ctfclub revamp (HKD56,000): CTF Club PROD, CTF Cloud UAT
[28-Oct-2024] C-order issue for Ctfclub revamp
[30-Oct-024] Close CxS order on backdate 30-Sep-2024</t>
  </si>
  <si>
    <t>CTF_Eventmanagement_Prod
CTF_Eventmanagement_UAT</t>
  </si>
  <si>
    <t>CL546252</t>
  </si>
  <si>
    <t>RN 998485/5-6</t>
  </si>
  <si>
    <t>Backdate Order
CTFbooking (HKD40,000)
[28-Oct-2024] C-order issue for CTFbooking
[30-Oct-024] Close CxS order on backdate 30-Sep-2024</t>
  </si>
  <si>
    <t>kin.luk@ha.org.hk</t>
    <phoneticPr fontId="11" type="noConversion"/>
  </si>
  <si>
    <t>c3e520af7d2846df9a72f9383edffb75</t>
    <phoneticPr fontId="11" type="noConversion"/>
  </si>
  <si>
    <t>CP13-ODC-DEV</t>
  </si>
  <si>
    <t xml:space="preserve">hoitcp13cloud@ha.org.hk </t>
  </si>
  <si>
    <t>12/F, Harbourside HQ, 8 Lam Chak Street, Kowloon Bay</t>
  </si>
  <si>
    <t>Billing Recipient Email Address: hoitcp13cloud@ha.org.hk; psm491@ha.org.hk; mkw951@ha.org.hk</t>
  </si>
  <si>
    <t>CL559702</t>
    <phoneticPr fontId="11" type="noConversion"/>
  </si>
  <si>
    <t>RN 853614/11-12</t>
    <phoneticPr fontId="11" type="noConversion"/>
  </si>
  <si>
    <t>UB24-00007172\1(OM)</t>
    <phoneticPr fontId="11" type="noConversion"/>
  </si>
  <si>
    <t>SD11698994</t>
    <phoneticPr fontId="11" type="noConversion"/>
  </si>
  <si>
    <t>Pre-Pro Order
[05-Nov-2024] Receive HA Huawei account creation email request
[06-Nov-2024] Huawei account creation has done (a/c ID: c3e520af7d2846df9a72f9383edffb75 ) [Helen]
[06-Dec-2024] Order Issued. Inform katie for order mapping {Helen]
[06-Dec-2024] Order Issued. Close CxS order on SRD date: 01-Nov-2024. Inform Martin Wong and Multi-Cloud MS team that order has managed service T2 [Helen]</t>
    <phoneticPr fontId="11" type="noConversion"/>
  </si>
  <si>
    <t>http://10.10.10.209/OASIS_FILE_MANAGER/zip_files_download.php?qid=1336888&amp;serialno=UB24-00007172&amp;itemno=1&amp;token=a964a32236e9d92cb29b0b25f27a5288</t>
    <phoneticPr fontId="11" type="noConversion"/>
  </si>
  <si>
    <t>Alan Lee</t>
  </si>
  <si>
    <t>3919 3055 / 9659 6547</t>
  </si>
  <si>
    <t>asllee@legco.gov.hk</t>
  </si>
  <si>
    <t>MS Poratl Company name: LEGISLATIVE COUNCIL
Subscribed Service: Multi-Cloud Service – Microsoft Azure
Tenant ID: hklegco.onmicrosoft.com
Azure ID : 33cafc6c-1945-4d28-b6e3-3126a17dbf76</t>
  </si>
  <si>
    <t>Rm406 4F, Legislative Council Complex, Central</t>
  </si>
  <si>
    <t>CL546675</t>
  </si>
  <si>
    <t>RN 564808/1-2</t>
  </si>
  <si>
    <t>UC24-00006746\1(OM)</t>
  </si>
  <si>
    <t>SD11699256</t>
  </si>
  <si>
    <t>Primary Domain Name:  hklegco.onmicrosoft.com 
Configuration Charge: HKD43,000 (PO no #  2407207/AMIT137 (Ref: AMIT137.24-25))
[07-Nov-2024] Confrimed customer had approved the admin relationship. Added  admin contact as the owner in the Azure subscription. Sent the welcome letter to customer.(SD11699652)[Hin]
[07-Nov-2024] Confirm with Bonnie, no PS Job for this order. Order fulfillment had done. Close CxS order</t>
  </si>
  <si>
    <t>http://10.10.10.209/OASIS_FILE_MANAGER/zip_files_download.php?qid=1319911&amp;serialno=UC24-00006746&amp;itemno=1&amp;token=684f3a74b3d1e917d2decd6e306125b8</t>
  </si>
  <si>
    <t>Davy Lin</t>
  </si>
  <si>
    <t>davy.lin@aastocks.com</t>
  </si>
  <si>
    <t>Existing Huawei A/C Name : aa-huawei2020</t>
  </si>
  <si>
    <t>RN 524396/1-2</t>
  </si>
  <si>
    <t>TI24-00010688\1(OM)]</t>
  </si>
  <si>
    <t>SD11699464</t>
    <phoneticPr fontId="11" type="noConversion"/>
  </si>
  <si>
    <t>Backdate Order
[06-Nv-2024] Order Issued. The customer has requested the T2 Managed Service with existing CL541717. Inform Martin Wong and MS team that order has managed service T2 by email [Helen]</t>
  </si>
  <si>
    <t>http://10.10.10.209/OASIS_FILE_MANAGER/zip_files_download.php?qid=1320720&amp;serialno=TI24-00010688&amp;itemno=1&amp;token=6a018acb188f88fcba14dcc50c3a9345</t>
  </si>
  <si>
    <t>Mathew JON</t>
  </si>
  <si>
    <t>cimsehp12dental@ha.org.hk</t>
  </si>
  <si>
    <t>6822eebd57b04196ab335bbd17da13c2</t>
    <phoneticPr fontId="11" type="noConversion"/>
  </si>
  <si>
    <t>CIMS2-DTS-PRD</t>
  </si>
  <si>
    <t xml:space="preserve">Billing Recipient Email Address: cimsehp12dental@ha.org.hk; wongkm3@ha.org.hk; khf739@ha.org.hk </t>
  </si>
  <si>
    <t>CL554198</t>
    <phoneticPr fontId="11" type="noConversion"/>
  </si>
  <si>
    <t>RN 853614/5-6</t>
    <phoneticPr fontId="11" type="noConversion"/>
  </si>
  <si>
    <t>SD11700695</t>
    <phoneticPr fontId="11" type="noConversion"/>
  </si>
  <si>
    <t>[08-Nov-2024] Receive email request for Huawei account creation from Mathew JON [Kelvin]
[11-Nov-2024] Huawei account creation has done [Kelvin]
[06-Dec-2024] Order Issued. Inform Katie for order mapping [Helen]
[06-Dec-2024] Order Issued. Close CxS order on SRD date: 01-Nov-2024. Inform Martin Wong and Multi-Cloud MS team that order has managed service T2 [Helen]</t>
    <phoneticPr fontId="11" type="noConversion"/>
  </si>
  <si>
    <t>cimsehp12asl@ha.org.hk</t>
  </si>
  <si>
    <t>e65afe91f6334579bdf08023e6d67d6b</t>
    <phoneticPr fontId="11" type="noConversion"/>
  </si>
  <si>
    <t>CIMS2-ASL-PRD</t>
    <phoneticPr fontId="11" type="noConversion"/>
  </si>
  <si>
    <t>Billing Recipient Email Address: cimsehp12asl@ha.org.hk; wongkm3@ha.org.hk; khf739@ha.org.hk</t>
  </si>
  <si>
    <t>CL552556</t>
    <phoneticPr fontId="11" type="noConversion"/>
  </si>
  <si>
    <t>RN853614/3-4</t>
    <phoneticPr fontId="11" type="noConversion"/>
  </si>
  <si>
    <t>SD11700694</t>
    <phoneticPr fontId="11" type="noConversion"/>
  </si>
  <si>
    <t>[08-Nov-2024] Receive email request for Huawei account creation from Mathew JON [Kelvin]
[11-Nov-2024] Since Login ID issue need to follow up next day[Kelvin]
[12-Nov-2024] Huawei account creation has done [Kelvin]
[06-Dec-2024] Order Issued. Inform Kaie for order mapping [Helen]
[06-Dec-2024] Close CxS order on SRD date: 01-Nov-2024. Inform Martin Wong and Multi-Cloud MS team that order has managed service T2 [Helen]</t>
    <phoneticPr fontId="11" type="noConversion"/>
  </si>
  <si>
    <t>Tommy Hui</t>
  </si>
  <si>
    <t>tommy.hui@jardines.com</t>
  </si>
  <si>
    <t xml:space="preserve">This is Professional Service only (for non HKT AWS ID) </t>
    <phoneticPr fontId="11" type="noConversion"/>
  </si>
  <si>
    <t>25/F, Devon House, Taikoo Place, 979 King's Road</t>
  </si>
  <si>
    <t>CL558584</t>
  </si>
  <si>
    <t>RN 528248/1-2</t>
  </si>
  <si>
    <t>UE24-00004103\1(OM)</t>
  </si>
  <si>
    <t>SD11700822</t>
    <phoneticPr fontId="11" type="noConversion"/>
  </si>
  <si>
    <t>Rematk: This order is Professional Service only (for non HKT AWS ID) [Configuration Charge (HKD17,000)]
[11-Nov-2024] I-Order Issued.
[12-Nov-2024] Inform Lok to arrange engineer follow up PS Job. Close CxS order on SRD date: 08-Oct-2024</t>
    <phoneticPr fontId="11" type="noConversion"/>
  </si>
  <si>
    <t xml:space="preserve">http://10.10.10.209/OASIS_FILE_MANAGER/zip_files_download.php?qid=1322692&amp;serialno=UE24-00004103&amp;itemno=1&amp;token=3a577825b6b079b72327513261726934 </t>
  </si>
  <si>
    <t>302263056145</t>
    <phoneticPr fontId="11" type="noConversion"/>
  </si>
  <si>
    <t>BIS1-AIPSUP-PROD</t>
    <phoneticPr fontId="11" type="noConversion"/>
  </si>
  <si>
    <t>bis1opsupp@ha.org.hk</t>
    <phoneticPr fontId="11" type="noConversion"/>
  </si>
  <si>
    <t>8/F, Harbourside HQ, 8 Lam Chak Street, Kowloon Bay</t>
    <phoneticPr fontId="11" type="noConversion"/>
  </si>
  <si>
    <t>Billing Recipient Email Address: bis1nonprdopsupport@ha.org.hk; wongmk@ha.org.hk; zero.lai@ha.org.hk</t>
  </si>
  <si>
    <t>CL541979</t>
    <phoneticPr fontId="11" type="noConversion"/>
  </si>
  <si>
    <t>RN 061552/1-2</t>
    <phoneticPr fontId="11" type="noConversion"/>
  </si>
  <si>
    <t>UB25-00001519\1(OM)</t>
    <phoneticPr fontId="11" type="noConversion"/>
  </si>
  <si>
    <t>SD11701190</t>
    <phoneticPr fontId="11" type="noConversion"/>
  </si>
  <si>
    <t>Pre-pro order [Helen]
[13-Nov-2024] Receive HA AWS account creation email request
[13-Nov-2024] Receive the case ID: #1364 to acknowledge the request from HKT-Cloud EMS team
[13-Nov-2024] Account created
[18-Nov-2024]Receive cloudchecker reminder, confirm account created [Kilson]
[19-Nov-2024] Send email to Katie to call sales issue the order [Kilson]
[10-Mar-2025] Order issued
[11-Mar-2025] Close CxS order on SRD date: 01-Feb-2025 and notify martin wong and multi-cloud MS team that order has managed service T2.
[11-Mar-2025] Chase order team to proivde TID to complete task</t>
    <phoneticPr fontId="11" type="noConversion"/>
  </si>
  <si>
    <t>http://10.10.10.209/OASIS_FILE_MANAGER/zip_files_download.php?qid=1378898&amp;serialno=UB25-00001519&amp;itemno=1&amp;token=a964a32236e9d92cb29b0b25f27a5288</t>
    <phoneticPr fontId="11" type="noConversion"/>
  </si>
  <si>
    <t>248189918119</t>
    <phoneticPr fontId="11" type="noConversion"/>
  </si>
  <si>
    <t>BIS1-AIPSUP-NONPROD</t>
    <phoneticPr fontId="11" type="noConversion"/>
  </si>
  <si>
    <t xml:space="preserve">bis1nonprdopsupport@ha.org.hk </t>
    <phoneticPr fontId="11" type="noConversion"/>
  </si>
  <si>
    <t>CL543404</t>
    <phoneticPr fontId="11" type="noConversion"/>
  </si>
  <si>
    <t>RN 061552/3-4</t>
    <phoneticPr fontId="11" type="noConversion"/>
  </si>
  <si>
    <t>SD11701215</t>
    <phoneticPr fontId="11" type="noConversion"/>
  </si>
  <si>
    <t>Pre-pro order [Helen]
[13-Nov-2024] Receive HA AWS account creation email request
[13-Nov-2024] Receive the case ID: #1364 to acknowledge the request from HKT-Cloud EMS team
[13-Nov-2024] Account created
[18-Nov-2024]Receive cloudchecker reminder, confirm account created [Kilson]
[19-Nov-2024] Send email to Katie to call sales issue the order [Kilson]
[10-Mar-2025] Order issued [Helen]
[11-Mar-2025] Close CxS order on SRD date: 01-Feb-2025 and notify martin wong and multi-cloud MS team that order has managed service T2
[11-Mar-2025] Chase order team to proivde TID to complete task</t>
    <phoneticPr fontId="11" type="noConversion"/>
  </si>
  <si>
    <t>Anson Lam</t>
  </si>
  <si>
    <t>3660 7196 / 67775293</t>
  </si>
  <si>
    <t>ftd-cstcb-for-e-office@police.gov.hk</t>
  </si>
  <si>
    <t>c69b1d831e6b495e8e98029fd47d2873</t>
  </si>
  <si>
    <t>cstcb2024@gmail.com</t>
  </si>
  <si>
    <t>Flat CSTCB, 22/F, Block: Arsenal House, Police Headquarter Arsenal House, 1 Arsenal Street, Wan Chai, Hong Kong</t>
  </si>
  <si>
    <t>CL552109</t>
  </si>
  <si>
    <t>RN 457878/1-2</t>
  </si>
  <si>
    <t>UC24-00006956\1(OM)</t>
  </si>
  <si>
    <t>SD11701271</t>
    <phoneticPr fontId="11" type="noConversion"/>
  </si>
  <si>
    <t>Huawei Cloud
&lt;&lt;SD11701271&gt;&gt;
Pre-provisioning order, sales will place order afterward.
[13-Nov-24] Sent invitation link to customer, waiting for reply
[13-Nov-24]Confirm customer account creted. Unfrozen and set monthly budget as USD$1607.06  (HKD$12500) for customer account
[14-Nov-2024] Order Issued. Close CxS order on SRD date: 14-Nov-2024 [Helen]</t>
    <phoneticPr fontId="11" type="noConversion"/>
  </si>
  <si>
    <t>http://10.10.10.209/OASIS_FILE_MANAGER/zip_files_download.php?qid=1325532&amp;serialno=UC24-00006956&amp;itemno=1&amp;token=5ec2997e53fb37238f0358c51f50024f</t>
  </si>
  <si>
    <t>Joe Wan</t>
  </si>
  <si>
    <t>Joe.wan@ha.org.hk</t>
  </si>
  <si>
    <t>AIS1-AILAB-PRD</t>
    <phoneticPr fontId="11" type="noConversion"/>
  </si>
  <si>
    <t>ais1aiazureprdsupp@ha.org.hk</t>
  </si>
  <si>
    <t>7/F, KITEC, Kowloon Bay</t>
  </si>
  <si>
    <t>CL547822</t>
  </si>
  <si>
    <t>RN 526406/7-8</t>
  </si>
  <si>
    <t>SD11702955</t>
    <phoneticPr fontId="11" type="noConversion"/>
  </si>
  <si>
    <t>[11/19/2024] Receive Oasis Order , CxS complete on 1-Oct-2024 [Kilson]
[20-Nov-2024] Notify Martin Wong and Multi-Cloud MS team that order has managed service T2</t>
    <phoneticPr fontId="11" type="noConversion"/>
  </si>
  <si>
    <t>CL541610</t>
    <phoneticPr fontId="11" type="noConversion"/>
  </si>
  <si>
    <t>SD11702886</t>
  </si>
  <si>
    <r>
      <rPr>
        <strike/>
        <sz val="11"/>
        <color rgb="FF000000"/>
        <rFont val="Aptos Narrow"/>
        <family val="2"/>
        <scheme val="minor"/>
      </rPr>
      <t xml:space="preserve">[19-Nov-2024] Receive Order, CxS Complete  Date : 18-Nov-2024. Create CL only, No need create Alibaba Account. [Kilson]
</t>
    </r>
    <r>
      <rPr>
        <strike/>
        <sz val="11"/>
        <color rgb="FFFF0000"/>
        <rFont val="Aptos Narrow"/>
        <family val="2"/>
        <scheme val="minor"/>
      </rPr>
      <t>This order is create the order of Row 92</t>
    </r>
  </si>
  <si>
    <t>Cyrus Chan</t>
    <phoneticPr fontId="11" type="noConversion"/>
  </si>
  <si>
    <t>2110 6416</t>
    <phoneticPr fontId="11" type="noConversion"/>
  </si>
  <si>
    <t>cyrus@monmonkeygroup.com</t>
    <phoneticPr fontId="11" type="noConversion"/>
  </si>
  <si>
    <t>AVD POC</t>
    <phoneticPr fontId="11" type="noConversion"/>
  </si>
  <si>
    <t>Rm2418, 24/F, China Merchants Tower, Shun Tak Centre, 168-200 Connaught Road, Sheung Wan, HK</t>
    <phoneticPr fontId="11" type="noConversion"/>
  </si>
  <si>
    <t>CL547844</t>
    <phoneticPr fontId="11" type="noConversion"/>
  </si>
  <si>
    <t>RN 750536/1-2</t>
    <phoneticPr fontId="11" type="noConversion"/>
  </si>
  <si>
    <t>TI24-00011160\1(OM)</t>
    <phoneticPr fontId="11" type="noConversion"/>
  </si>
  <si>
    <t>SD11702980</t>
    <phoneticPr fontId="11" type="noConversion"/>
  </si>
  <si>
    <t>AVD POC [Professional Services (Include 32 Office hurs): PS Job charge: HKD32,000]
[20-Nov-2024] Order Issued. Inform Lok to arrange engineer follow up PS job and provide RG name for record
[20-Nov-2024] Bonnie is asking William to confirm if this order need SP team to create tenant under CSP portal or handle by product team
[21-Nov-2024] Created tenant and added the Azure subscription in CSP. Send Welcome Letter with login ID &amp; PW to William, Vivian and Lok in separate email
[26-Nov-2024] Close CxS order on SRD date: 26-Nov-2024</t>
    <phoneticPr fontId="11" type="noConversion"/>
  </si>
  <si>
    <t>http://10.10.10.209/OASIS_FILE_MANAGER/zip_files_download.php?qid=1327861&amp;serialno=TI24-00011160&amp;itemno=1&amp;token=7f0a5e9c36223e637ecbcf9e27afc771</t>
    <phoneticPr fontId="11" type="noConversion"/>
  </si>
  <si>
    <t>Pre-Pro</t>
    <phoneticPr fontId="11" type="noConversion"/>
  </si>
  <si>
    <t>Dry Yuen</t>
    <phoneticPr fontId="11" type="noConversion"/>
  </si>
  <si>
    <t>dry.yuen@ha.org.hk</t>
    <phoneticPr fontId="11" type="noConversion"/>
  </si>
  <si>
    <t>b93cc1aa13514467af654617f50de3e6</t>
    <phoneticPr fontId="11" type="noConversion"/>
  </si>
  <si>
    <t>QA1-ODC-DEV</t>
    <phoneticPr fontId="11" type="noConversion"/>
  </si>
  <si>
    <t>qa1team@ha.org.hk</t>
    <phoneticPr fontId="11" type="noConversion"/>
  </si>
  <si>
    <t>Rm.309S, Hospital Authority Building, 147B Argyle St, Ma Tau Wai, KLN</t>
    <phoneticPr fontId="11" type="noConversion"/>
  </si>
  <si>
    <t>Billing Recipient Email Address: qa1team@ha.org.hk; michelle.sam@ha.org.hk;  taurus.wong@ha.org.hk</t>
    <phoneticPr fontId="11" type="noConversion"/>
  </si>
  <si>
    <t>CL559680</t>
    <phoneticPr fontId="11" type="noConversion"/>
  </si>
  <si>
    <t>RN 853614/7-8</t>
    <phoneticPr fontId="11" type="noConversion"/>
  </si>
  <si>
    <t>SD11703589</t>
    <phoneticPr fontId="11" type="noConversion"/>
  </si>
  <si>
    <t>[22-Nov-2024] Receive HA Huawei account creation email request
[22-Nov-2024] Receive the case ID: #1368 to acknowledge the request from HKT-Cloud EMS team
[22-Nov-2024] HA Huawei account created
[06-Dec-2024] Order Issued. Inform Katie for order mapping [Helen]
[06-Dec-2024] Close CxS order on SRD date: 01-Nov-2024. Inform Martin Wong and Multi-Cloud MS team that order has managed service T2 [Helen]</t>
    <phoneticPr fontId="11" type="noConversion"/>
  </si>
  <si>
    <t>759168424209</t>
  </si>
  <si>
    <t>084375558678</t>
    <phoneticPr fontId="11" type="noConversion"/>
  </si>
  <si>
    <t>k11-aws-crm-nonprd</t>
    <phoneticPr fontId="11" type="noConversion"/>
  </si>
  <si>
    <t>k11_aws_crm_nonprd@nwcs.com.hk</t>
    <phoneticPr fontId="11" type="noConversion"/>
  </si>
  <si>
    <t>10/F, Tower A, 83 King Lam Street, Cheung Sha Wan, KLN</t>
  </si>
  <si>
    <t>CL559595</t>
    <phoneticPr fontId="11" type="noConversion"/>
  </si>
  <si>
    <t>RN 526472/1-2</t>
    <phoneticPr fontId="11" type="noConversion"/>
  </si>
  <si>
    <t>UE24-00005071\1(OM)]</t>
    <phoneticPr fontId="11" type="noConversion"/>
  </si>
  <si>
    <t xml:space="preserve">
SD11705556</t>
    <phoneticPr fontId="11" type="noConversion"/>
  </si>
  <si>
    <t>[11/25/2024] Receive cloud Checker reminder account created. No information found. Inform Katie call sales to issue the order.[Kilson] SD11704088
[29-Nov-2024] Order Issued. Inform Katie for order mapping. Close CxS order on 29-Nov-2024 [Helen]</t>
  </si>
  <si>
    <t>http://10.10.10.209/OASIS_FILE_MANAGER/zip_files_download.php?qid=1331943&amp;serialno=UE24-00005071&amp;itemno=1&amp;token=3a577825b6b079b72327513261726934</t>
    <phoneticPr fontId="11" type="noConversion"/>
  </si>
  <si>
    <t>038462769402</t>
    <phoneticPr fontId="11" type="noConversion"/>
  </si>
  <si>
    <t>nwcs-crm-modules-nonprd</t>
    <phoneticPr fontId="11" type="noConversion"/>
  </si>
  <si>
    <t>nwd_aws_nwc_crm_nonprd@nwcs.com.hk</t>
    <phoneticPr fontId="11" type="noConversion"/>
  </si>
  <si>
    <t>CL559602</t>
    <phoneticPr fontId="11" type="noConversion"/>
  </si>
  <si>
    <t>RN 526472/3-4</t>
    <phoneticPr fontId="11" type="noConversion"/>
  </si>
  <si>
    <t>[11/25/2024] Receive cloud Checker reminder account created. No information found. Inform Katie call sales to issue the order.[Kilson] SD11704088
[29-Nov-2024] Order Issued. Inform Katie for order mapping. Close CxS order on 29-Nov-2024 [Helen]</t>
    <phoneticPr fontId="11" type="noConversion"/>
  </si>
  <si>
    <r>
      <t>http://10.10.10.209/OASIS_FILE_MANAGER/zip_files_download.php?qid=1331943&amp;serialno=UE24-00005071&amp;itemno=1&amp;token=3a577825b6b079b72327513261726934</t>
    </r>
    <r>
      <rPr>
        <u/>
        <sz val="11"/>
        <color theme="10"/>
        <rFont val="Aptos Narrow"/>
        <family val="1"/>
        <charset val="136"/>
        <scheme val="minor"/>
      </rPr>
      <t xml:space="preserve"> </t>
    </r>
  </si>
  <si>
    <t>879381254324</t>
    <phoneticPr fontId="11" type="noConversion"/>
  </si>
  <si>
    <t>nwd-aws-nwc-crm-nonprd</t>
    <phoneticPr fontId="11" type="noConversion"/>
  </si>
  <si>
    <t>nwcs_crm_modules_nonprd@nwcs.com.hk</t>
    <phoneticPr fontId="11" type="noConversion"/>
  </si>
  <si>
    <t>CL559652</t>
    <phoneticPr fontId="11" type="noConversion"/>
  </si>
  <si>
    <t xml:space="preserve">RN 526472/5-6 </t>
    <phoneticPr fontId="11" type="noConversion"/>
  </si>
  <si>
    <t>2fa1898e445241e197a8cf3e74a7d784</t>
    <phoneticPr fontId="11" type="noConversion"/>
  </si>
  <si>
    <t>CP14-ODC-DEV</t>
    <phoneticPr fontId="11" type="noConversion"/>
  </si>
  <si>
    <t>cp14cloudserviceuser@ha.org.hk</t>
  </si>
  <si>
    <t>12/F, Harbourside HQ, 8 Lam Chak Street, Kowloon Bay</t>
    <phoneticPr fontId="11" type="noConversion"/>
  </si>
  <si>
    <t>Billing Recipient Email Address: cp14cloudserviceuser@ha.org.hk; chesteryiu@ha.org.hk; gordon.sin@ha.org.hk</t>
    <phoneticPr fontId="11" type="noConversion"/>
  </si>
  <si>
    <t>CL559687</t>
    <phoneticPr fontId="11" type="noConversion"/>
  </si>
  <si>
    <t>RN 853614/9-10</t>
    <phoneticPr fontId="11" type="noConversion"/>
  </si>
  <si>
    <t>SD11704487</t>
    <phoneticPr fontId="11" type="noConversion"/>
  </si>
  <si>
    <t>[26-Nov-2024] Receive HA Huawei account creation email request
[26-Nov-2024] Receive the case ID: #1371 to acknowledge the request from HKT-Cloud EMS team
[26-Nov-2024] HA Huawei account created
[06-Dec-2024] Order Issued. Inform Katie for order mapping [Helen]
[06-Dec-2024] Close CxS order on SRD date: 01-Nov-2024. Inform Martin Wong and Multi-Cloud MS team that order has managed service T2 [Helen]</t>
    <phoneticPr fontId="11" type="noConversion"/>
  </si>
  <si>
    <t>k11_aws_crm_prd</t>
    <phoneticPr fontId="11" type="noConversion"/>
  </si>
  <si>
    <t>k11_aws_crm_prd@nwcs.com.hk</t>
    <phoneticPr fontId="11" type="noConversion"/>
  </si>
  <si>
    <t>CL559653</t>
    <phoneticPr fontId="11" type="noConversion"/>
  </si>
  <si>
    <t>RN 526472/7-8</t>
    <phoneticPr fontId="11" type="noConversion"/>
  </si>
  <si>
    <t>[29-Nov-2024] Order Issued. Inform Katie for order mapping. Close CxS order on 29-Nov-2024 [Helen]</t>
    <phoneticPr fontId="11" type="noConversion"/>
  </si>
  <si>
    <t>nwd_aws_nwc_crm_prd</t>
    <phoneticPr fontId="11" type="noConversion"/>
  </si>
  <si>
    <t>nwd_aws_nwc_crm_prd@nwcs.com.hk</t>
    <phoneticPr fontId="11" type="noConversion"/>
  </si>
  <si>
    <t>CL559655</t>
    <phoneticPr fontId="11" type="noConversion"/>
  </si>
  <si>
    <t>RN 526472/9-10</t>
    <phoneticPr fontId="11" type="noConversion"/>
  </si>
  <si>
    <t>nwcs_aws_crm_modules_prd</t>
    <phoneticPr fontId="11" type="noConversion"/>
  </si>
  <si>
    <t>nwcs_aws_crm_modules_prd@nwcs.com.hk</t>
    <phoneticPr fontId="11" type="noConversion"/>
  </si>
  <si>
    <t>CL559679</t>
    <phoneticPr fontId="11" type="noConversion"/>
  </si>
  <si>
    <t>RN 526472/11-12</t>
    <phoneticPr fontId="11" type="noConversion"/>
  </si>
  <si>
    <t>CP3-PATHOS-DEV</t>
    <phoneticPr fontId="11" type="noConversion"/>
  </si>
  <si>
    <t>liscloudservicespath@ha.org.hk</t>
    <phoneticPr fontId="11" type="noConversion"/>
  </si>
  <si>
    <t>IT&amp;HID, Hospital Authority Head Office, 3/F, Multi-Service Centre, 30 Gascoigne Road, Kowloon</t>
    <phoneticPr fontId="11" type="noConversion"/>
  </si>
  <si>
    <t>Billing Recipient Email Address: jackie.chan@ha.org.hk; kansm@ha.org.hk</t>
    <phoneticPr fontId="11" type="noConversion"/>
  </si>
  <si>
    <t>CL559692</t>
    <phoneticPr fontId="11" type="noConversion"/>
  </si>
  <si>
    <t>SD11705707</t>
    <phoneticPr fontId="11" type="noConversion"/>
  </si>
  <si>
    <t>[29-Nov-2024] Receive HA Huawei cloud account termination email request
[29-Nov-2024] HKT-Cloud EMS team &lt;hktcloudems@pccw.com&gt; reply the case ID (e.g.#1232) to acknowledge the request and proivde status update
[03-Dec-2024] HA arranges Huawei Cloud Account Termination on 03-Dec-2024 at 14:30pm
[14-May-2025] Inform Katie to issue order [Helen]</t>
    <phoneticPr fontId="11" type="noConversion"/>
  </si>
  <si>
    <t>DHC-SED-DEV</t>
    <phoneticPr fontId="11" type="noConversion"/>
  </si>
  <si>
    <t>dhcawsclddev@ha.org.hk</t>
    <phoneticPr fontId="11" type="noConversion"/>
  </si>
  <si>
    <t>8/F, Harbourside HQ, 8 Lam Chak Street, Kln. Bay</t>
    <phoneticPr fontId="11" type="noConversion"/>
  </si>
  <si>
    <t>CL547182</t>
    <phoneticPr fontId="11" type="noConversion"/>
  </si>
  <si>
    <t>RN 853614/1-2</t>
    <phoneticPr fontId="11" type="noConversion"/>
  </si>
  <si>
    <t>B24-00007172\1(OM)</t>
    <phoneticPr fontId="11" type="noConversion"/>
  </si>
  <si>
    <t>SD11707635</t>
    <phoneticPr fontId="11" type="noConversion"/>
  </si>
  <si>
    <t>[02-Dec-2024] Receive cloud Checker reminder account created. No information found. Inform Katie call sales to issue the order.[Kilson] SD11704088
[06-Dec-2024] Order Issued. Inform katie for order mapping [Helen]
[06-Dec-2024] Close CxS order on SRD date: 01-Nov-2024. Inform Martin Wong and Multi-Cloud MS team that order has managed service T2 [Helen]</t>
    <phoneticPr fontId="11" type="noConversion"/>
  </si>
  <si>
    <t>k11-aws-k11exp-prd</t>
    <phoneticPr fontId="11" type="noConversion"/>
  </si>
  <si>
    <t>k11_aws_k11exp_prd@nwcs.com.hk</t>
    <phoneticPr fontId="11" type="noConversion"/>
  </si>
  <si>
    <t>10/F, Tower A, 83 King Lam Street, Cheung Sha Wan, KLN</t>
    <phoneticPr fontId="11" type="noConversion"/>
  </si>
  <si>
    <t>Attn: Billy Chau</t>
    <phoneticPr fontId="11" type="noConversion"/>
  </si>
  <si>
    <t>CL543397</t>
    <phoneticPr fontId="11" type="noConversion"/>
  </si>
  <si>
    <t>RN 371486/1-2</t>
    <phoneticPr fontId="11" type="noConversion"/>
  </si>
  <si>
    <t>UE24-00005391\1(OM)</t>
    <phoneticPr fontId="11" type="noConversion"/>
  </si>
  <si>
    <t>SD11709640</t>
    <phoneticPr fontId="11" type="noConversion"/>
  </si>
  <si>
    <t>[02-Dec-2024] Receive cloud Checker reminder account created. No information found. Inform Katie call sales to issue the order [Helen] SD11707651
[13-Dec-2024] Order Issued [Helen]
[16-Dec-2024] Inform katie for order mapping. Close CxS order on 16-Dec-2024 Helen]</t>
    <phoneticPr fontId="11" type="noConversion"/>
  </si>
  <si>
    <t>http://10.10.10.209/OASIS_FILE_MANAGER/zip_files_download.php?qid=1341049&amp;serialno=UE24-00005391&amp;itemno=1&amp;token=3a577825b6b079b72327513261726934</t>
    <phoneticPr fontId="11" type="noConversion"/>
  </si>
  <si>
    <t>Account created</t>
    <phoneticPr fontId="11" type="noConversion"/>
  </si>
  <si>
    <t>Frank Xu</t>
  </si>
  <si>
    <t>85254425026 / 85254425026</t>
  </si>
  <si>
    <t>xu.zhilei3@huawei.com</t>
  </si>
  <si>
    <t>hke_ids-cloud2024</t>
    <phoneticPr fontId="11" type="noConversion"/>
  </si>
  <si>
    <t>xu.zhilei3@huawei.com</t>
    <phoneticPr fontId="11" type="noConversion"/>
  </si>
  <si>
    <t>10/F,South Tower,World Finance Centre,17 Canton Road,Tsim Sha Tsui</t>
  </si>
  <si>
    <t>[12-Dec-2024] Receive HA Huawei account creation email request
[12-Dec-2024] Pending customer confirm finish the account creation process. [Kelvin]
[20-Dec-2024] Receive email from Tam Lam to request unfreeaze account. (Unfreeze account by Hin) [Helen] (SD11709147)
[14-May-2025] Inform Katie and order team to issue order [Helen]</t>
    <phoneticPr fontId="11" type="noConversion"/>
  </si>
  <si>
    <t>T13 Team (Public Cloud)</t>
    <phoneticPr fontId="11" type="noConversion"/>
  </si>
  <si>
    <t xml:space="preserve">528757818395 </t>
    <phoneticPr fontId="11" type="noConversion"/>
  </si>
  <si>
    <t>DHC-SED-TST</t>
    <phoneticPr fontId="11" type="noConversion"/>
  </si>
  <si>
    <t>dhcawscldsit@ha.org.hk</t>
    <phoneticPr fontId="11" type="noConversion"/>
  </si>
  <si>
    <t>Floor 8, Harbourside HQ, 8 Lam Chak Street, Kowloon Bay</t>
    <phoneticPr fontId="11" type="noConversion"/>
  </si>
  <si>
    <t>CL541811</t>
    <phoneticPr fontId="11" type="noConversion"/>
  </si>
  <si>
    <t>RN 830508/1-2</t>
    <phoneticPr fontId="11" type="noConversion"/>
  </si>
  <si>
    <t>UB25-00000954\1(OM)</t>
    <phoneticPr fontId="11" type="noConversion"/>
  </si>
  <si>
    <t>SD11726840</t>
    <phoneticPr fontId="11" type="noConversion"/>
  </si>
  <si>
    <t>[16-Dec-2024] Receive cloud Checker reminder account created. Inform Katie to call sales to issue order [Kilson] SD11710440
[17-Feb-2025] Katie send email to Bonnie Yeung to issue the Order [Helen]
[24-Feb-2025] Order Issued.
[25-Feb-2025] Close CxS order on SRD date: 01-Jan-2025 and notify martin wong and multi-cloud MS team that order has managed service T2 by wemai, [Helen]
[25-Feb-2025]  Inform Joyce provides TID [Helen]</t>
    <phoneticPr fontId="11" type="noConversion"/>
  </si>
  <si>
    <t>http://10.10.10.209/OASIS_FILE_MANAGER/zip_files_download.php?qid=1370789&amp;serialno=UB25-00000954&amp;itemno=1&amp;token=a964a32236e9d92cb29b0b25f27a5288</t>
    <phoneticPr fontId="11" type="noConversion"/>
  </si>
  <si>
    <t>Amy Young</t>
    <phoneticPr fontId="11" type="noConversion"/>
  </si>
  <si>
    <t>2188 1159</t>
    <phoneticPr fontId="11" type="noConversion"/>
  </si>
  <si>
    <t>youngamk@hkairport.com</t>
    <phoneticPr fontId="11" type="noConversion"/>
  </si>
  <si>
    <t>PS Job for the Load test service for (BICP) HKIA Cargo Multiple Zone Project</t>
    <phoneticPr fontId="11" type="noConversion"/>
  </si>
  <si>
    <t>HKIA tower 2, 1 Sky plaza road, HK international airport, LT</t>
    <phoneticPr fontId="11" type="noConversion"/>
  </si>
  <si>
    <t>CL556003</t>
    <phoneticPr fontId="11" type="noConversion"/>
  </si>
  <si>
    <t>RN 432930/1-2</t>
    <phoneticPr fontId="11" type="noConversion"/>
  </si>
  <si>
    <t>UB24-00007391\1(OM)</t>
    <phoneticPr fontId="11" type="noConversion"/>
  </si>
  <si>
    <t>SD11710644</t>
    <phoneticPr fontId="11" type="noConversion"/>
  </si>
  <si>
    <t>Remarks: C-order (PS Job: Load test service HKD23,400) for Project: (BICP) HKIA Cargo Multiple Zone
[18-Dec-2024] C-order issue for (BICP) HKIA Cargo Multiple Zone Project [Helen]
[18-Dec-2024] Inform Lok to assign engineer follow up the PS job and provide RG name for our record [Helen]
[18-Dec-2024] Notify Lok and HKT Pro Cloud MS team that order has managed service T3. Close CxS order on 18-Dec-2024 [Helen]</t>
    <phoneticPr fontId="11" type="noConversion"/>
  </si>
  <si>
    <t>http://10.10.10.209/OASIS_FILE_MANAGER/zip_files_download.php?qid=1341750&amp;serialno=UB24-00007391&amp;itemno=1&amp;token=acddc3ef143d61133d36ebdde799eab9</t>
    <phoneticPr fontId="11" type="noConversion"/>
  </si>
  <si>
    <t>2610 8769</t>
  </si>
  <si>
    <t>5487234595835780</t>
    <phoneticPr fontId="11" type="noConversion"/>
  </si>
  <si>
    <t>alicloud_gravityprd@chowtaifook.com</t>
  </si>
  <si>
    <t>25/F, World Peace Centre, 41-55 Wo Tong St, Kwai Chung, NT</t>
    <phoneticPr fontId="11" type="noConversion"/>
  </si>
  <si>
    <t>CL551036</t>
    <phoneticPr fontId="11" type="noConversion"/>
  </si>
  <si>
    <t>RN 796315/1-2</t>
  </si>
  <si>
    <t>UD24-00005453\1(OM)</t>
    <phoneticPr fontId="11" type="noConversion"/>
  </si>
  <si>
    <t>SD11710951</t>
    <phoneticPr fontId="11" type="noConversion"/>
  </si>
  <si>
    <t>[18/12/2024] Receive Email pre-provision to create a Alibaba Account. 
Account Created and Send the Invitation to customer.Waiting for customer create account .[Hin]
[20-Dec-2024] Welcome Letter has been sent by Hin. Close CxS on SRD date: 20-Dec-2024. Inform Lok to arrange engineer follow up PS Job and notify Lok and HKT Pro Cloud MS team that order has managed service T3 [Helen]</t>
  </si>
  <si>
    <t>http://10.10.10.209/OASIS_FILE_MANAGER/zip_files_download.php?qid=1343432&amp;serialno=UD24-00005453&amp;itemno=1&amp;token=d2fcc63539ab421111515b95e3d48e8c</t>
    <phoneticPr fontId="11" type="noConversion"/>
  </si>
  <si>
    <t>PS Job for Gravity Apps migration (AWS to Alibaba)</t>
    <phoneticPr fontId="11" type="noConversion"/>
  </si>
  <si>
    <t>alicloud_gravityprd@chowtaifook.com</t>
    <phoneticPr fontId="11" type="noConversion"/>
  </si>
  <si>
    <t>RN 204472/1-2</t>
    <phoneticPr fontId="11" type="noConversion"/>
  </si>
  <si>
    <t>UD24-00005568\1(OM)</t>
    <phoneticPr fontId="11" type="noConversion"/>
  </si>
  <si>
    <t>SD11711342</t>
    <phoneticPr fontId="11" type="noConversion"/>
  </si>
  <si>
    <t>Remarks: One-Off Professional Service Charge: HKD4000,000
[20-Dec-2024] Receive email notification from Connie (Sales) to inform Seikei to issue C-order for the PS Job for Gravity Apps migration (AWS to Alibaba) [Helen]
[09-May-2025] Chase up order team to issue C-order [Helen]
[12-May-2025] C-order issued [Helen]
[13-May-2025] Close CxS order on SRD date: 14-Jan-2025 [Helen]</t>
  </si>
  <si>
    <t>http://10.10.10.209/OASIS_FILE_MANAGER/zip_files_download.php?qid=1409284&amp;serialno=UD24-00005568&amp;itemno=1&amp;token=d2fcc63539ab421111515b95e3d48e8c</t>
    <phoneticPr fontId="11" type="noConversion"/>
  </si>
  <si>
    <t>5797034595167925</t>
    <phoneticPr fontId="11" type="noConversion"/>
  </si>
  <si>
    <t>alicloud_gravityuat@chowtaifook.com</t>
    <phoneticPr fontId="11" type="noConversion"/>
  </si>
  <si>
    <t>CL551054</t>
  </si>
  <si>
    <t>RN 796315/3-4</t>
  </si>
  <si>
    <t>UD24-00005453\1(OM)</t>
  </si>
  <si>
    <t>[18/12/2024] Receive Email pre-provision to create a Alibaba Account. 
Account Created and Send the Invitation to customer.Waiting for customer create account .[Hin]
[20-Dec-2024] Welcome Letter has sent. Close CxS on SRD date: 20-Dec-2024. Inform Lok to arrange engineer follow up PS Job and notify Lok and HKT Pro Cloud MS team that order has managed service T3 [Helen]</t>
  </si>
  <si>
    <t>Conan Choi</t>
  </si>
  <si>
    <t>sec-it-infra-ali-stag@crypto.com</t>
  </si>
  <si>
    <t>5426834572129545</t>
    <phoneticPr fontId="11" type="noConversion"/>
  </si>
  <si>
    <t>sec-it-infra-ali-stag@crypto.com</t>
    <phoneticPr fontId="11" type="noConversion"/>
  </si>
  <si>
    <t>1505-1507, 15/F, Pacific Place, 418 DES VOEUX RD	, West Sai Wan, HK</t>
    <phoneticPr fontId="11" type="noConversion"/>
  </si>
  <si>
    <t>CL542247</t>
    <phoneticPr fontId="11" type="noConversion"/>
  </si>
  <si>
    <t>RN 279303/1-2</t>
    <phoneticPr fontId="11" type="noConversion"/>
  </si>
  <si>
    <t>TI24-00012097\1(OM)</t>
    <phoneticPr fontId="11" type="noConversion"/>
  </si>
  <si>
    <t>SD11711331</t>
    <phoneticPr fontId="11" type="noConversion"/>
  </si>
  <si>
    <t>[18/12/2024] Receive Lam Tam request to pre-Provisiong a alibaba account, the new account is create under Organization Account ID : 5878847858266849 (not HKT) SD11710940
Invitation sent. [Kilson]
[12/19/2024] Customer accept the invitation. Wait the order issued and send the welcome letter
[12/20/2024] Sent welcome Letter to customer, CxS completed.
[20-Dec-2024] Close CxS order on SRD date: 20-Dec-2024 [Helen]</t>
  </si>
  <si>
    <t>http://10.10.10.209/OASIS_FILE_MANAGER/zip_files_download.php?qid=1344084&amp;serialno=TI24-00012097&amp;itemno=1&amp;token=80494c88d5b9ff927c743e7c522572f2</t>
    <phoneticPr fontId="11" type="noConversion"/>
  </si>
  <si>
    <t>Davy Lin</t>
    <phoneticPr fontId="11" type="noConversion"/>
  </si>
  <si>
    <t>davy.lin@aastocks.com</t>
    <phoneticPr fontId="11" type="noConversion"/>
  </si>
  <si>
    <t>system_hk@aastocks.com</t>
    <phoneticPr fontId="11" type="noConversion"/>
  </si>
  <si>
    <t>Kowloon Bay International Trade &amp; Exhibition Centre</t>
    <phoneticPr fontId="11" type="noConversion"/>
  </si>
  <si>
    <t>RN 346070/1-2</t>
    <phoneticPr fontId="11" type="noConversion"/>
  </si>
  <si>
    <t>TI24-00012048\1(OM)</t>
    <phoneticPr fontId="11" type="noConversion"/>
  </si>
  <si>
    <t>SD11710966</t>
    <phoneticPr fontId="11" type="noConversion"/>
  </si>
  <si>
    <t>Remarks: Configuration Charge (HKD24,000)
[19-Dec-2024] Order Issued. PS Job for Existing Huawei A/C Name : aa-huawei2020 [Helen]
[19-Dec-2024] Inform Lok arrange engineer to follow up PS Job. Close CxS order on SRD date: 18-Dec-2024</t>
    <phoneticPr fontId="11" type="noConversion"/>
  </si>
  <si>
    <t>http://10.10.10.209/OASIS_FILE_MANAGER/zip_files_download.php?qid=1343241&amp;serialno=TI24-00012048&amp;itemno=1&amp;token=6a018acb188f88fcba14dcc50c3a9345</t>
    <phoneticPr fontId="11" type="noConversion"/>
  </si>
  <si>
    <t>147997116236</t>
    <phoneticPr fontId="11" type="noConversion"/>
  </si>
  <si>
    <t>k11-aws-loyalty-engine-nonprd</t>
    <phoneticPr fontId="11" type="noConversion"/>
  </si>
  <si>
    <t>k11-aws-loyalty-engine-nonprd@nws.com.hk</t>
  </si>
  <si>
    <t>CL542085</t>
  </si>
  <si>
    <t>RN 327199/1-2</t>
  </si>
  <si>
    <t>UE25-00000099\1(OM)</t>
  </si>
  <si>
    <t>SD11715503</t>
    <phoneticPr fontId="11" type="noConversion"/>
  </si>
  <si>
    <t>[12/23/2024] Receive cloud Checker reminder account created. No information found. Inform Katie call sales to issue the order.[Kilson]
[1/7/2025] Order Issued. CxS complete date : 1/7/2025, Forward to Katie to map the order</t>
  </si>
  <si>
    <t>http://10.10.10.209/OASIS_FILE_MANAGER/zip_files_download.php?qid=1351113&amp;serialno=UE25-00000099&amp;itemno=1&amp;token=3a577825b6b079b72327513261726934</t>
  </si>
  <si>
    <t>nwd-aws-nwc-loyalty-engine-nonprd</t>
    <phoneticPr fontId="11" type="noConversion"/>
  </si>
  <si>
    <t>nwd-aws-nwc-loyalty-engine-nonprd@nws.com.hk</t>
  </si>
  <si>
    <t>CL542624</t>
  </si>
  <si>
    <t>RN 327199/3-4</t>
  </si>
  <si>
    <t>[12/23/2024] Receive cloud Checker reminder account created. No information found. Inform Katie call sales to issue the order.[Kilson]
[1/7/2025] Order Issued. CxS complete date : 1/7/2025, Forward to Katie to map the order</t>
    <phoneticPr fontId="11" type="noConversion"/>
  </si>
  <si>
    <t>Tom Ho</t>
    <phoneticPr fontId="11" type="noConversion"/>
  </si>
  <si>
    <t>tomho@hkex.com.hk</t>
    <phoneticPr fontId="11" type="noConversion"/>
  </si>
  <si>
    <t>Floor 5, HKEX Data Center, 1 Chun Ying Street, Tseung Kwan O Industrial Estate</t>
    <phoneticPr fontId="11" type="noConversion"/>
  </si>
  <si>
    <t>CL542579</t>
    <phoneticPr fontId="11" type="noConversion"/>
  </si>
  <si>
    <t>RN 661340/1-2</t>
    <phoneticPr fontId="11" type="noConversion"/>
  </si>
  <si>
    <t>UB24-00007653\1(OM)</t>
    <phoneticPr fontId="11" type="noConversion"/>
  </si>
  <si>
    <t>SD11713304</t>
    <phoneticPr fontId="11" type="noConversion"/>
  </si>
  <si>
    <t>Type of service: The renewal Order for Cloud Service of Azure and Barracuda CloudGen Firewall MA
Remarks: Configuration Charge [One charge of $747,930.49 of Azure consumption]
Will issue RII by product team
[30-Dec-2024] Back Date Order Issued. Inform Lok's team for this renewal order for their arrangement (if any)
[30-Dec-2024] Close CxS order on SRD date: 01-Dec-2024. Notify Martin Wong and MultiCloudMS team that order has managed service T2</t>
    <phoneticPr fontId="11" type="noConversion"/>
  </si>
  <si>
    <t>http://10.10.10.209/OASIS_FILE_MANAGER/zip_files_download.php?qid=1346740&amp;serialno=UB24-00007653&amp;itemno=1&amp;token=87276d7537153c071cf1e3757f9286fb</t>
    <phoneticPr fontId="11" type="noConversion"/>
  </si>
  <si>
    <t>Tong Chan</t>
    <phoneticPr fontId="11" type="noConversion"/>
  </si>
  <si>
    <t>tong.chan@jardines.com</t>
    <phoneticPr fontId="11" type="noConversion"/>
  </si>
  <si>
    <t>One-time charge: HKD893, 415 of managed cloud service of Azure</t>
    <phoneticPr fontId="11" type="noConversion"/>
  </si>
  <si>
    <t>CL545969</t>
    <phoneticPr fontId="11" type="noConversion"/>
  </si>
  <si>
    <t>RN 418381/1-2</t>
    <phoneticPr fontId="11" type="noConversion"/>
  </si>
  <si>
    <t>UE24-00005535\1(OM)</t>
    <phoneticPr fontId="11" type="noConversion"/>
  </si>
  <si>
    <t>SD11713723</t>
    <phoneticPr fontId="11" type="noConversion"/>
  </si>
  <si>
    <t>One-time charge: HKD893, 415 of managed cloud service of Azure [Helen]
Remarks: for multi-cloud order, product team (Katie Chai) will initiate the ERII (manual billing) process and collaborate with the billing team to ensure that Normal invoice not issued, thus avoiding any potential duplicate charges.
[31-Dec-2024] Back Date Order Issued. 
[02-Jan-2024] Notify Lok for the one-time renewal charge of Managed Cloud Service of Azure by email. Close CxS order on SRD date: 27-Dec-2024 [Helen]</t>
    <phoneticPr fontId="11" type="noConversion"/>
  </si>
  <si>
    <t>http://10.10.10.209/OASIS_FILE_MANAGER/zip_files_download.php?qid=1348570&amp;serialno=UE24-00005535&amp;itemno=1&amp;token=3a577825b6b079b72327513261726934</t>
    <phoneticPr fontId="11" type="noConversion"/>
  </si>
  <si>
    <t>Gary Fung</t>
    <phoneticPr fontId="11" type="noConversion"/>
  </si>
  <si>
    <t>2183 5741</t>
    <phoneticPr fontId="11" type="noConversion"/>
  </si>
  <si>
    <t>FUNGGKC@hkairport.com</t>
    <phoneticPr fontId="11" type="noConversion"/>
  </si>
  <si>
    <t>Airport Authority</t>
    <phoneticPr fontId="11" type="noConversion"/>
  </si>
  <si>
    <t>rg-skycity-minisite-prod-001
rg-skycity-minisite-prod-002</t>
    <phoneticPr fontId="11" type="noConversion"/>
  </si>
  <si>
    <t>RN 138711/1-2</t>
    <phoneticPr fontId="11" type="noConversion"/>
  </si>
  <si>
    <t>UB24-00007663\1(OM)</t>
    <phoneticPr fontId="11" type="noConversion"/>
  </si>
  <si>
    <t>SD11713748</t>
    <phoneticPr fontId="11" type="noConversion"/>
  </si>
  <si>
    <t>Misc-Change Order: Configuration Charge: HKD21,600 (Load Test for HKIAA - SkyCity Website) *PO1092355
HKIA Azure project will use the existing subscription (rg-skycity-minisite-prod-001, rg-skycity-minisite-prod-002)
[31-Dec-2024] Order Issued.
[02-Jan-2024] Inform Lok to arrange engineer follow up PS Job. Close CxS order on 02-Jan-2025 and notify Lok's team and Pro Cloud MS team that order has managed service T3</t>
    <phoneticPr fontId="11" type="noConversion"/>
  </si>
  <si>
    <t>http://10.10.10.209/OASIS_FILE_MANAGER/zip_files_download.php?qid=1347009&amp;serialno=UB24-00007663&amp;itemno=1&amp;token=acddc3ef143d61133d36ebdde799eab9</t>
    <phoneticPr fontId="11" type="noConversion"/>
  </si>
  <si>
    <t>C-order for One-time charge: HKD893, 415 of managed cloud service of Azure</t>
    <phoneticPr fontId="11" type="noConversion"/>
  </si>
  <si>
    <t>RN 223105/1-2</t>
    <phoneticPr fontId="11" type="noConversion"/>
  </si>
  <si>
    <t>SD11713757</t>
    <phoneticPr fontId="11" type="noConversion"/>
  </si>
  <si>
    <t>C-order for One-time charge: HKD893, 415 of managed cloud service of Azure [Helen]
[02-Jan-2025] C-order issued. Inform Lok to arrange engineer follow up PS Job. Close CxS order on SRD date: 27-Dec-2024 and notify Lok's team and HKT Pro Cloud MS team that order has managed service T3 by email.</t>
    <phoneticPr fontId="11" type="noConversion"/>
  </si>
  <si>
    <t>http://10.10.10.209/OASIS_FILE_MANAGER/zip_files_download.php?qid=1349039&amp;serialno=UE24-00005535&amp;itemno=1&amp;token=3a577825b6b079b72327513261726934</t>
    <phoneticPr fontId="11" type="noConversion"/>
  </si>
  <si>
    <t>nwd-aws-nwc-loyalty-engine-prd</t>
  </si>
  <si>
    <t>nwd-aws-nwc-loyalty-engine-prd@nws.com.hk</t>
  </si>
  <si>
    <t>CL543033</t>
  </si>
  <si>
    <t>RN 327199/5-6</t>
  </si>
  <si>
    <t>[1/6/2025] Receive reminder Email NWD created 2 AWS account. can't find any information, forward to Katie call sales to issued the order.
[1/7/2025] Order Issued. CxS complete date : 1/7/2025, Forward to Katie to map the order</t>
  </si>
  <si>
    <t>k11-aws-loyalty-engine-prd</t>
  </si>
  <si>
    <t>k11-aws-loyalty-engine-prd@nws.com.hk</t>
  </si>
  <si>
    <t>CL544830</t>
  </si>
  <si>
    <t>RN 327199/7-8</t>
  </si>
  <si>
    <t>[1/6/2025] Receive reminder Email NWD created 2 AWS account. can't find any information, forward to Katie call sales to issued the order.
[1/7/2025] Order Issued. CxS complete date : 1/7/2025, Forward to Katie to map the order</t>
    <phoneticPr fontId="11" type="noConversion"/>
  </si>
  <si>
    <t>tony.chan@jardines.com</t>
    <phoneticPr fontId="11" type="noConversion"/>
  </si>
  <si>
    <t>(Non-HKT Azure account has joined HKT managed service)</t>
    <phoneticPr fontId="11" type="noConversion"/>
  </si>
  <si>
    <t>RN 764425/1-2</t>
    <phoneticPr fontId="11" type="noConversion"/>
  </si>
  <si>
    <t>UE24-00005613\1(OM)</t>
    <phoneticPr fontId="11" type="noConversion"/>
  </si>
  <si>
    <t>SD11715604</t>
    <phoneticPr fontId="11" type="noConversion"/>
  </si>
  <si>
    <t>Back Date order. (One-time charge HKD84,603.57)
[06-Jan-2025] Order Issued. (Non-HKT Azure account has joined HKT managed service) [Helen]
[08-Jan-2024] Notify Lok arranges engineer follow up the one-off charge of Managed Service of non-HKT Azure account by email [Helen]
[08-Jan-2024] Close CxS order on SRD date: 01-Dec-2024. Inform Lok and HKT Pro Cloud MS team that order has managed service T3 [Helen]</t>
    <phoneticPr fontId="11" type="noConversion"/>
  </si>
  <si>
    <t>http://10.10.10.209/OASIS_FILE_MANAGER/zip_files_download.php?qid=1349799&amp;serialno=UE24-00005613&amp;itemno=1&amp;token=3a577825b6b079b72327513261726934</t>
    <phoneticPr fontId="11" type="noConversion"/>
  </si>
  <si>
    <t>Andrew Fung</t>
  </si>
  <si>
    <t>2753 2640 / 9284 6555</t>
  </si>
  <si>
    <t>andrew.fung@hactl.com</t>
  </si>
  <si>
    <t>011E1A-C09D89-F8FB2D</t>
  </si>
  <si>
    <t>Hong Kong Air Cargo Terminals Limited</t>
    <phoneticPr fontId="11" type="noConversion"/>
  </si>
  <si>
    <t>SuperTerminal 1 Hong Kong International Airport, North Office Block, Floor 4</t>
  </si>
  <si>
    <t>CL546845</t>
    <phoneticPr fontId="11" type="noConversion"/>
  </si>
  <si>
    <t>RN 530132/1-2</t>
    <phoneticPr fontId="11" type="noConversion"/>
  </si>
  <si>
    <t>UC25-00000148\1(OM)</t>
    <phoneticPr fontId="11" type="noConversion"/>
  </si>
  <si>
    <t>SD11715608</t>
    <phoneticPr fontId="11" type="noConversion"/>
  </si>
  <si>
    <t>[08-Jan-2025] Receive order and Create SD ticket
[08-Jan-2025] Sent email to collect GCP ID from customer
[24-Jan-2025] Billing account had been created then sent welcome letter to cusomter [Kelvin]
Subaccount Billing ID : 011E1A-C09D89-F8FB2D)
[27-Jan-2025] Close CxS order on SRD date: 15-Jan-2025
28-Jan-2025] Inform Katie for order mapping</t>
  </si>
  <si>
    <t>http://10.10.10.209/OASIS_FILE_MANAGER/zip_files_download.php?qid=1352010&amp;serialno=UC25-00000148&amp;itemno=1&amp;token=c3c32fca31caba9457e75a762b0d2e94</t>
    <phoneticPr fontId="11" type="noConversion"/>
  </si>
  <si>
    <t>Tony.Chan@jardines.com</t>
    <phoneticPr fontId="11" type="noConversion"/>
  </si>
  <si>
    <t>JARDINE MATHESON &amp; CO LTD</t>
  </si>
  <si>
    <t>Configuration Charge: HKD148,811.89 (JML one time charge for remaining balance (Period: Jun 2024 to Nov 2024)</t>
    <phoneticPr fontId="11" type="noConversion"/>
  </si>
  <si>
    <t>RN 786443/1-2</t>
    <phoneticPr fontId="11" type="noConversion"/>
  </si>
  <si>
    <t>UE25-00000154\1(OM)</t>
    <phoneticPr fontId="11" type="noConversion"/>
  </si>
  <si>
    <t>SD11715977</t>
    <phoneticPr fontId="11" type="noConversion"/>
  </si>
  <si>
    <t>Configuration Charge: HKD148,811.89 (JML one time charge for remaining balance (Period: Jun 2024 to Nov 2024)
[09-Jan-2025] Order Issued. Close CxS order on SRD date: 01-Dec-2024. Inform Lok that order issued for the configuration charage during the period: Jun 2024 to Nov 2024 and notify Lok and HKT Pro Coud MS team that order has managed service T3</t>
    <phoneticPr fontId="11" type="noConversion"/>
  </si>
  <si>
    <t>http://10.10.10.209/OASIS_FILE_MANAGER/zip_files_download.php?qid=1352689&amp;serialno=UE25-00000154&amp;itemno=1&amp;token=3a577825b6b079b72327513261726934</t>
    <phoneticPr fontId="11" type="noConversion"/>
  </si>
  <si>
    <t>Oona Cheng</t>
    <phoneticPr fontId="11" type="noConversion"/>
  </si>
  <si>
    <t>Oona_Cheng@evertoprich.com</t>
    <phoneticPr fontId="11" type="noConversion"/>
  </si>
  <si>
    <t xml:space="preserve">
Billing</t>
    <phoneticPr fontId="11" type="noConversion"/>
  </si>
  <si>
    <t>xenia@yydltd.com</t>
  </si>
  <si>
    <t>Rm1808, 18/F, Radio City, 505 Hennessy Road, Causeway Bay, Hong Kong</t>
    <phoneticPr fontId="11" type="noConversion"/>
  </si>
  <si>
    <t>CL544327</t>
    <phoneticPr fontId="11" type="noConversion"/>
  </si>
  <si>
    <t>RN 567332/1-2</t>
    <phoneticPr fontId="11" type="noConversion"/>
  </si>
  <si>
    <t>TI25-00000380\1(OM)</t>
    <phoneticPr fontId="11" type="noConversion"/>
  </si>
  <si>
    <t>SD11717840</t>
    <phoneticPr fontId="11" type="noConversion"/>
  </si>
  <si>
    <t>[16-Jan-2025] Order Issued. (With existing Google Cloud Account) [Helen]
[16-Jan-2025] Inform kelvin help to follow up order [Helen]
[16-Jan-2025] Sent email to collect GCP ID from customer [Kelvin] 
[17-Jan-2025] Billing account had been created then sent welcome letter to cusomter [Kelvin]
[17-Jan-2025] Close CxS order on 17-Jan-2025</t>
    <phoneticPr fontId="11" type="noConversion"/>
  </si>
  <si>
    <t>http://10.10.10.209/OASIS_FILE_MANAGER/zip_files_download.php?qid=1355981&amp;serialno=TI25-00000380&amp;itemno=1&amp;token=7f0a5e9c36223e637ecbcf9e27afc771</t>
    <phoneticPr fontId="11" type="noConversion"/>
  </si>
  <si>
    <t>MR HUI</t>
  </si>
  <si>
    <t>prosperoussuccesshk@gmail.com</t>
  </si>
  <si>
    <t>psc_admin@psuccesshk.com</t>
    <phoneticPr fontId="11" type="noConversion"/>
  </si>
  <si>
    <t>psc_admin@psuccesshk.com</t>
  </si>
  <si>
    <t>Flat B31, Floor 14, Rich Wealth Building, 77-87 Wang Lung Street, Tsuen Wan</t>
    <phoneticPr fontId="11" type="noConversion"/>
  </si>
  <si>
    <t>CL550622</t>
    <phoneticPr fontId="11" type="noConversion"/>
  </si>
  <si>
    <t>RN 288848/1-2</t>
    <phoneticPr fontId="11" type="noConversion"/>
  </si>
  <si>
    <t>TI25-00000928\1(OM)</t>
  </si>
  <si>
    <t>SD11724735</t>
  </si>
  <si>
    <t>Remark: New AWS ID: 343218178243 PSC_ADMIN@PSUCCESSHK.COM
[14/2/2025]  Migration Request sent by Email-System. [Kelvin] SD11724233
[15-Feb-2025] Order Issued [Helen]
[17/2/2025] Jason reply already sent the invitation. [Kelvin]
[17/2/2025] Send the Invitiation to customer [Kelvin]
[18/2/2025] Customer accepted. Waiting for Cloudcheckr account creation. [Kelvin]
[18-Feb-2025] Close CxS order on SRD date: 14-Feb-2025
[26-Feb-2025] Pending TID for sending Welcome letter to customer [Kelvin]
[14-Mar-2025] Receive TID from Mark (ITSM) [Helen]
[14-Mar-2025] Cloudcheckr account created then sent Welcome letter to customer. [Kelvin]</t>
  </si>
  <si>
    <t>http://10.10.10.209/OASIS_FILE_MANAGER/zip_files_download.php?qid=1366613&amp;serialno=TI25-00000928&amp;itemno=1&amp;token=6fbe529a4a66811c5de6f5ab471f328d</t>
    <phoneticPr fontId="11" type="noConversion"/>
  </si>
  <si>
    <t>Ricky Au</t>
    <phoneticPr fontId="11" type="noConversion"/>
  </si>
  <si>
    <t>2616 2753</t>
    <phoneticPr fontId="11" type="noConversion"/>
  </si>
  <si>
    <t>ricky.au@novostics.hk</t>
    <phoneticPr fontId="11" type="noConversion"/>
  </si>
  <si>
    <t>85ab8f540ec04d1b8197247b450a2764</t>
    <phoneticPr fontId="11" type="noConversion"/>
  </si>
  <si>
    <t>hid_m_hswy-plneuo_q</t>
    <phoneticPr fontId="11" type="noConversion"/>
  </si>
  <si>
    <t>Floor 1, Building 18E, 18 Science Part East Avenue, Hong Kong Science Park, Shatin</t>
    <phoneticPr fontId="11" type="noConversion"/>
  </si>
  <si>
    <t>CL553742</t>
    <phoneticPr fontId="11" type="noConversion"/>
  </si>
  <si>
    <t>RN 062369/1-2</t>
    <phoneticPr fontId="11" type="noConversion"/>
  </si>
  <si>
    <t>UA25-00000588\1(OM)</t>
    <phoneticPr fontId="11" type="noConversion"/>
  </si>
  <si>
    <t>SD11725466</t>
    <phoneticPr fontId="11" type="noConversion"/>
  </si>
  <si>
    <t>Remark: New Huawei Account Creation
[19-Feb-2025] Order Issued. [Helen]
[20-Feb-2025] Email customer a registration link with instruction to create Huawei Cloud account [Helen]
[20-Feb-2025] Customer replies that Huawei account creation is done [Helen]
[20-Feb-2025] Inform Nick (Sale teams) provides monthly budget by email [Helen]
[21-Feb-2025] Confirm monthly budget from Nick (Sales). Since Huawei proceeding special offer to customer, Lam Tam notices that do not place order until further notice. [Helen]
[13-Mar-2025] Receive email from Lam Tam to confirm monthly budget of USD4350.54. Send Welcom Letter to customer and close CxS order on SRD date: 25-Feb-2025 [Helen]</t>
    <phoneticPr fontId="11" type="noConversion"/>
  </si>
  <si>
    <t>http://10.10.10.209/OASIS_FILE_MANAGER/zip_files_download.php?qid=1368636&amp;serialno=UA25-00000588&amp;itemno=1&amp;token=dc53d2d3b2ccd0efd0353286a202ee80</t>
    <phoneticPr fontId="11" type="noConversion"/>
  </si>
  <si>
    <t>3919 2384 / 95198740</t>
    <phoneticPr fontId="11" type="noConversion"/>
  </si>
  <si>
    <t>273354651242</t>
    <phoneticPr fontId="11" type="noConversion"/>
  </si>
  <si>
    <t>CDC1-HAGO-CALENDAR-PRD</t>
    <phoneticPr fontId="11" type="noConversion"/>
  </si>
  <si>
    <t>Floor 8, Harbourside HQ, 8 Lam Chak Street, Kowloon Bay, KLN</t>
    <phoneticPr fontId="11" type="noConversion"/>
  </si>
  <si>
    <t>CL542242</t>
    <phoneticPr fontId="11" type="noConversion"/>
  </si>
  <si>
    <t>RN 804558/1-2</t>
    <phoneticPr fontId="11" type="noConversion"/>
  </si>
  <si>
    <t>UB25-00001247\1(OM)</t>
  </si>
  <si>
    <t>SD11727643</t>
    <phoneticPr fontId="11" type="noConversion"/>
  </si>
  <si>
    <t>[24-Feb-2025] Receive cloudcheckr alert. Notify katie to call sales to issue order(s). (SD11726931) [Helen]
[26-Feb-2025] Receive email from Katie to inform Bonnie Yeung follow up order issued [Helen]
[27-Feb-2025] Order Issued. Close CxS order on SRD date: 01-Feb-2025 and notify Martin Wong and Multi-Cloud MS team that order has managed service T2 [Helen]
[27-Feb-2025] Receive Katie's email reply for the order mapping. Pending for TID to complete task [Helen]
[04-Mar-2025] Receive TID from order team. Complete task [Helen]</t>
    <phoneticPr fontId="11" type="noConversion"/>
  </si>
  <si>
    <t>http://10.10.10.209/OASIS_FILE_MANAGER/zip_files_download.php?qid=1373582&amp;serialno=UB25-00001247&amp;itemno=1&amp;token=a964a32236e9d92cb29b0b25f27a5288</t>
    <phoneticPr fontId="11" type="noConversion"/>
  </si>
  <si>
    <t>3919 2384 / 95198740</t>
  </si>
  <si>
    <t>713881828842</t>
    <phoneticPr fontId="11" type="noConversion"/>
  </si>
  <si>
    <t>CDC1-HAGO-CALENDAR-AAT</t>
    <phoneticPr fontId="11" type="noConversion"/>
  </si>
  <si>
    <t>Email : hagogcsubsprd@ha.org.hk</t>
    <phoneticPr fontId="11" type="noConversion"/>
  </si>
  <si>
    <t>Address : 1/F, HAHO IT&amp;HID office, Multi-service Centre, 30 Gascoigne Road, Kowloon</t>
  </si>
  <si>
    <t>CL554959</t>
    <phoneticPr fontId="11" type="noConversion"/>
  </si>
  <si>
    <t>RN 804558/7-8</t>
    <phoneticPr fontId="11" type="noConversion"/>
  </si>
  <si>
    <t>[24-Feb-2025] Receive cloudcheckr alert. Notify katie to call sales to issue order(s). (SD11726931) [Helen]
[26-Feb-2025] Receive email from Katie to inform Bonnie Yeung follow up order issued [Helen]
[27-Feb-2025] Order Issued. Close CxS order on SRD date: 01-Feb-2025 and notify Martin Wong and Multi-Cloud MS team that order has managed service T2 [Helen]
[27-Feb-2025] Receive Katie's email reply for the order mapping. Pending for TID to complete task [Helen]
[04-Mar-2025] Receive TID from order team. Complete task [Helen]</t>
  </si>
  <si>
    <t>970547343033</t>
    <phoneticPr fontId="11" type="noConversion"/>
  </si>
  <si>
    <t>CP13-HAGO-CALENDAR-SIT</t>
    <phoneticPr fontId="11" type="noConversion"/>
  </si>
  <si>
    <t>Email: hagocalcs@ha.org.hk</t>
    <phoneticPr fontId="11" type="noConversion"/>
  </si>
  <si>
    <t>CL554867</t>
    <phoneticPr fontId="11" type="noConversion"/>
  </si>
  <si>
    <t>RN 804558/5-6</t>
    <phoneticPr fontId="11" type="noConversion"/>
  </si>
  <si>
    <t>Pending Closure</t>
    <phoneticPr fontId="11" type="noConversion"/>
  </si>
  <si>
    <t>Mr. Kayu</t>
    <phoneticPr fontId="11" type="noConversion"/>
  </si>
  <si>
    <t>support@hkgolfclub.org</t>
    <phoneticPr fontId="11" type="noConversion"/>
  </si>
  <si>
    <t>Hong Kong Golf Club, Lot No.1 Fan Kam Road, Sheung Shui</t>
    <phoneticPr fontId="11" type="noConversion"/>
  </si>
  <si>
    <t>CL550463</t>
    <phoneticPr fontId="11" type="noConversion"/>
  </si>
  <si>
    <t>RN 079750/1-2</t>
    <phoneticPr fontId="11" type="noConversion"/>
  </si>
  <si>
    <t>TI25-00001324\1(OM)</t>
    <phoneticPr fontId="11" type="noConversion"/>
  </si>
  <si>
    <t>SD11726858</t>
    <phoneticPr fontId="11" type="noConversion"/>
  </si>
  <si>
    <t>For Join HKT Professional Service Only (non HKT AWS ID) [Configuration Charge: HKD20,000]
[24-Feb-2025] Order issued [Helen]
[25-Feb-2025] Inform Lok arrange engineer follow up the PS Job [Helen]
[27-Feb-2025] Close CxS order on SRD Date: 27-Feb-2025. Waiting for TID to complete task [Helen]</t>
    <phoneticPr fontId="11" type="noConversion"/>
  </si>
  <si>
    <t>http://10.10.10.209/OASIS_FILE_MANAGER/zip_files_download.php?qid=1371416&amp;serialno=TI25-00001324&amp;itemno=1&amp;token=35a8d3955406018c0aaa17a463f8488b</t>
    <phoneticPr fontId="11" type="noConversion"/>
  </si>
  <si>
    <t>Alex Lam</t>
    <phoneticPr fontId="11" type="noConversion"/>
  </si>
  <si>
    <t>3974 5696</t>
    <phoneticPr fontId="11" type="noConversion"/>
  </si>
  <si>
    <t>asplam@digitalpolicy.gov.hk,</t>
    <phoneticPr fontId="11" type="noConversion"/>
  </si>
  <si>
    <t>Digital Policy Office, 17/F, The Hub, 23 Yip Kan Street, 
Wong Chuk Hang, Hong Kong (Attn: Mr Raymond MAK, SM(MIC)122)</t>
    <phoneticPr fontId="11" type="noConversion"/>
  </si>
  <si>
    <t>CL555376</t>
    <phoneticPr fontId="11" type="noConversion"/>
  </si>
  <si>
    <t>RN 098285/1-2</t>
    <phoneticPr fontId="11" type="noConversion"/>
  </si>
  <si>
    <t>UB25-00001203\1(OM)</t>
    <phoneticPr fontId="11" type="noConversion"/>
  </si>
  <si>
    <t>SD11727570</t>
    <phoneticPr fontId="11" type="noConversion"/>
  </si>
  <si>
    <t>DPO order 07024-02392 
Case Ref. No.: 07024-02392 (User Code: B70549088RC73Z) (Total amount: HKD1,261,000)
[27-Feb-2025] Receive Back Date Order
[06-Mar-2025] Company registered name between OASIS Notification and CxS order are not matched. Informed by ASM (Ruby) to on hold order until confirming customer registered name [Helen]
[11-Mar-2025] CxS order has amended customer register name  from Office of the Govt Chief Info Officer to Digital Policy Office and update CxS No. to 
RN 098285?3-4 [Helen]
[13-Mar-2025] Confirm with Bonnie and Lam Tam, order is solely for creating CL no. due to new sales performance counted only and no action should be taken from our side (Tenant ID: a049c7ae-112c-467b-bbb2-9b8367ab6ab6) [Helen]
[27-Mar-2025] Close CXS order on SRD date: 27-Feb-2025 [Helen]</t>
    <phoneticPr fontId="11" type="noConversion"/>
  </si>
  <si>
    <t>http://10.10.10.209/OASIS_FILE_MANAGER/zip_files_download.php?qid=1379965&amp;serialno=UB25-00001203&amp;itemno=1&amp;token=af50099303274d2705c0de237b390e2a</t>
    <phoneticPr fontId="11" type="noConversion"/>
  </si>
  <si>
    <t>Haru Ng</t>
    <phoneticPr fontId="11" type="noConversion"/>
  </si>
  <si>
    <t>2188 6038 / 6364 0675</t>
    <phoneticPr fontId="11" type="noConversion"/>
  </si>
  <si>
    <t>haru.ng@hkairport.com</t>
    <phoneticPr fontId="11" type="noConversion"/>
  </si>
  <si>
    <t>180294205138 (PROD)
302263072918 (SQCC)</t>
    <phoneticPr fontId="11" type="noConversion"/>
  </si>
  <si>
    <t>SIDS implementation Project</t>
    <phoneticPr fontId="11" type="noConversion"/>
  </si>
  <si>
    <t>CL554989</t>
    <phoneticPr fontId="11" type="noConversion"/>
  </si>
  <si>
    <t>RN 628902/1-2</t>
    <phoneticPr fontId="11" type="noConversion"/>
  </si>
  <si>
    <t>UB25-00001237\1(OM)</t>
    <phoneticPr fontId="11" type="noConversion"/>
  </si>
  <si>
    <t>SD11727663</t>
    <phoneticPr fontId="11" type="noConversion"/>
  </si>
  <si>
    <t>SIDS implementation Project (PO1094498)
AWS ID: 180294205138 (PROD); 302263072918 (SQCC)
[27-Feb-2025] Order Issued. Inform Lok arrange engineers follow up PS Job and provide AWS ID for our record
[28-Feb-2025] Close CxS order on 28-Feb-2025 and notify Lok and HKT Pro Cloud MS team that order has managed service T3</t>
    <phoneticPr fontId="11" type="noConversion"/>
  </si>
  <si>
    <t>http://10.10.10.209/OASIS_FILE_MANAGER/zip_files_download.php?qid=1373459&amp;serialno=UB25-00001237&amp;itemno=1&amp;token=acddc3ef143d61133d36ebdde799eab9</t>
    <phoneticPr fontId="11" type="noConversion"/>
  </si>
  <si>
    <t>C-order for SIDS implementation Project</t>
    <phoneticPr fontId="11" type="noConversion"/>
  </si>
  <si>
    <t>RN 334904/1-2</t>
    <phoneticPr fontId="11" type="noConversion"/>
  </si>
  <si>
    <t>UB25-00001304\1(OM)</t>
    <phoneticPr fontId="11" type="noConversion"/>
  </si>
  <si>
    <t>SD11727896</t>
    <phoneticPr fontId="11" type="noConversion"/>
  </si>
  <si>
    <t>C-order for SIDS implementation Project (PO1094498) *Professional Service: HKD43,125
[28-Feb-2025] Inform Diva (Sale) to issue C-order for the billing charge of PS Job [Helen]
[04-Mar-2025] Order Issue. Inform Lok arranges engineers follow up PS Job and provide AWS ID for our record and notify Lok and HKT Pro Cloud MS team that order has managed service T3 [Helen]</t>
    <phoneticPr fontId="11" type="noConversion"/>
  </si>
  <si>
    <t>http://10.10.10.209/OASIS_FILE_MANAGER/zip_files_download.php?qid=1374674&amp;serialno=UB25-00001304&amp;itemno=1&amp;token=acddc3ef143d61133d36ebdde799eab9</t>
    <phoneticPr fontId="11" type="noConversion"/>
  </si>
  <si>
    <t>Daniel Wang</t>
    <phoneticPr fontId="11" type="noConversion"/>
  </si>
  <si>
    <t>zhanhong.wang@uisee.com</t>
    <phoneticPr fontId="11" type="noConversion"/>
  </si>
  <si>
    <t>207335987187 (PROD)
864186154131 (SQCC)</t>
    <phoneticPr fontId="11" type="noConversion"/>
  </si>
  <si>
    <t>AET Project</t>
    <phoneticPr fontId="11" type="noConversion"/>
  </si>
  <si>
    <t>C/O UISEE Technologies (Hong Kong) Limited
Address:  Shop Nos. 202-203, 2nd Floor, Regal Airport Hotel, 9 Cheong Tat Road, Chek Lap Kok, Hong Kong</t>
    <phoneticPr fontId="11" type="noConversion"/>
  </si>
  <si>
    <t>CL558939</t>
    <phoneticPr fontId="11" type="noConversion"/>
  </si>
  <si>
    <t>RN 287570/1-2</t>
    <phoneticPr fontId="11" type="noConversion"/>
  </si>
  <si>
    <t>UB25-00001391\1(OM)</t>
    <phoneticPr fontId="11" type="noConversion"/>
  </si>
  <si>
    <t>SD11729328</t>
    <phoneticPr fontId="11" type="noConversion"/>
  </si>
  <si>
    <t>AET Project (PO:YY-20250302-001) *Total: HKD988,861.49
AWS ID: 207335987187 (PROD); 864186154131 (SQCC)
[05-Mar-2025] Order Issued. Inform Lok arrange engineer follow up PS Job for AET Project [Helen]
[06-Mar-2025] Close CxS order on 06-Mar-2025 and notify Lok and HKT Pro Cloud MS Team that order has managed service T3 [Helen]</t>
    <phoneticPr fontId="11" type="noConversion"/>
  </si>
  <si>
    <t>http://10.10.10.209/OASIS_FILE_MANAGER/zip_files_download.php?qid=1375836&amp;serialno=UB25-00001391&amp;itemno=1&amp;token=acddc3ef143d61133d36ebdde799eab9</t>
    <phoneticPr fontId="11" type="noConversion"/>
  </si>
  <si>
    <t>C-order for AET Project</t>
    <phoneticPr fontId="11" type="noConversion"/>
  </si>
  <si>
    <t>RN 058191/1-2</t>
    <phoneticPr fontId="11" type="noConversion"/>
  </si>
  <si>
    <t>UB25-00001465\1(OM)</t>
    <phoneticPr fontId="11" type="noConversion"/>
  </si>
  <si>
    <t>SD11729518</t>
    <phoneticPr fontId="11" type="noConversion"/>
  </si>
  <si>
    <t>C-order for AET Project (PO:YY-20250302-001) *Professional Service: HKD70,300
[06-Mar-2025] Inform Dvia (Sale) to issue C-order for the billing charge of PS Job [Helen]
[10-Mar-2025] Order Issued. Inform Lok arranges engineer to follow up PS Job by email [Helen]
[10-Mar-2025] Close CxS order on 10-Mar-2025 and notify Lok and HKT Pro Cloud MS team that order has managed service T3 [Helen]</t>
  </si>
  <si>
    <t>CL558938</t>
    <phoneticPr fontId="11" type="noConversion"/>
  </si>
  <si>
    <t>RN 117953/1-2</t>
    <phoneticPr fontId="11" type="noConversion"/>
  </si>
  <si>
    <t>UB25-00001414\1(OM)</t>
    <phoneticPr fontId="11" type="noConversion"/>
  </si>
  <si>
    <t>SD11729413</t>
    <phoneticPr fontId="11" type="noConversion"/>
  </si>
  <si>
    <t>DPO order 07024-02392
Case Ref. No.: 07024-02873 (User Code: B70549088RC73Z) (Total amount: HKD1,274,000)
[05-Mar-025] Back date order Issued {Helen]
[06-Mar-025] Email to Marcus (Sale) to confirm the correct contact person [Helen]
[13-Mar-2025] Confirm with Bonnie and Lam Tam, order is solely for creating CL no. due to new sales performance counted only and no action should be taken from our side (Tenant ID: a049c7ae-112c-467b-bbb2-9b8367ab6ab6) [Helen]
[27-Mar-2025] Close CXS order on SRD date: 04-Mar-2025 [Helen]</t>
    <phoneticPr fontId="11" type="noConversion"/>
  </si>
  <si>
    <t>http://10.10.10.209/OASIS_FILE_MANAGER/zip_files_download.php?qid=1376253&amp;serialno=UB25-00001414&amp;itemno=1&amp;token=af50099303274d2705c0de237b390e2a</t>
    <phoneticPr fontId="11" type="noConversion"/>
  </si>
  <si>
    <t>982081085396
495599766131</t>
    <phoneticPr fontId="11" type="noConversion"/>
  </si>
  <si>
    <t>aws_zaqhi_sqcc
aws_zaqhi_prod</t>
    <phoneticPr fontId="11" type="noConversion"/>
  </si>
  <si>
    <t>CL559261</t>
    <phoneticPr fontId="11" type="noConversion"/>
  </si>
  <si>
    <t>RN 984361/1-2</t>
    <phoneticPr fontId="11" type="noConversion"/>
  </si>
  <si>
    <t>UB25-00001435\1(OM)</t>
    <phoneticPr fontId="11" type="noConversion"/>
  </si>
  <si>
    <t>SD11729703</t>
    <phoneticPr fontId="11" type="noConversion"/>
  </si>
  <si>
    <t>ZAQHI Revamp Project (PO1094715) *Professional Service: HKD42,900
AWS IDs: 982081085396 (aws_zaqhi_sqcc) [Testing Platform]; 495599766131 (aws_zaqhi_prod) [Production Platform]
[06-Mar-2025] Order Issued [Helen]
[07-Mar-2025] Inform Lok arrange engineer(s) follow up PS Job for AA - ZAQHI Revamp Project [Helen]
[07-Mar-2025] Close Cxs order on 07-Mar-2025 and notify Lok and HKT PRO Cloud MS Team that order has managed service T3 [Helen]</t>
    <phoneticPr fontId="11" type="noConversion"/>
  </si>
  <si>
    <t>http://10.10.10.209/OASIS_FILE_MANAGER/zip_files_download.php?qid=1376774&amp;serialno=UB25-00001435&amp;itemno=1&amp;token=acddc3ef143d61133d36ebdde799eab9</t>
    <phoneticPr fontId="11" type="noConversion"/>
  </si>
  <si>
    <t>C-order for ZAQHI Revamp Project</t>
    <phoneticPr fontId="11" type="noConversion"/>
  </si>
  <si>
    <t>RN 529155 /1-2</t>
    <phoneticPr fontId="11" type="noConversion"/>
  </si>
  <si>
    <t>UB25-00001501\1(OM)</t>
    <phoneticPr fontId="11" type="noConversion"/>
  </si>
  <si>
    <t>SD11729784</t>
    <phoneticPr fontId="11" type="noConversion"/>
  </si>
  <si>
    <t>C-order for ZAQHI Revamp Project (PO1094715) *Professional Service: HKD42,900
AWS IDs: 982081085396 (aws_zaqhi_sqcc) [Testing Platform]; 495599766131 (aws_zaqhi_prod) [Production Platform]
[07-Mar-2025] Inform Diva (sale) to issue C-order for the billing charge of PS job [Helen]
[12-Mar-2025] C-Order issued. Inform Lok arrange engineer(s) follow up PS Job for AA - ZAQHI Revamp Project [Helen]
[12-Mar-2025] Close CxS order on 13-Mar-2025 and notify Lok and HKT PRO Cloud MS Team that order has managed service T3 [Helen]</t>
    <phoneticPr fontId="11" type="noConversion"/>
  </si>
  <si>
    <t>http://10.10.10.209/OASIS_FILE_MANAGER/zip_files_download.php?qid=1378285&amp;serialno=UB25-00001501&amp;itemno=1&amp;token=acddc3ef143d61133d36ebdde799eab9</t>
    <phoneticPr fontId="11" type="noConversion"/>
  </si>
  <si>
    <t>aws_zcfinfo_sqcc</t>
    <phoneticPr fontId="11" type="noConversion"/>
  </si>
  <si>
    <t>[10-Mar-2025] Receive Cloudcheckr alert for AWS IDs x4. Inform Katie helps to call sales to issue order [SD11730235]</t>
    <phoneticPr fontId="11" type="noConversion"/>
  </si>
  <si>
    <t>aws_zcfinfo_prod</t>
    <phoneticPr fontId="11" type="noConversion"/>
  </si>
  <si>
    <t>Kitson Ng</t>
    <phoneticPr fontId="11" type="noConversion"/>
  </si>
  <si>
    <t>kitson_ng@hiphing.com.hk</t>
    <phoneticPr fontId="11" type="noConversion"/>
  </si>
  <si>
    <t>Floor 11, Chevalier Commercial Centre, No.8, Wang Hoi Road, Kowloon Bay</t>
    <phoneticPr fontId="11" type="noConversion"/>
  </si>
  <si>
    <t>CL540847</t>
  </si>
  <si>
    <t>RN 153200/1-2</t>
    <phoneticPr fontId="11" type="noConversion"/>
  </si>
  <si>
    <t>UE25-00000924\1(OM)</t>
    <phoneticPr fontId="11" type="noConversion"/>
  </si>
  <si>
    <t>SD11730364</t>
    <phoneticPr fontId="11" type="noConversion"/>
  </si>
  <si>
    <t>AWS account migration: [AWS ID: 897722669509 (kitson_ng@hiphing.com.hk)]
[10-Mar-2025] Order issued. Inform our colleague follow up AWS account migration with vendor [Helen]
[11-Mar-2025] Account migration task done [SD11730384] [Kelvin]
[11-Mar-2025] Close CxS order on SRD date: 11-Mar-2025 [Helen]
[14-Mar-2025] Cloudcheckr account created then sent Welcome letter to customer. [Kelvin]</t>
  </si>
  <si>
    <t>http://10.10.10.209/OASIS_FILE_MANAGER/zip_files_download.php?qid=1377399&amp;serialno=UE25-00000924&amp;itemno=1&amp;token=3236c2237035e7dbdfa1ba58f278916e</t>
    <phoneticPr fontId="11" type="noConversion"/>
  </si>
  <si>
    <t>3919 2384 / 9519 8740</t>
    <phoneticPr fontId="11" type="noConversion"/>
  </si>
  <si>
    <t>4154b583ff174e19aaa14b7d3702006a</t>
    <phoneticPr fontId="11" type="noConversion"/>
  </si>
  <si>
    <t>N5-ODC-PRD</t>
    <phoneticPr fontId="11" type="noConversion"/>
  </si>
  <si>
    <t>n5dmzsupport@ha.org.hk</t>
    <phoneticPr fontId="11" type="noConversion"/>
  </si>
  <si>
    <t>8/F, Harbourside HQ, 8 Lam Chak Street, Kowloon Bay, Kowloon</t>
    <phoneticPr fontId="11" type="noConversion"/>
  </si>
  <si>
    <t>Billing Recipient Email Address: n5dmzsupport@ha.org.hk; jackson.lam@ha.org.hk; tnc923@ha.org.hk</t>
    <phoneticPr fontId="11" type="noConversion"/>
  </si>
  <si>
    <t>CL551954</t>
    <phoneticPr fontId="11" type="noConversion"/>
  </si>
  <si>
    <t>RN 452629/1-2</t>
    <phoneticPr fontId="11" type="noConversion"/>
  </si>
  <si>
    <t>UB25-00003094\1(OM)</t>
    <phoneticPr fontId="11" type="noConversion"/>
  </si>
  <si>
    <t>SD11731038</t>
    <phoneticPr fontId="11" type="noConversion"/>
  </si>
  <si>
    <t>[12-Mar-2025] Receive HA Huawei account creation email request
[12-Mar-2024] Receive the Case ID: #MSPOC-485 to acknowledge the request from HKT-Cloud EMS team
[13-Mar-2025] Account Created [Helen]
[19-May-2025] Order Issued. Close CxS order on SRD date: 01-May-2025 and notify Martin MK Wong and Multi-Cloud MS team that order has managed service T2 [Helen]</t>
    <phoneticPr fontId="11" type="noConversion"/>
  </si>
  <si>
    <t>http://10.10.10.209/OASIS_FILE_MANAGER/zip_files_download.php?qid=1411152&amp;serialno=UB25-00003094&amp;itemno=1&amp;token=a964a32236e9d92cb29b0b25f27a5288</t>
    <phoneticPr fontId="11" type="noConversion"/>
  </si>
  <si>
    <t>Sylvia Chan</t>
    <phoneticPr fontId="11" type="noConversion"/>
  </si>
  <si>
    <t>2183 8395</t>
    <phoneticPr fontId="11" type="noConversion"/>
  </si>
  <si>
    <t>sylvia.ky.chan@hkairport.com</t>
    <phoneticPr fontId="11" type="noConversion"/>
  </si>
  <si>
    <t>rg-cwm-prod-001
rg-cwm-uat-001
rg-cwm-dev-001</t>
    <phoneticPr fontId="11" type="noConversion"/>
  </si>
  <si>
    <t>HKIA tower 2, 1 Sky plaza road, HK international airport, LT</t>
  </si>
  <si>
    <t>CL553816</t>
    <phoneticPr fontId="11" type="noConversion"/>
  </si>
  <si>
    <t>RN 664128/1-2</t>
    <phoneticPr fontId="11" type="noConversion"/>
  </si>
  <si>
    <t>UB25-00001542\1(OM)</t>
    <phoneticPr fontId="11" type="noConversion"/>
  </si>
  <si>
    <t>SD11731330</t>
    <phoneticPr fontId="11" type="noConversion"/>
  </si>
  <si>
    <t>CWM AI Project (PO1094778) * Professional Service (HKD84,700)
(Resource Group name: rg-cwm-prod-001; rg-cwm-uat-001; rg-cwm-dev-001)
[12-Mar-2025 ]Order Issued. [Helen]
[13-Mar-2025] Inform Lok arrange egineer(s) follow up PS Job and provide RG name for our record. Close CxS order on 13-Mar-2025 and notify Lok and HKT Pro Cloud MS Team that order has managed service T3 [Helen]</t>
    <phoneticPr fontId="11" type="noConversion"/>
  </si>
  <si>
    <t>http://10.10.10.209/OASIS_FILE_MANAGER/zip_files_download.php?qid=1379266&amp;serialno=UB25-00001542&amp;itemno=1&amp;token=acddc3ef143d61133d36ebdde799eab9</t>
    <phoneticPr fontId="11" type="noConversion"/>
  </si>
  <si>
    <t>C-order for CWM AI Project</t>
    <phoneticPr fontId="11" type="noConversion"/>
  </si>
  <si>
    <t>RN 694630/1-2</t>
    <phoneticPr fontId="11" type="noConversion"/>
  </si>
  <si>
    <t>UB25-00001672\1(OM)</t>
    <phoneticPr fontId="11" type="noConversion"/>
  </si>
  <si>
    <t>SD11731454</t>
    <phoneticPr fontId="11" type="noConversion"/>
  </si>
  <si>
    <t>C-order for CWM AI Project (PO1094778) *Professional Service (HKD84,700)
[13-Mar-2025] Inform Diva (sale) to issue C-order for the billing charge of PS job [Helen]
[20-Mar-2025] Order Issued. Inform Lok arranges engineer(s) follow up PS Job for C-order of CWM AI Project [Helen]
[20-Mar-2025] Close CxS order on SRD date: 20-Mar-2025 and notify Lok and HKT Pro Cloud MS team that order has managed service T3 [Helen]</t>
    <phoneticPr fontId="11" type="noConversion"/>
  </si>
  <si>
    <t>http://10.10.10.209/OASIS_FILE_MANAGER/zip_files_download.php?qid=1381667&amp;serialno=UB25-00001672&amp;itemno=1&amp;token=acddc3ef143d61133d36ebdde799eab9</t>
    <phoneticPr fontId="11" type="noConversion"/>
  </si>
  <si>
    <t>Termination</t>
    <phoneticPr fontId="11" type="noConversion"/>
  </si>
  <si>
    <t>Jerry Leung</t>
    <phoneticPr fontId="11" type="noConversion"/>
  </si>
  <si>
    <t>2114 6104</t>
    <phoneticPr fontId="11" type="noConversion"/>
  </si>
  <si>
    <t>jerryleung@firstbullion.com</t>
    <phoneticPr fontId="11" type="noConversion"/>
  </si>
  <si>
    <t>8/F, Winland Square Building, 314-324 Hennessy Road, Wan Chai, Hong Kong</t>
    <phoneticPr fontId="11" type="noConversion"/>
  </si>
  <si>
    <t>RN 510436/1-2</t>
    <phoneticPr fontId="11" type="noConversion"/>
  </si>
  <si>
    <t>TI25-00001873\1(OM)</t>
    <phoneticPr fontId="11" type="noConversion"/>
  </si>
  <si>
    <t>SD11731469</t>
    <phoneticPr fontId="11" type="noConversion"/>
  </si>
  <si>
    <t>Termination: AWS ID: 403046075669
[12-Mar-2025] Order Issued [Helen]
[13-Mar-2025] Inform our colleague to terminate AWS ID: 403046075669 on SRD date: 11-Apr-2025 by email [Helen]
[11-Apr-2025] Account Termination done [Kilson]
[11-Apr-2025] Close CxS order on SRD date: 11-Apr-2025</t>
    <phoneticPr fontId="11" type="noConversion"/>
  </si>
  <si>
    <t>http://10.10.10.209/OASIS_FILE_MANAGER/zip_files_download.php?qid=1379162&amp;serialno=TI25-00001873&amp;itemno=1&amp;token=65d9bdc4f8c51deb655f4357572371ae</t>
    <phoneticPr fontId="11" type="noConversion"/>
  </si>
  <si>
    <t>ITAK (INTERNATIONAL) LIMITED</t>
    <phoneticPr fontId="11" type="noConversion"/>
  </si>
  <si>
    <t>PS Job for Machine Upgrade (itaksqlvm)</t>
    <phoneticPr fontId="11" type="noConversion"/>
  </si>
  <si>
    <t>RN 683362/1-2</t>
    <phoneticPr fontId="11" type="noConversion"/>
  </si>
  <si>
    <t>TI25-00002047\1(OM)]</t>
    <phoneticPr fontId="11" type="noConversion"/>
  </si>
  <si>
    <t>SD11731723</t>
    <phoneticPr fontId="11" type="noConversion"/>
  </si>
  <si>
    <t>Machine Upgrade (itaksqlvm) [*Professional Service (one-time charge HK12,000)]
[14-Mar-2025] Order Issued. [The Job is completed (Include Service Delivery Note). Order issued for billing purpose]. Forward OASIS email to Lok as reference.
[17-Mar-2025] Close CxS order on SRD date: 17-Mar-2024 [Helen]</t>
    <phoneticPr fontId="11" type="noConversion"/>
  </si>
  <si>
    <t>http://10.10.10.209/OASIS_FILE_MANAGER/zip_files_download.php?qid=1381798&amp;serialno=TI25-00002047&amp;itemno=1&amp;token=72562a8b90be655179037c2190c3172e</t>
    <phoneticPr fontId="11" type="noConversion"/>
  </si>
  <si>
    <t>864186154131</t>
    <phoneticPr fontId="11" type="noConversion"/>
  </si>
  <si>
    <t>aws_aet_sqcc</t>
    <phoneticPr fontId="11" type="noConversion"/>
  </si>
  <si>
    <t>[24-Mar-2025] Receive Cloudcheckr alert for AWS IDs: 864186154131 (aws_aet_sqcc); 207335987187 (aws_aet_prod). Inform Katie helps to call sales to issue order [SD11734095]</t>
    <phoneticPr fontId="11" type="noConversion"/>
  </si>
  <si>
    <t>207335987187</t>
    <phoneticPr fontId="11" type="noConversion"/>
  </si>
  <si>
    <t>744126300038</t>
    <phoneticPr fontId="11" type="noConversion"/>
  </si>
  <si>
    <t>HKT CPPO</t>
    <phoneticPr fontId="11" type="noConversion"/>
  </si>
  <si>
    <t>[24-Mar-2025] Receive Cloudcheckr alert for AWS IDs: 744126300038 (HKT CPPO). Inform Katie helps to call sales to issue order [SD11734123]</t>
    <phoneticPr fontId="11" type="noConversion"/>
  </si>
  <si>
    <t>625255522801</t>
    <phoneticPr fontId="11" type="noConversion"/>
  </si>
  <si>
    <t>dynamicField</t>
  </si>
  <si>
    <t>[24-Mar-2025] Receive Cloudcheckr alert for AWS IDs: 625255522801 (dynamicField). Inform Katie helps to call sales to issue order [SD11734109]</t>
    <phoneticPr fontId="11" type="noConversion"/>
  </si>
  <si>
    <t>ALAN CHAN</t>
    <phoneticPr fontId="11" type="noConversion"/>
  </si>
  <si>
    <t>Hds-alanc@orixasiacapital.com</t>
    <phoneticPr fontId="11" type="noConversion"/>
  </si>
  <si>
    <t>Address: 25/F TWO EXCH SQ, CENTRAL DISTRICT HONG KONG</t>
    <phoneticPr fontId="11" type="noConversion"/>
  </si>
  <si>
    <t>Azure ID: 22f5a14d-76bb-42c5-8e7c-9037ffd5c418
Azure ID: 398a504f-5084-4036-9f04-c07c2c29a5e5</t>
    <phoneticPr fontId="11" type="noConversion"/>
  </si>
  <si>
    <t>CL541661</t>
    <phoneticPr fontId="11" type="noConversion"/>
  </si>
  <si>
    <t>RN 062911/1-2</t>
    <phoneticPr fontId="11" type="noConversion"/>
  </si>
  <si>
    <t>TI25-00002487\1(OM)</t>
  </si>
  <si>
    <t>SD11735915</t>
    <phoneticPr fontId="11" type="noConversion"/>
  </si>
  <si>
    <t>[31-Mar-2025] Back date Order Issue for Transfer Azure subscription from 3rd party (SoftwareONE Hong Kong Limited) to HKT [Helen]
[03-Apr-2025] Handle and completed the migration task [Kelvin] SD11735482
[07-Apr-2025] Transfer Azure Subscription has been completed (Azure ID: 22f5a14d-76bb-42c5-8e7c-9037ffd5c418 and Azure ID: 398a504f-5084-4036-9f04-c07c2c29a5e5). Close CxS order on SRD Date: 28-Mar-2025 [Helen]</t>
  </si>
  <si>
    <t xml:space="preserve">http://10.10.10.209/OASIS_FILE_MANAGER/zip_files_download.php?qid=1389217&amp;serialno=TI25-00002487&amp;itemno=1&amp;token=6a018acb188f88fcba14dcc50c3a9345 </t>
    <phoneticPr fontId="11" type="noConversion"/>
  </si>
  <si>
    <t>Kelvin Chan</t>
    <phoneticPr fontId="11" type="noConversion"/>
  </si>
  <si>
    <t>91663850 / 94633687</t>
    <phoneticPr fontId="11" type="noConversion"/>
  </si>
  <si>
    <t>kevinchan@cyberport.hk</t>
    <phoneticPr fontId="11" type="noConversion"/>
  </si>
  <si>
    <t>356816590559</t>
    <phoneticPr fontId="11" type="noConversion"/>
  </si>
  <si>
    <t>istartup_admin@cyberport.hk</t>
    <phoneticPr fontId="11" type="noConversion"/>
  </si>
  <si>
    <t>Level 6, Cyberport 2, 100 Cyberport Road, Hong Kong</t>
    <phoneticPr fontId="11" type="noConversion"/>
  </si>
  <si>
    <t>CL546920</t>
    <phoneticPr fontId="11" type="noConversion"/>
  </si>
  <si>
    <t>RN 846682/1-2</t>
    <phoneticPr fontId="11" type="noConversion"/>
  </si>
  <si>
    <t>UE25-00001313\1(OM)</t>
    <phoneticPr fontId="11" type="noConversion"/>
  </si>
  <si>
    <t>SD11735928</t>
    <phoneticPr fontId="11" type="noConversion"/>
  </si>
  <si>
    <t>AWS Annual Consolidated Billing Services (01-Apr-2025 - 31-Mar-2026) HKD 561,000 [PO No.: QAF-255035]
[31-Mar-2025] Order Issue [Helen]
[31-Mar-2025] Send invitation of account migration to customer [Kelvin]  (SD11735896)
[31-Mar-2025] Customer replies that they has accepted invitation. Close CxS order on SRD date: 31-Mar-2025 [Helen]
[07-Apr-2025] Receive CloudCheckr alert to notice for AWS usage. Setup billing account and send wleocme letter to customer [Kilson]</t>
    <phoneticPr fontId="11" type="noConversion"/>
  </si>
  <si>
    <t>http://10.10.10.209/OASIS_FILE_MANAGER/zip_files_download.php?qid=1389203&amp;serialno=UE25-00001312&amp;itemno=1&amp;token=3236c2237035e7dbdfa1ba58f278916e</t>
    <phoneticPr fontId="11" type="noConversion"/>
  </si>
  <si>
    <t>Chan Frankie Fat Leung</t>
    <phoneticPr fontId="11" type="noConversion"/>
  </si>
  <si>
    <t>2678 6357</t>
    <phoneticPr fontId="11" type="noConversion"/>
  </si>
  <si>
    <t>frankie.fl.chan@clp.com.hk</t>
    <phoneticPr fontId="11" type="noConversion"/>
  </si>
  <si>
    <t>PS Job for non-HKT AWS ID</t>
    <phoneticPr fontId="11" type="noConversion"/>
  </si>
  <si>
    <t>CLP Power Sham Shui Po Centre, Fuk Wah Street, Sham Shui Po, Kowloon</t>
    <phoneticPr fontId="11" type="noConversion"/>
  </si>
  <si>
    <t>CL555168</t>
    <phoneticPr fontId="11" type="noConversion"/>
  </si>
  <si>
    <t>RN 702134/1-2</t>
    <phoneticPr fontId="11" type="noConversion"/>
  </si>
  <si>
    <t>UB25-00001819\1(OM)</t>
    <phoneticPr fontId="11" type="noConversion"/>
  </si>
  <si>
    <t>SD11736985</t>
    <phoneticPr fontId="11" type="noConversion"/>
  </si>
  <si>
    <t>PS Job (CloudHealth License, Support Subscription) for non-HKT AWS ID (HKD1,082,250)
[02-Apr-2025] Order Issued [Helen]
[02-Apr-2025] Inform Lok arrange engineers follow up PS Job by email [Helen]
[25-Apr-2025] Close CxS order on 25-Apr-2025 and notify Lok's team and HKT Pro Cloud MS Team that order has managed service T3. [Helen]</t>
    <phoneticPr fontId="11" type="noConversion"/>
  </si>
  <si>
    <t>http://10.10.10.209/OASIS_FILE_MANAGER/zip_files_download.php?qid=1384267&amp;serialno=UB25-00001819&amp;itemno=1&amp;token=da34855977b6597edca13772e897f19a</t>
    <phoneticPr fontId="11" type="noConversion"/>
  </si>
  <si>
    <t>Mr. Norman Chan</t>
    <phoneticPr fontId="11" type="noConversion"/>
  </si>
  <si>
    <t>5116 2456</t>
    <phoneticPr fontId="11" type="noConversion"/>
  </si>
  <si>
    <t>norman.chan@kingviews-hk.com</t>
    <phoneticPr fontId="11" type="noConversion"/>
  </si>
  <si>
    <t>Taste of Asia Group Limited</t>
    <phoneticPr fontId="11" type="noConversion"/>
  </si>
  <si>
    <t>admin@tasteofasiagrp.onmicrosoft.com</t>
    <phoneticPr fontId="11" type="noConversion"/>
  </si>
  <si>
    <t>Rm1804, 18/F, Laford Centre, 838 Lai Chi Kok Road, Cheung Sha Wan</t>
    <phoneticPr fontId="11" type="noConversion"/>
  </si>
  <si>
    <t>Microsoft ID: 3d33a95b-4aa3-4756-80a9-ea2fb3c2fa01
Azure ID: 5c291f79-a314-4cb5-82ab-ca3b63be2e3e</t>
    <phoneticPr fontId="11" type="noConversion"/>
  </si>
  <si>
    <t>CL543337</t>
    <phoneticPr fontId="11" type="noConversion"/>
  </si>
  <si>
    <t>RN 902271/1-2</t>
    <phoneticPr fontId="11" type="noConversion"/>
  </si>
  <si>
    <t>TI25-00002686\1(OM)</t>
    <phoneticPr fontId="11" type="noConversion"/>
  </si>
  <si>
    <t>SD11738650</t>
    <phoneticPr fontId="11" type="noConversion"/>
  </si>
  <si>
    <t>Microsoft ID: 3d33a95b-4aa3-4756-80a9-ea2fb3c2fa01
Azure ID: 5c291f79-a314-4cb5-82ab-ca3b63be2e3e
[09-Apr-2025] Order issued for billing and record only. No action is required.
[10-Apr-2025] Close CxS order on 10-Apr-2025 [Helen]</t>
    <phoneticPr fontId="11" type="noConversion"/>
  </si>
  <si>
    <t>http://10.10.10.209/OASIS_FILE_MANAGER/zip_files_download.php?qid=1392886&amp;serialno=TI25-00002686&amp;itemno=1&amp;token=f34952f5ae259823225f76bf8da2f65e</t>
    <phoneticPr fontId="11" type="noConversion"/>
  </si>
  <si>
    <t>hkt-redlab@hkt-cloud.com</t>
    <phoneticPr fontId="11" type="noConversion"/>
  </si>
  <si>
    <t>MIB_POC_HKT</t>
    <phoneticPr fontId="11" type="noConversion"/>
  </si>
  <si>
    <t>Alibaba Cloud</t>
    <phoneticPr fontId="11" type="noConversion"/>
  </si>
  <si>
    <t>5059043566447912</t>
    <phoneticPr fontId="11" type="noConversion"/>
  </si>
  <si>
    <t>HKT Red Lab</t>
    <phoneticPr fontId="11" type="noConversion"/>
  </si>
  <si>
    <t>26/F, PCCW Tower, Taikoo Place, Quarry Bay, HK</t>
    <phoneticPr fontId="11" type="noConversion"/>
  </si>
  <si>
    <t>CL545933</t>
    <phoneticPr fontId="11" type="noConversion"/>
  </si>
  <si>
    <t xml:space="preserve">RN 411879/1-2 </t>
    <phoneticPr fontId="11" type="noConversion"/>
  </si>
  <si>
    <t>BBSMA25-00000240\1(OM)</t>
    <phoneticPr fontId="11" type="noConversion"/>
  </si>
  <si>
    <t>SD11736750</t>
    <phoneticPr fontId="11" type="noConversion"/>
  </si>
  <si>
    <t>Pre-provisioned Alibaba account for HKT Reb Lab project (For Internal Use)
[02-Apr-2025] Account created and send invitation link [Kilson]
[14-Apr-2025] Order Issued
[14-Apr-2025] Send Welcome Letter [Kilson]
[14-Apr-2025] Close CxS order [Helen]</t>
  </si>
  <si>
    <t>http://10.10.10.209/OASIS_FILE_MANAGER/zip_files_download.php?qid=1396962&amp;serialno=BBSMA25-00000240&amp;itemno=1&amp;token=0cc88db95574e130f1ff0784c353575e</t>
    <phoneticPr fontId="11" type="noConversion"/>
  </si>
  <si>
    <t>Terrnce Mak</t>
    <phoneticPr fontId="11" type="noConversion"/>
  </si>
  <si>
    <t>tmak@cc-ltd.com</t>
    <phoneticPr fontId="11" type="noConversion"/>
  </si>
  <si>
    <t>5713482538587160</t>
    <phoneticPr fontId="11" type="noConversion"/>
  </si>
  <si>
    <t>alicloud@cc-ltd.com</t>
    <phoneticPr fontId="11" type="noConversion"/>
  </si>
  <si>
    <t>6/F, Unit 1098-113, Floor 1, Building 5W, 5W, Phase One of Hong Kong Science Park, No. 5, Science Park West Avenue, Pak Sjek Kok, New Territories</t>
    <phoneticPr fontId="11" type="noConversion"/>
  </si>
  <si>
    <t>CL544406</t>
    <phoneticPr fontId="11" type="noConversion"/>
  </si>
  <si>
    <t>RN 681088/1-2</t>
    <phoneticPr fontId="11" type="noConversion"/>
  </si>
  <si>
    <t>TI25-00002913\1(OM)</t>
    <phoneticPr fontId="11" type="noConversion"/>
  </si>
  <si>
    <t>SD11740756</t>
    <phoneticPr fontId="11" type="noConversion"/>
  </si>
  <si>
    <t>Alibaba account migration (ID: 5713482538587160)
[17-Apr-2025] Order Issued. Notify M365 teammate to follow up account migration task by email [Helen]
[17-Apr-2025] Send an email to inform B&amp;data support to migrate alibaba cloud account [Kilson]
[30-Apr-2025] Confirm from Lam Tam that account migration has been completed. Send Welcome Letter to customer [Kilson]
[07-May-2025] Close CxS order on SRD date: 25-Apr-2025 [Helen]</t>
  </si>
  <si>
    <t>http://10.10.10.209/OASIS_FILE_MANAGER/zip_files_download.php?qid=1397093&amp;serialno=TI25-00002913&amp;itemno=1&amp;token=835b6c794a99c33c302f1d8864958920</t>
    <phoneticPr fontId="11" type="noConversion"/>
  </si>
  <si>
    <t>rg-cwc-prod-001
rg-cwc-uat-001
rg-cwc-dev-001</t>
    <phoneticPr fontId="11" type="noConversion"/>
  </si>
  <si>
    <t>CL548250</t>
    <phoneticPr fontId="11" type="noConversion"/>
  </si>
  <si>
    <t>RN 878523/1-2</t>
    <phoneticPr fontId="11" type="noConversion"/>
  </si>
  <si>
    <t>UB25-00002483 / 1</t>
    <phoneticPr fontId="11" type="noConversion"/>
  </si>
  <si>
    <t>SD11741270</t>
    <phoneticPr fontId="11" type="noConversion"/>
  </si>
  <si>
    <t>Cloud Platform Setup for CWC Project (PO1095342) *Professional Service (HKD84,700)
(Resource Group Name: rg-cwc-prod-001; rg-cwc-uat-001; rg-cwc-dev-001)
[17-Apr-2025] Order Issued. 
[22-Apr-2025] Inform Lok arrange engineer(s) follow up PS Job for Cloud Platform Setup of CWC Project. Close CXS order on 22-Apr-2025 and notify Lok and HKT PRO Cloud MS Team that order has managed service T3 [Helen]</t>
    <phoneticPr fontId="11" type="noConversion"/>
  </si>
  <si>
    <t>http://10.10.10.209/OASIS_FILE_MANAGER/zip_files_download.php?qid=1399183&amp;serialno=UB25-00002483&amp;itemno=1&amp;token=d23f31f95c7e154f012227d36ac5a7e2</t>
    <phoneticPr fontId="11" type="noConversion"/>
  </si>
  <si>
    <t>C-order for Cloud Platform Setup for CWC Project</t>
    <phoneticPr fontId="11" type="noConversion"/>
  </si>
  <si>
    <t>RN 716628/1-2</t>
    <phoneticPr fontId="11" type="noConversion"/>
  </si>
  <si>
    <t>UB25-00002525\1(OM)</t>
    <phoneticPr fontId="11" type="noConversion"/>
  </si>
  <si>
    <t>SD11742460</t>
    <phoneticPr fontId="11" type="noConversion"/>
  </si>
  <si>
    <t>C-order for Cloud Platform Setup for CWC Project (PO1095342) *Professional Service (HKD84,700)
[22-Apr-2025] Inform Diva (Sales) to issue C-order for the billing charge of PS Job [Helen]
[25-Apr-2025] Order Issued. Inform Lok arrange engineer(s) follow up PS Job for Cloud Platform Setup of CWC Project. Close CXS order on 25-Apr-2025 and notify Lok and HKT PRO Cloud MS Team that order has managed service T3 [Helen]</t>
    <phoneticPr fontId="11" type="noConversion"/>
  </si>
  <si>
    <t>http://10.10.10.209/OASIS_FILE_MANAGER/zip_files_download.php?qid=1399899&amp;serialno=UB25-00002525&amp;itemno=1&amp;token=d23f31f95c7e154f012227d36ac5a7e2</t>
    <phoneticPr fontId="11" type="noConversion"/>
  </si>
  <si>
    <t>RN 754332/1-2</t>
    <phoneticPr fontId="11" type="noConversion"/>
  </si>
  <si>
    <t>UB25-00002473 / 1</t>
    <phoneticPr fontId="11" type="noConversion"/>
  </si>
  <si>
    <t>SD11741350</t>
    <phoneticPr fontId="11" type="noConversion"/>
  </si>
  <si>
    <t>C-order for Cloud Platform Setup for SkyCity Website Revamp Project (PO1096471)
*Professional Service for SkyCity Website Extra Technican Support (HKD28,800)
[17-Apr-2025] Order Issued.
[22-Apr-2025] Inform Lok arrange engineer(s) follow up PS Job for Cloud Platform Setup for SkyCity Website Revamp Project. Close CxS order on 22-Apr-2025 [Helen]</t>
    <phoneticPr fontId="11" type="noConversion"/>
  </si>
  <si>
    <t>http://10.10.10.209/OASIS_FILE_MANAGER/zip_files_download.php?qid=1398942&amp;serialno=UB25-00002473&amp;itemno=1&amp;token=d23f31f95c7e154f012227d36ac5a7e2</t>
    <phoneticPr fontId="11" type="noConversion"/>
  </si>
  <si>
    <t>6603 1890</t>
    <phoneticPr fontId="11" type="noConversion"/>
  </si>
  <si>
    <t>lam.yl.tam@pccw.com</t>
    <phoneticPr fontId="11" type="noConversion"/>
  </si>
  <si>
    <t>CL546981</t>
    <phoneticPr fontId="11" type="noConversion"/>
  </si>
  <si>
    <t>RN 232826/1-2</t>
    <phoneticPr fontId="11" type="noConversion"/>
  </si>
  <si>
    <t>BBSMA25-00000272 / 1</t>
    <phoneticPr fontId="11" type="noConversion"/>
  </si>
  <si>
    <t>SD11741426</t>
    <phoneticPr fontId="11" type="noConversion"/>
  </si>
  <si>
    <t>Internal Order [CAM8_The Hong Kong Electric Co.Ltd (manage by ET team)]
[17-Apr-2025] Order Issued
[24-Apr-2025] Confirm from Lam Tam account creation has done. Close CxS order on 24-Apr-2025 [Helen]</t>
    <phoneticPr fontId="11" type="noConversion"/>
  </si>
  <si>
    <t>http://10.10.10.209/OASIS_FILE_MANAGER/zip_files_download.php?qid=1399399&amp;serialno=BBSMA25-00000272&amp;itemno=1&amp;token=0cc88db95574e130f1ff0784c353575e</t>
    <phoneticPr fontId="11" type="noConversion"/>
  </si>
  <si>
    <t>ef5ea9868b2945569a99d346ecf3c783</t>
    <phoneticPr fontId="11" type="noConversion"/>
  </si>
  <si>
    <t>EHP17-ODC-DEV</t>
    <phoneticPr fontId="11" type="noConversion"/>
  </si>
  <si>
    <t>ehp17odcdev@ha.org.hk</t>
    <phoneticPr fontId="11" type="noConversion"/>
  </si>
  <si>
    <t>12/F, Harbourside HQ, 8 Lam Chak Street, Kowloon Bay, Hong Kong</t>
    <phoneticPr fontId="11" type="noConversion"/>
  </si>
  <si>
    <t>Billing Recipient Email Address: ehp17odcdev@ha.org.hk; akw088@ha.org.hk; chiwai.lau@ha.org.hk</t>
    <phoneticPr fontId="11" type="noConversion"/>
  </si>
  <si>
    <t>CL551982</t>
    <phoneticPr fontId="11" type="noConversion"/>
  </si>
  <si>
    <t>RN 452629/3-4</t>
    <phoneticPr fontId="11" type="noConversion"/>
  </si>
  <si>
    <t>SD11742271</t>
    <phoneticPr fontId="11" type="noConversion"/>
  </si>
  <si>
    <t xml:space="preserve">[25-Apr-2025] Receive email request from HA Nelson for Huawei account creation [Case ID #MSPOC-553]
[25-Apr-2025] Receive email reply from Nelson Wong (HA) to join zoom meeting for Huawei Cloud Account Creation on 28-Apr-2025
[28-Apr-2025] Huawei account has created (Huawei ID: ef5ea9868b2945569a99d346ecf3c783) [Helen]
[15-May-2025] Katie notifies Bonnie Yeung to inform order team issue order by email {Helen]
[19-May-2025] Order Issued. Close CxS order on SRD date: 01-May-2025 and notify Martin MK Wong and Multi-Cloud MS team that order has managed service T2 [Helen] </t>
    <phoneticPr fontId="11" type="noConversion"/>
  </si>
  <si>
    <t>Kester Leung</t>
    <phoneticPr fontId="11" type="noConversion"/>
  </si>
  <si>
    <t>6186 8423</t>
    <phoneticPr fontId="11" type="noConversion"/>
  </si>
  <si>
    <t>kester.leung@hkairport.com</t>
    <phoneticPr fontId="11" type="noConversion"/>
  </si>
  <si>
    <t>rg-ztxda-prod-001
rg-ztxda-sit-001
rg-ztxda-uat-001</t>
    <phoneticPr fontId="11" type="noConversion"/>
  </si>
  <si>
    <t>CL541778</t>
    <phoneticPr fontId="11" type="noConversion"/>
  </si>
  <si>
    <t>RN 121175/1-2</t>
    <phoneticPr fontId="11" type="noConversion"/>
  </si>
  <si>
    <t>UB25-00002541\1(OM)</t>
    <phoneticPr fontId="11" type="noConversion"/>
  </si>
  <si>
    <t>SD11742474</t>
    <phoneticPr fontId="11" type="noConversion"/>
  </si>
  <si>
    <t>Cloud Platform Setup for ZTXDA Project (PO1095437) * Professional Service Charge  (HKD134,800)
(Resource Group Name: rg-ztxda-prod-001; rg-ztxda-sit-001; rg-ztxda-uat-001)
[25-Apr-2025] Order Issued. Inform Lok arrange engineer(s) follow up PS Job for Cloud Platform Setup of ZTXDA Project. Close CXS order on 25-Apr-2025 and notify Lok and HKT PRO Cloud MS Team that order has managed service T3 [Helen]</t>
    <phoneticPr fontId="11" type="noConversion"/>
  </si>
  <si>
    <t>http://10.10.10.209/OASIS_FILE_MANAGER/zip_files_download.php?qid=1400173&amp;serialno=UB25-00002541&amp;itemno=1&amp;token=d23f31f95c7e154f012227d36ac5a7e2</t>
    <phoneticPr fontId="11" type="noConversion"/>
  </si>
  <si>
    <t>Kester Leung</t>
  </si>
  <si>
    <t>6186 8423</t>
  </si>
  <si>
    <t>kester.leung@hkairport.com</t>
  </si>
  <si>
    <t>C-order for Cloud Platform Setup for ZTXDA Project</t>
    <phoneticPr fontId="11" type="noConversion"/>
  </si>
  <si>
    <t>CL541778</t>
  </si>
  <si>
    <t>RN 594655/1-2</t>
    <phoneticPr fontId="11" type="noConversion"/>
  </si>
  <si>
    <t>UB25-00002717\1(OM)</t>
    <phoneticPr fontId="11" type="noConversion"/>
  </si>
  <si>
    <t>SD11745393</t>
    <phoneticPr fontId="11" type="noConversion"/>
  </si>
  <si>
    <t>C-order for Cloud Platform Setup for ZTXDA Project (PO1095437) * Professional Service Charge  (HKD134,800)
[25-Apr-2025] Inform Diva (Sales) to issue C-order for the billing charge of PS Job [Helen]
[08-May-2025] Order Issued. Inform Lok arrange engineer(s) follow up PS Job [Helen]
[08-May-2025] Close CxS order on SRD date: 06-May-2025 and notify Lok and HKT Pro Cloud MS team that order has managed service T3 [Helen]</t>
    <phoneticPr fontId="11" type="noConversion"/>
  </si>
  <si>
    <t>http://10.10.10.209/OASIS_FILE_MANAGER/zip_files_download.php?qid=1407208&amp;serialno=UB25-00002717&amp;itemno=1&amp;token=d23f31f95c7e154f012227d36ac5a7e2</t>
    <phoneticPr fontId="11" type="noConversion"/>
  </si>
  <si>
    <t>Kenny Yuen / Jenny Fung</t>
    <phoneticPr fontId="11" type="noConversion"/>
  </si>
  <si>
    <t>2856 8555 / 2856 8599</t>
    <phoneticPr fontId="11" type="noConversion"/>
  </si>
  <si>
    <t>kennyyuen@consumer.org.hk / jennyfung@consumer.org.hk</t>
    <phoneticPr fontId="11" type="noConversion"/>
  </si>
  <si>
    <t>935659056875</t>
  </si>
  <si>
    <t>awsadmin@consumer.org.hk</t>
  </si>
  <si>
    <t>833 King's Road, North Point, Hong Kong</t>
    <phoneticPr fontId="11" type="noConversion"/>
  </si>
  <si>
    <t>CL541014</t>
  </si>
  <si>
    <t>RN 243871/1-2</t>
  </si>
  <si>
    <t>UA25-00001502\1(OM)</t>
  </si>
  <si>
    <t>SD11743009</t>
    <phoneticPr fontId="11" type="noConversion"/>
  </si>
  <si>
    <t>AWS Account Migration (Account ID: 935659056875, login email: awsadmin@consumer.org.hk)
[28-Apr-2025] Order Issued. Inform colleague follow up account migration with ingram by email [Helen]
[29-Apr-2025] Send invitation of account migration to customer [Kelvin]  (SD11743281)
[07-May-2025] Customer accepted the invitation [Kelvin]
[07-May-2025] Close CxS order on 07-May-2025 and notify Lok and HKT Pro cloud MS team that order has managed service T3 [Helen]
[12-May-2025] Cloudcheckr account created then sent welcome letter [Kelvin]
[18-Aug-2025] Receive cloudcheckr reminder. Opt-out account in cloudcheckr alert table (SD11773295)</t>
    <phoneticPr fontId="11" type="noConversion"/>
  </si>
  <si>
    <t>http://10.10.10.209/OASIS_FILE_MANAGER/zip_files_download.php?qid=1402679&amp;serialno=UA25-00001502&amp;itemno=1&amp;token=7c62c99d6dd9a8fec605279ddb15246e</t>
    <phoneticPr fontId="11" type="noConversion"/>
  </si>
  <si>
    <t>kennyyuen@consumer.org.hk / jennyfung@consumer.org.hk</t>
  </si>
  <si>
    <t>640698532275</t>
    <phoneticPr fontId="11" type="noConversion"/>
  </si>
  <si>
    <t>Consumer Council</t>
    <phoneticPr fontId="11" type="noConversion"/>
  </si>
  <si>
    <t>wwwaws@consumer.org.hk</t>
    <phoneticPr fontId="11" type="noConversion"/>
  </si>
  <si>
    <t>CL541943</t>
  </si>
  <si>
    <t>RN 243871/3-4</t>
    <phoneticPr fontId="11" type="noConversion"/>
  </si>
  <si>
    <t>UA25-00001502\1(OM)</t>
    <phoneticPr fontId="11" type="noConversion"/>
  </si>
  <si>
    <t>AWS Account Migration (Account ID: 640698532275, login email: wwwaws@consumer.org.hk)
[28-Apr-2025] Order Issued. Inform colleague follow up account migration with ingram by email [Helen]
[29-Apr-2025] Send invitation of account migration to customer [Kelvin]  (SD11743281)
[07-May-2025] Customer accepted the invitation [Kelvin]
[07-May-2025] Close CxS order on 07-May-2025 and notify Lok and HKT Pro cloud MS team that order has managed service T3 [Helen]
[12-May-25] Cloudcheckr account created then sent welcome letter [Kelvin]
[18-Aug-2025] Receive cloudcheckr reminder. Opt-out account in cloudcheckr alert table (SD11773295)</t>
    <phoneticPr fontId="11" type="noConversion"/>
  </si>
  <si>
    <t>http://10.10.10.209/OASIS_FILE_MANAGER/zip_files_download.php?qid=1402679&amp;serialno=UA25-00001502&amp;itemno=1&amp;token=7c62c99d6dd9a8fec605279ddb15246e</t>
  </si>
  <si>
    <t>Cloud Team</t>
  </si>
  <si>
    <t>hkt-cloudproduct@pccw.com</t>
  </si>
  <si>
    <t>0fdc046df518483287d7ea6fc8bc8d99</t>
    <phoneticPr fontId="11" type="noConversion"/>
  </si>
  <si>
    <t>hkt-cloudproduct@pccw.com</t>
    <phoneticPr fontId="11" type="noConversion"/>
  </si>
  <si>
    <t>CL549951</t>
    <phoneticPr fontId="11" type="noConversion"/>
  </si>
  <si>
    <t>RN 680304/1-2</t>
    <phoneticPr fontId="11" type="noConversion"/>
  </si>
  <si>
    <t>BBSMA25-00000321\1(OM)</t>
    <phoneticPr fontId="11" type="noConversion"/>
  </si>
  <si>
    <t>SD11745353</t>
    <phoneticPr fontId="11" type="noConversion"/>
  </si>
  <si>
    <t>[30-Apr-2025] Receive email request from Bonnie for Huawei account creation [Kelvin] (SD11743566]
[30-Apr-2025] Huawei account has created (Huawei ID: 0fdc046df518483287d7ea6fc8bc8d99) [Kelvin]
[08-May-2025] Order Issued. Send welcome letter to customer. Close CxS order on 08-May-2025 [Helen]</t>
  </si>
  <si>
    <t>Yes</t>
    <phoneticPr fontId="11" type="noConversion"/>
  </si>
  <si>
    <t>http://10.10.10.209/OASIS_FILE_MANAGER/zip_files_download.php?qid=1407039&amp;serialno=BBSMA25-00000321&amp;itemno=1&amp;token=0cc88db95574e130f1ff0784c353575e</t>
    <phoneticPr fontId="11" type="noConversion"/>
  </si>
  <si>
    <t>Ricky Choy</t>
    <phoneticPr fontId="11" type="noConversion"/>
  </si>
  <si>
    <t>2774 8522 / 9369 5999</t>
    <phoneticPr fontId="11" type="noConversion"/>
  </si>
  <si>
    <t>rickychoy@hkma.org.hk</t>
    <phoneticPr fontId="11" type="noConversion"/>
  </si>
  <si>
    <t>14/F, Fairmont House , 8 Cotton Tree Drive, Hong Kong</t>
    <phoneticPr fontId="11" type="noConversion"/>
  </si>
  <si>
    <t>CL546512</t>
    <phoneticPr fontId="11" type="noConversion"/>
  </si>
  <si>
    <t>RN 182836/1-2</t>
    <phoneticPr fontId="11" type="noConversion"/>
  </si>
  <si>
    <t>TI25-00003232\1(OM)</t>
    <phoneticPr fontId="11" type="noConversion"/>
  </si>
  <si>
    <t>SD11744540</t>
    <phoneticPr fontId="11" type="noConversion"/>
  </si>
  <si>
    <t>domain: hkma.org.hk (Tenent ID: 3d44d6b3-5212-4b12-b3ed-83f62ba12194)
Azure Migration *Professional Service Charge (HKD40,000)
[30-Apr-2025] Order Issued.
[06-May-2025] Inform Lok arranges engineer(s) follow up PS Job of Azure Migration [Helen]
[07-May-2025] Receive email from Mon SK Leung (AM) for the additional supporting document, waiting order team to amend OASIS order [Helen]
[16-May-2025] Mon (SAM) confirms to close order. Close CxS order on SRD date: 13-May-2025 [Helen]</t>
    <phoneticPr fontId="11" type="noConversion"/>
  </si>
  <si>
    <t>http://10.10.10.209/OASIS_FILE_MANAGER/zip_files_download.php?qid=1402842&amp;serialno=TI25-00003232&amp;itemno=1&amp;token=72562a8b90be655179037c2190c3172e</t>
    <phoneticPr fontId="11" type="noConversion"/>
  </si>
  <si>
    <t>Luke Luk</t>
  </si>
  <si>
    <t>luke.luk@hkairport.com</t>
  </si>
  <si>
    <t>440716896320 (PROD)
398497927291 (SQCC)</t>
    <phoneticPr fontId="11" type="noConversion"/>
  </si>
  <si>
    <t>Workforce Management System 2.0 (WMS)</t>
  </si>
  <si>
    <t>CL547716</t>
  </si>
  <si>
    <t>RN 608269/1-2</t>
    <phoneticPr fontId="11" type="noConversion"/>
  </si>
  <si>
    <t>UB25-00002543\1(OM)</t>
    <phoneticPr fontId="11" type="noConversion"/>
  </si>
  <si>
    <t>SD11743945</t>
    <phoneticPr fontId="11" type="noConversion"/>
  </si>
  <si>
    <t>Workforce Management System 2.0 (WMS) (PO1096798)
*Professional service (Configuration Charge): HKD142,000.00
AWS ID: 440716896320 (PROD); 398497927291 (SQCC)
[02-May-2025] Order Issued. [Kilson]
[06-May-2025] Inform Lok arranges engineer to follow up PS Job by email [Helen]
[07-May-2025] Close CxS order on SRD date: 30-Apr-2025. [Helen] Notify Lok and HKT Pro Cloud MS team that order has managed service T3 [Kilson]</t>
    <phoneticPr fontId="11" type="noConversion"/>
  </si>
  <si>
    <t>http://10.10.10.209/OASIS_FILE_MANAGER/zip_files_download.php?qid=1404223&amp;serialno=UB25-00002543&amp;itemno=1&amp;token=d23f31f95c7e154f012227d36ac5a7e2</t>
    <phoneticPr fontId="11" type="noConversion"/>
  </si>
  <si>
    <t>C-order for Workforce Management System 2.0 (WMS)</t>
    <phoneticPr fontId="11" type="noConversion"/>
  </si>
  <si>
    <t>RN 083674/1-2</t>
    <phoneticPr fontId="11" type="noConversion"/>
  </si>
  <si>
    <t>UB25-00002819\1(OM)</t>
    <phoneticPr fontId="11" type="noConversion"/>
  </si>
  <si>
    <t>SD11745495</t>
  </si>
  <si>
    <t>C-order for Workforce Management System 2.0 (WMS) *Professional service (Configuration Charge): HKD142,000.00
[07-May-2025] Inform Diva (Sales) to issue C-order for the billing charge of PS Job [Helen]
[08-May-2025] Order Issued. Inform Lok arrange engineer(s0 follow up PS Job [Helen]
[09-May-2025] Close CxS order on 09-May-2025 and notify Lok and HKT Pro Cloud MS team that order has managed service T3 [Helen]</t>
  </si>
  <si>
    <t>http://10.10.10.209/OASIS_FILE_MANAGER/zip_files_download.php?qid=1406906&amp;serialno=UB25-00002819&amp;itemno=1&amp;token=d23f31f95c7e154f012227d36ac5a7e2</t>
    <phoneticPr fontId="11" type="noConversion"/>
  </si>
  <si>
    <t>9843 1568</t>
  </si>
  <si>
    <t>it-cloud-team@pccw.com</t>
  </si>
  <si>
    <t>661cc12483de46598430ac3743441717</t>
  </si>
  <si>
    <t>hid_cymjjwiri6uwt2t</t>
  </si>
  <si>
    <t>CL547919</t>
    <phoneticPr fontId="11" type="noConversion"/>
  </si>
  <si>
    <t>RN 173794/1-2</t>
    <phoneticPr fontId="11" type="noConversion"/>
  </si>
  <si>
    <t>BBSMA25-00000320\1(OM)</t>
    <phoneticPr fontId="11" type="noConversion"/>
  </si>
  <si>
    <t>SD11745341</t>
  </si>
  <si>
    <t>[06-May-2025] Receive email request from Bonnie for Huawei account creation [Kelvin] (SD11744517)
[08-May-2025] Order Issued.
[09-May-2025] Huawei account has created (Huawei ID: 661cc12483de46598430ac3743441717) [Kelvin]
[09-May-2025] Close CxS order on SRD date: 09-May-2025 and send welcome letter to customer [Helen]</t>
  </si>
  <si>
    <t>http://10.10.10.209/OASIS_FILE_MANAGER/zip_files_download.php?qid=1407033&amp;serialno=BBSMA25-00000320&amp;itemno=1&amp;token=0cc88db95574e130f1ff0784c353575e</t>
    <phoneticPr fontId="11" type="noConversion"/>
  </si>
  <si>
    <t>jacky.hui@ddaapp.com</t>
  </si>
  <si>
    <t>024407781088</t>
    <phoneticPr fontId="11" type="noConversion"/>
  </si>
  <si>
    <t>Root Login :  CFD_CI@hanglung.com</t>
    <phoneticPr fontId="11" type="noConversion"/>
  </si>
  <si>
    <t>Workshop  G, 17/F, , Century Industrial Centre, 33-35 Au Pui Wan Street, Shatin</t>
  </si>
  <si>
    <t>CL548769</t>
  </si>
  <si>
    <t>RN 822043/1-2</t>
  </si>
  <si>
    <t>102528</t>
  </si>
  <si>
    <t>UE25-00001815\1(OM)</t>
  </si>
  <si>
    <t>SD11744961</t>
    <phoneticPr fontId="11" type="noConversion"/>
  </si>
  <si>
    <t>Remark: AWS account termination (ID: 024407781088)
[06-May-2025] Order issued [Helen]
[07-May-2025] Inform colleague to follow up AWS account termination on SRD date: 30-May-2025 by email [Helen]
[30-May-2025] Account Termination on SRD date: 30-May-2025 [Kilson]
[30-May-2025] Close CxS order on SRD date: 30-May-2025 [Helen]</t>
    <phoneticPr fontId="11" type="noConversion"/>
  </si>
  <si>
    <t>http://10.10.10.209/OASIS_FILE_MANAGER/zip_files_download.php?qid=1405392&amp;serialno=UE25-00001815&amp;itemno=1&amp;token=c9596cffa732fcf0e7ae73bc814c6f22</t>
  </si>
  <si>
    <t>Wendy Wen</t>
    <phoneticPr fontId="11" type="noConversion"/>
  </si>
  <si>
    <t>5665 4266</t>
  </si>
  <si>
    <t>1.2573@value-exch.com</t>
    <phoneticPr fontId="11" type="noConversion"/>
  </si>
  <si>
    <t>5706847034121351</t>
    <phoneticPr fontId="11" type="noConversion"/>
  </si>
  <si>
    <t>10/F, CTF Life Tower, 18 Sheung Yuet Road, Kowloon Bay, KLN</t>
  </si>
  <si>
    <t>Domain: 5695545978386409.onaliyun.com</t>
  </si>
  <si>
    <t>CL541612</t>
  </si>
  <si>
    <t>RN 336038/1-2</t>
  </si>
  <si>
    <t>UA25-00001596\1(OM)</t>
  </si>
  <si>
    <t>SD11745466</t>
    <phoneticPr fontId="11" type="noConversion"/>
  </si>
  <si>
    <t>Domain: 5695545978386409.onaliyun.com
[08-May-2025] Order Issued. Inform colleague to follow up alibaba account migration with B&amp;Data [Helen]
[08-May-2025] Send Migration request to vender. [Kelvin] (SD11745466)
[12-May-2025] Bonnie notices that customer has registered a new UID and we have set the quota 1000 USD, request toby (sales) to revise information in order form and re-issue order [UID: 5706847034121351; Root account: 1.2573@value-exch.com] [OLD RECORD: ID: 5695545978386409; Login email: 65.Ztaxi.itadmin@value-exch.com] [Helen]
[28-May-2025] Order amendment issued. Send Welcome Letter by Kilson. Close CxS order on 28-May-2025 [Helen]</t>
  </si>
  <si>
    <t xml:space="preserve">http://10.10.10.209/OASIS_FILE_MANAGER/zip_files_download.php?qid=1417931&amp;serialno=UA25-00001596&amp;itemno=1&amp;token=3087ed27a9e98e0ec9c625e014f637aa
  </t>
    <phoneticPr fontId="11" type="noConversion"/>
  </si>
  <si>
    <t>2207 2688 / 92774031</t>
    <phoneticPr fontId="11" type="noConversion"/>
  </si>
  <si>
    <t>SHANGHAI COMMERCIAL BANK LTD</t>
    <phoneticPr fontId="11" type="noConversion"/>
  </si>
  <si>
    <t>28254448425</t>
    <phoneticPr fontId="11" type="noConversion"/>
  </si>
  <si>
    <t>590183835876</t>
    <phoneticPr fontId="11" type="noConversion"/>
  </si>
  <si>
    <t>awsgenaiprod</t>
    <phoneticPr fontId="11" type="noConversion"/>
  </si>
  <si>
    <t>CL541555</t>
    <phoneticPr fontId="11" type="noConversion"/>
  </si>
  <si>
    <t>RN 554833/1-2</t>
    <phoneticPr fontId="11" type="noConversion"/>
  </si>
  <si>
    <t>UB25-00004435\1(OM)</t>
    <phoneticPr fontId="11" type="noConversion"/>
  </si>
  <si>
    <t>SD11763013</t>
    <phoneticPr fontId="11" type="noConversion"/>
  </si>
  <si>
    <t>[12-May-2025] Receive Cloud Checker Reminder Account Created. Send Email to katie to ask the order issue.
[12-May-2025] Katie ask Charlotte to issue the order. [Kilson] (SD11746127)
[11-Jul-2025] Order Issued. Close CxS order on 11-Jul-2025 [Helen]</t>
    <phoneticPr fontId="11" type="noConversion"/>
  </si>
  <si>
    <t>http://10.10.10.209/OASIS_FILE_MANAGER/zip_files_download.php?qid=1439977&amp;serialno=UB25-00004435&amp;itemno=1&amp;token=61ab8cd8d23432b22af0854ed48ab6cf</t>
    <phoneticPr fontId="11" type="noConversion"/>
  </si>
  <si>
    <t>Roy Tsang</t>
    <phoneticPr fontId="11" type="noConversion"/>
  </si>
  <si>
    <t>2183 7924</t>
    <phoneticPr fontId="11" type="noConversion"/>
  </si>
  <si>
    <t>roy.tsang@hkairport.com</t>
    <phoneticPr fontId="11" type="noConversion"/>
  </si>
  <si>
    <t>981376166473 
632330501924</t>
    <phoneticPr fontId="11" type="noConversion"/>
  </si>
  <si>
    <t>aws_aesb_sqcc
aws_aesb_prod</t>
    <phoneticPr fontId="11" type="noConversion"/>
  </si>
  <si>
    <t>UISEE Technologies (Hong Kong) Limited, Shop Nos. 202-203, 2nd Floor, Regal Airport Hotel, 9 Cheong Tat Road, CLK, HK (Attn : Daniel Wang (Email: zhanhong.wang@uisee.com)</t>
    <phoneticPr fontId="11" type="noConversion"/>
  </si>
  <si>
    <t>CL540377</t>
    <phoneticPr fontId="11" type="noConversion"/>
  </si>
  <si>
    <t>RN 661487/1-2</t>
    <phoneticPr fontId="11" type="noConversion"/>
  </si>
  <si>
    <t>UB25-00002919\1(OM)</t>
    <phoneticPr fontId="11" type="noConversion"/>
  </si>
  <si>
    <t>SD11746328</t>
    <phoneticPr fontId="11" type="noConversion"/>
  </si>
  <si>
    <t>HKAA - Landing Zone AWS Cloud Service - AESB (PO NO: YY-20250410-045) *Professional Service Charge (HKD58,300)
AWS IDs: 981376166473 (aws_aesb_sqcc) [Testing Platform]; 632330501924 (aws_aesb_prod) [Production Platform]
[12-May-2025] Order Issued. Inform Lok arrange engineers follow up the PS Job by email [Helen]
[12-May-2025] Close CxS order on SRD date: 12-May-2025. Notify Lok and HKT Pro Cloud MS team that order has managed service T3 by email [Helen]</t>
    <phoneticPr fontId="11" type="noConversion"/>
  </si>
  <si>
    <t>http://10.10.10.209/OASIS_FILE_MANAGER/zip_files_download.php?qid=1408091&amp;serialno=UB25-00002919&amp;itemno=1&amp;token=d23f31f95c7e154f012227d36ac5a7e2</t>
    <phoneticPr fontId="11" type="noConversion"/>
  </si>
  <si>
    <t>C-order for HKAA - Landing Zone AWS Cloud Service - AESB</t>
    <phoneticPr fontId="11" type="noConversion"/>
  </si>
  <si>
    <t>RN 332375/1-2</t>
    <phoneticPr fontId="11" type="noConversion"/>
  </si>
  <si>
    <t>UB25-00002983\1(OM)</t>
    <phoneticPr fontId="11" type="noConversion"/>
  </si>
  <si>
    <t>SD11746351</t>
    <phoneticPr fontId="11" type="noConversion"/>
  </si>
  <si>
    <t>C-order for HKAA - Landing Zone AWS Cloud Service - AESB (PO NO: YY-20250410-045) *Professional Service Charge (HKD58,300)
AWS IDs: 981376166473 (aws_aesb_sqcc) [Testing Platform]; 632330501924 (aws_aesb_prod) [Production Platform]
[12-May-2025] Inform Diva (sales) to issue C-order for the billing charge of PS job [Helen]
[13-May-2025] C-order issued. Inform Lok arrange engineers follow up the PS Job by email [Helen]
[14-May-2025] Close CxS on 14-May-2025. Notify Lok and HKT Pro Cloud MS team that order has managed service T3 [Helen]</t>
    <phoneticPr fontId="11" type="noConversion"/>
  </si>
  <si>
    <t>http://10.10.10.209/OASIS_FILE_MANAGER/zip_files_download.php?qid=1409188&amp;serialno=UB25-00002983&amp;itemno=1&amp;token=acddc3ef143d61133d36ebdde799eab9</t>
    <phoneticPr fontId="11" type="noConversion"/>
  </si>
  <si>
    <t>Thomas Kwan</t>
    <phoneticPr fontId="11" type="noConversion"/>
  </si>
  <si>
    <t>2883 0930 / 6387 3591</t>
    <phoneticPr fontId="11" type="noConversion"/>
  </si>
  <si>
    <t>thomas.yh.kwan@pccw.com</t>
    <phoneticPr fontId="11" type="noConversion"/>
  </si>
  <si>
    <t>71b537f258b84776ab9cb4e6137a5fbc</t>
    <phoneticPr fontId="11" type="noConversion"/>
  </si>
  <si>
    <t>hkt_huawei_redlab</t>
    <phoneticPr fontId="11" type="noConversion"/>
  </si>
  <si>
    <t>26/F, TTW Tower, hong Kong</t>
    <phoneticPr fontId="11" type="noConversion"/>
  </si>
  <si>
    <t>CL541319</t>
    <phoneticPr fontId="11" type="noConversion"/>
  </si>
  <si>
    <t>RN 139286/1-2</t>
    <phoneticPr fontId="11" type="noConversion"/>
  </si>
  <si>
    <t>BBSMA25-00000427\1(OM)</t>
    <phoneticPr fontId="11" type="noConversion"/>
  </si>
  <si>
    <t>SD11760342</t>
    <phoneticPr fontId="11" type="noConversion"/>
  </si>
  <si>
    <t>HKPF Red Lab Project (Internal use) * POC Credits will be applied to offset this account's spending for 3 months (test coupon USD800)
[15-May-2025] Receive email from Thomas Kwan to inform that an order [CAM 8_HKPF (RedLab)] to create a Huawei Cloud Account for internal use will be issued soon [Helen]
[2-Jul-2025] Send Registration link to customer [Kelvin Lai] [SD11760359]
[2-Jul-2025] Account created [Kelvin Lai] [SD11760359]
[2-Jul-2025] Send Welcome Letter to customer. Close CxS order on SRD date: 02-Jul-2025. Waiting for POC credits to be applied. [Helen]
[28-Jul-2025] Receive email confirmation from Thomas to adjust monthly budget to USD800 [Helen]</t>
    <phoneticPr fontId="11" type="noConversion"/>
  </si>
  <si>
    <t>http://10.10.10.209/OASIS_FILE_MANAGER/zip_files_download.php?qid=1435934&amp;serialno=BBSMA25-00000427&amp;itemno=1&amp;token=0cc88db95574e130f1ff0784c353575e</t>
    <phoneticPr fontId="11" type="noConversion"/>
  </si>
  <si>
    <t>Wilson Lo</t>
    <phoneticPr fontId="11" type="noConversion"/>
  </si>
  <si>
    <t>29766637 / 96330027</t>
    <phoneticPr fontId="11" type="noConversion"/>
  </si>
  <si>
    <t>wilsonlo@commercialpress.com.hk</t>
    <phoneticPr fontId="11" type="noConversion"/>
  </si>
  <si>
    <t>5515147635646605</t>
    <phoneticPr fontId="11" type="noConversion"/>
  </si>
  <si>
    <t>cp.it@commercialpress.com.hk</t>
    <phoneticPr fontId="11" type="noConversion"/>
  </si>
  <si>
    <t>Floor 8, Eastern Central Plaza Building, 3 Yiu Hing Road, Shau Kei Wan, Hong Kong</t>
    <phoneticPr fontId="11" type="noConversion"/>
  </si>
  <si>
    <t>CL540400</t>
    <phoneticPr fontId="11" type="noConversion"/>
  </si>
  <si>
    <t>RN 545453/1-2</t>
    <phoneticPr fontId="11" type="noConversion"/>
  </si>
  <si>
    <t>UB25-00003504\1(OM)</t>
    <phoneticPr fontId="11" type="noConversion"/>
  </si>
  <si>
    <t>SD11747428</t>
    <phoneticPr fontId="11" type="noConversion"/>
  </si>
  <si>
    <t>Alibaba new account creation (POC account)
[15-May-2025] Stephen Leung request to pre-provision alibaba account. This is a POC account and coupon will be applied to this account, please set the budget to USD 0 [Kilson]
[15-May-2025] Customer account created and send the invitation to customers.[Kilson]
[03-Jun-2025] Order Issued. Send welcome letter to cistomer [Kilson]
[03-Jun-2025] Close CxS order on 03-Jun-2025 [Helen]</t>
  </si>
  <si>
    <t>http://10.10.10.209/OASIS_FILE_MANAGER/zip_files_download.php?qid=1419545&amp;serialno=UB25-00003504&amp;itemno=1&amp;token=61ab8cd8d23432b22af0854ed48ab6cf</t>
    <phoneticPr fontId="11" type="noConversion"/>
  </si>
  <si>
    <t>Andy Keung</t>
    <phoneticPr fontId="11" type="noConversion"/>
  </si>
  <si>
    <t>2579 1826</t>
    <phoneticPr fontId="11" type="noConversion"/>
  </si>
  <si>
    <t>andy@hkgolfclub.org</t>
    <phoneticPr fontId="11" type="noConversion"/>
  </si>
  <si>
    <t>454243752287</t>
    <phoneticPr fontId="11" type="noConversion"/>
  </si>
  <si>
    <t>Hong Kong Golf Club, Lot No.1 Fan Kam Road, Sheung Shui, N.T.</t>
    <phoneticPr fontId="11" type="noConversion"/>
  </si>
  <si>
    <t>CL551568</t>
    <phoneticPr fontId="11" type="noConversion"/>
  </si>
  <si>
    <t>RN 624714/1-2</t>
    <phoneticPr fontId="11" type="noConversion"/>
  </si>
  <si>
    <t>TI25-00003668\1(OM)</t>
    <phoneticPr fontId="11" type="noConversion"/>
  </si>
  <si>
    <t>SD11747685</t>
    <phoneticPr fontId="11" type="noConversion"/>
  </si>
  <si>
    <t>AWS account migration: Payer ID: 454243752287 *Configuration Charge: HKD81,000 (one-time charge applies to 1 account only, the other 7 accounts are not charged)
[16-May-2025] Order Issued. (Remarks: The CB invitiation please send after futher notice. As customer do not have the access right. Need to help customer grant back the access right from AWS first) [Helen]
[16-May-2025] Inform Lawrence (sales) provide AWS ID and root login email for account migration [Helen]
[20-May-2025] Send reminder email to Lawrence to provide AWS account ID and root login email
[21-May-2025] Stephen Leung (BD Manager) replies that he is still working with customer for the account migration, will further notice us once it is ready. CASE ON HOLD
[06-Jun-2025] Stephen Leung confirms that no need to send invitation to customer coz ingram will process an internal transition using customer's dedicated p ayer ID [Helen]
[09-Jun-2025] Receive stephen's email and confirm the payer ID (HKGC 454243752287) and payee IDs x 7. Waiting for stephen to notice the migration has compeleted, then close order [Helen]
[13-Jun-2025] Stephen Leung confirms that Ingram will process the internal migration on 24-28 June [Helen]
[23-Jun-2025] Receive cloudcheckr email reminder for AWS account created. Opt-Out account x7 (SD11759810)
[27-Jun-2025] Receive email from Stephen Leung to confirm the migration is completed. Confirm with Katie, each account ID need to be billed separately. Call Faraz (ASM) to work with order team for order amendment [Helen]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</si>
  <si>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http://10.10.10.209/OASIS_FILE_MANAGER/zip_files_download.php?qid=1435768&amp;serialno=TI25-00003668&amp;itemno=1&amp;token=35a8d3955406018c0aaa17a463f8488b</t>
    <phoneticPr fontId="11" type="noConversion"/>
  </si>
  <si>
    <t>388257327254</t>
    <phoneticPr fontId="11" type="noConversion"/>
  </si>
  <si>
    <t>CL541315</t>
    <phoneticPr fontId="11" type="noConversion"/>
  </si>
  <si>
    <t>RN 624714/3-4</t>
    <phoneticPr fontId="11" type="noConversion"/>
  </si>
  <si>
    <t>AWS account migration: Payee ID: 388257327254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</si>
  <si>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384567690878</t>
    <phoneticPr fontId="11" type="noConversion"/>
  </si>
  <si>
    <t>Hong Kong Golf Club, Lot No.1 Fan Kam Road, Sheung Shui, N.T.</t>
  </si>
  <si>
    <t>CL541312</t>
    <phoneticPr fontId="11" type="noConversion"/>
  </si>
  <si>
    <t>RN 624714/5-6</t>
    <phoneticPr fontId="11" type="noConversion"/>
  </si>
  <si>
    <t>AWS account migration: Payee ID: 384567690878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</si>
  <si>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815570119388</t>
    <phoneticPr fontId="11" type="noConversion"/>
  </si>
  <si>
    <t>CL541306</t>
    <phoneticPr fontId="11" type="noConversion"/>
  </si>
  <si>
    <t>RN 624714/7-8</t>
    <phoneticPr fontId="11" type="noConversion"/>
  </si>
  <si>
    <t>AWS account migration: Payee ID: 815570119388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</si>
  <si>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818367282301</t>
    <phoneticPr fontId="11" type="noConversion"/>
  </si>
  <si>
    <t>CL541279</t>
    <phoneticPr fontId="11" type="noConversion"/>
  </si>
  <si>
    <t>RN 624714/9-10</t>
    <phoneticPr fontId="11" type="noConversion"/>
  </si>
  <si>
    <t>AWS account migration: Payee ID: 818367282301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</si>
  <si>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008243104872</t>
    <phoneticPr fontId="11" type="noConversion"/>
  </si>
  <si>
    <t>CL541276</t>
    <phoneticPr fontId="11" type="noConversion"/>
  </si>
  <si>
    <t>RN 624714/11-12</t>
    <phoneticPr fontId="11" type="noConversion"/>
  </si>
  <si>
    <t>AWS account migration: Payee ID: 008243104872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</si>
  <si>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846877597321</t>
    <phoneticPr fontId="11" type="noConversion"/>
  </si>
  <si>
    <t>CL541268</t>
    <phoneticPr fontId="11" type="noConversion"/>
  </si>
  <si>
    <t>RN 624714/13-14</t>
    <phoneticPr fontId="11" type="noConversion"/>
  </si>
  <si>
    <t>AWS account migration: Payee ID: 846877597321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</si>
  <si>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476316891196</t>
    <phoneticPr fontId="11" type="noConversion"/>
  </si>
  <si>
    <t>CL541263</t>
    <phoneticPr fontId="11" type="noConversion"/>
  </si>
  <si>
    <t>RN 624714/15-16</t>
    <phoneticPr fontId="11" type="noConversion"/>
  </si>
  <si>
    <t>AWS account migration: Payee ID: 476316891196
[30-Jun-2025] Re-issue order amendment with CL no. x8 (Payer ID: 454243752287 and Payee ID(s): 388257327254, 384567690878, 815570119388, 818367282301, 008243104872, 846877597321, 476316891196)
[02-Jul-2025] Close CxS order on SRD date: 21-May-2025 and notify Lok and HKT Pro Cloud MS team that order has managed service T3 [Helen]</t>
    <phoneticPr fontId="11" type="noConversion"/>
  </si>
  <si>
    <t>Jeff Ho</t>
    <phoneticPr fontId="11" type="noConversion"/>
  </si>
  <si>
    <t>2188 1450</t>
    <phoneticPr fontId="11" type="noConversion"/>
  </si>
  <si>
    <t>lamho@hkairport.com</t>
    <phoneticPr fontId="11" type="noConversion"/>
  </si>
  <si>
    <t>rg-cashcoupon-prod-001
rg-cashcoupon-sit-001
rg-cashcoupon-uat-001</t>
    <phoneticPr fontId="11" type="noConversion"/>
  </si>
  <si>
    <t>CL552143</t>
    <phoneticPr fontId="11" type="noConversion"/>
  </si>
  <si>
    <t>RN 6008031/2</t>
    <phoneticPr fontId="11" type="noConversion"/>
  </si>
  <si>
    <t>UB25-00003144\1(OM)</t>
    <phoneticPr fontId="11" type="noConversion"/>
  </si>
  <si>
    <t>SD11748449</t>
    <phoneticPr fontId="11" type="noConversion"/>
  </si>
  <si>
    <t>Cloud Platform Setup for Cash Coupon (PO1094842)
*Professional Service for AA Azure Landing Zone of Cash Coupon: HKD59,400
(Resource Group Name: rg-cashcoupon-prod-001; rg-cashcoupon-sit-001; rg-cashcoupon-uat-001)
[19-May-2025] Order Issued. 
[20-May-2025] Inform Lok arrange engineer(s) follow up the PS Job and provide RG name for our record. Close CxS order on 20-May-2025 and notify Lok and Multi-Cloud MS team that order has managed service T3 [Helen]</t>
    <phoneticPr fontId="11" type="noConversion"/>
  </si>
  <si>
    <t>http://10.10.10.209/OASIS_FILE_MANAGER/zip_files_download.php?qid=1412427&amp;serialno=UB25-00003144&amp;itemno=1&amp;token=d23f31f95c7e154f012227d36ac5a7e2</t>
    <phoneticPr fontId="11" type="noConversion"/>
  </si>
  <si>
    <t>C-order for Cloud Platform Setup for Cash Coupon</t>
    <phoneticPr fontId="11" type="noConversion"/>
  </si>
  <si>
    <t>RN 353015/1-2</t>
    <phoneticPr fontId="11" type="noConversion"/>
  </si>
  <si>
    <t>UB25-00003285\1(OM)</t>
    <phoneticPr fontId="11" type="noConversion"/>
  </si>
  <si>
    <t>SD11748531</t>
    <phoneticPr fontId="11" type="noConversion"/>
  </si>
  <si>
    <t>C-order for Cloud Platform Setup for Cash Coupon (PO1094842)
*Professional Service for AA Azure Landing Zone of Cash Coupon: HKD59,400
[20-May-2025] Inform Diva issues C-order for the billing charge of PS Job [Helen]
[22-May-2025] Receive Diva's email to inform GiGi issue C-order
[26-May-2025] Order Issued. Since there is a discrepancy between the Quotation and the CxS order, ask Diva (sales) the one-time charge should be HKD54,900 or HKD59,400
[27-May-2025] Order amended. Inform Lok arrange engineer(s) follow up the PS Job and provide RG name for our record. Close CxS order on 27-May-2025 [Helen]
[27-May-2025] Notify Lok and  HKT Pro Cloud MS team that order has managed service T3 [Helen]</t>
    <phoneticPr fontId="11" type="noConversion"/>
  </si>
  <si>
    <t>http://10.10.10.209/OASIS_FILE_MANAGER/zip_files_download.php?qid=1416952&amp;serialno=UB25-00003285&amp;itemno=1&amp;token=d23f31f95c7e154f012227d36ac5a7e2</t>
    <phoneticPr fontId="11" type="noConversion"/>
  </si>
  <si>
    <t>2690 7354</t>
  </si>
  <si>
    <t>5161247802415968</t>
    <phoneticPr fontId="11" type="noConversion"/>
  </si>
  <si>
    <t>alicloud_ems_prd@chowtaifook.com</t>
    <phoneticPr fontId="11" type="noConversion"/>
  </si>
  <si>
    <t>Room 715, 7/Fl, The Octagon, 6 Sha Tsui Road, Tsuen Wan, NT</t>
  </si>
  <si>
    <t>CL541255</t>
    <phoneticPr fontId="11" type="noConversion"/>
  </si>
  <si>
    <t>RN 035485/1-2</t>
    <phoneticPr fontId="11" type="noConversion"/>
  </si>
  <si>
    <t>UD25-00002976\1(OM)</t>
    <phoneticPr fontId="11" type="noConversion"/>
  </si>
  <si>
    <t>SD11759534</t>
  </si>
  <si>
    <t>Account ID: 5161247802415968 [root login name: alicloud_ems_prd@chowtaifook.com]
Configuration Charge: HKD28,000
[20-May-2025] Receive email request from Bonnie for Ai account creation [Kelvin]
[20-May-2025] Accounts created then sent invitation to customers [Kelvin] (SD11748843)
[27-Jun-2025] Back Date Order Issued. Send email to Lok to confirm whether PS Job has been completed [Helen]
[30-Jun-2025] Send Welcome Letter to customer and close CxS order on SRD date: 01-May-2025 [Helen]
[30-Jun-2025] Receive order amendment to remark by Tammy Wu (sales) that PS Job charge (HKD28,000) for one order only, other one without charge. Confirm with Lok that PS Job has completed [Helen]</t>
  </si>
  <si>
    <t>http://10.10.10.209/OASIS_FILE_MANAGER/zip_files_download.php?qid=1434834&amp;serialno=UD25-00002976&amp;itemno=1&amp;token=d2fcc63539ab421111515b95e3d48e8c</t>
    <phoneticPr fontId="11" type="noConversion"/>
  </si>
  <si>
    <t>5262347792826614</t>
    <phoneticPr fontId="11" type="noConversion"/>
  </si>
  <si>
    <t>alicloud_ems_uat@chowtaifook.com</t>
    <phoneticPr fontId="11" type="noConversion"/>
  </si>
  <si>
    <t>CL541257</t>
    <phoneticPr fontId="11" type="noConversion"/>
  </si>
  <si>
    <t>RN 035485/3-4</t>
    <phoneticPr fontId="11" type="noConversion"/>
  </si>
  <si>
    <t>Account ID: 5262347792826614 [root login name: alicloud_ems_uat@chowtaifook.com]
Configuration Charge: HKD28,000
[20-May-2025] Receive email request from Bonnie for Ai account creation [Kelvin]
[20-May-2025] Accounts created then sent invitation to customers [Kelvin] (SD11748843)
[27-Jun-2025] Back Date Order Issued. Send email to Lok to confirm whether PS Job has been completed [Helen]
[30-Jun-2025] Send Welcome Letter to customer and close CxS order on SRD date: 01-May-2025 [Helen]
[30-Jun-2025] Send Welcome Letter to customer and close CxS order on SRD date: 01-May-2025 [Helen]
[30-Jun-2025] Receive order amendment to remark by Tammy Wu (sales) that PS Job charge (HKD28,000) for one order only, other one without charge. Confirm with Lok that PS Job has completed [Helen]</t>
  </si>
  <si>
    <t>Poon Hoi Nam</t>
  </si>
  <si>
    <t>2688 4981</t>
  </si>
  <si>
    <t>poonhoinam@bochk.com</t>
  </si>
  <si>
    <t>5261247980748470</t>
  </si>
  <si>
    <t>F14, BANK OF CHINA TOWER,1 GARDEN ROAD,CENTRAL,HK</t>
  </si>
  <si>
    <t>CL540174</t>
  </si>
  <si>
    <t>RN 725316/1-2</t>
  </si>
  <si>
    <t>UB25-00003315\1(OM)</t>
  </si>
  <si>
    <t>SD11749803</t>
  </si>
  <si>
    <t>Alibaba Cloud POC Account
[22-May-2025] Receive email request from Bonnie for Ai account creation [Kelvin] (SD11749514)
[22-May-2025] Accounts created then sent invitation to customers [Kelvin]
[23-May-2025] Order Issued. Send Welcome Letter to customer [Kilson]
[23-May-2025] Close CxS order on 23-May-2025 [Helen]</t>
  </si>
  <si>
    <t>http://10.10.10.209/OASIS_FILE_MANAGER/zip_files_download.php?qid=1415656&amp;serialno=UB25-00003315&amp;itemno=1&amp;token=acddc3ef143d61133d36ebdde799eab9</t>
    <phoneticPr fontId="11" type="noConversion"/>
  </si>
  <si>
    <t>HKT BU Project</t>
  </si>
  <si>
    <t>130409270580</t>
  </si>
  <si>
    <t>FORM Rate - Trial</t>
  </si>
  <si>
    <t>[26-May-2025] Receive Cloudcheckr alert for AWS IDs: 130409270580 (FORM Rate - Trial). Inform Katie helps to call sales to issue order [SD11750163]</t>
  </si>
  <si>
    <t>IT Admin / Tong</t>
    <phoneticPr fontId="11" type="noConversion"/>
  </si>
  <si>
    <t>2830 5714 / 6170 3275</t>
    <phoneticPr fontId="11" type="noConversion"/>
  </si>
  <si>
    <t>infraadmin@Hysan.com.hk</t>
    <phoneticPr fontId="11" type="noConversion"/>
  </si>
  <si>
    <t>Hysan IT services Company Limited</t>
    <phoneticPr fontId="11" type="noConversion"/>
  </si>
  <si>
    <t>746669236935</t>
    <phoneticPr fontId="11" type="noConversion"/>
  </si>
  <si>
    <t>infraadmin@hysan.com.hk</t>
    <phoneticPr fontId="11" type="noConversion"/>
  </si>
  <si>
    <t>Floor 50, Lee Garden One, 33 Hysan Avenue, Causeway Bay</t>
    <phoneticPr fontId="11" type="noConversion"/>
  </si>
  <si>
    <t>CL540193</t>
    <phoneticPr fontId="11" type="noConversion"/>
  </si>
  <si>
    <t>RN120767/1-2</t>
    <phoneticPr fontId="11" type="noConversion"/>
  </si>
  <si>
    <t>UD25-00002297\1(OM)</t>
    <phoneticPr fontId="11" type="noConversion"/>
  </si>
  <si>
    <t>SD11750616</t>
    <phoneticPr fontId="11" type="noConversion"/>
  </si>
  <si>
    <t>AWS Account already under HKT (*Professional Service: HKD22,000)
[27-May-2025] Order Issued. Inform Lok follow up the PS Job by email [Helen]
[27-May-2025] Close CxS order on 27-May-2025 [Helen]</t>
    <phoneticPr fontId="11" type="noConversion"/>
  </si>
  <si>
    <t>http://10.10.10.209/OASIS_FILE_MANAGER/zip_files_download.php?qid=1416447&amp;serialno=UD25-00002297&amp;itemno=1&amp;token=60dd0b3f39f9d7bc59c4edb98c5a7721</t>
    <phoneticPr fontId="11" type="noConversion"/>
  </si>
  <si>
    <t>aws_aesb_sqcc</t>
    <phoneticPr fontId="11" type="noConversion"/>
  </si>
  <si>
    <t>[2-Jun-2025] Receive cloudchker reminder two account created, Inform Katie help to call sales to issue the orders (SD11752042) [Kilson]</t>
    <phoneticPr fontId="11" type="noConversion"/>
  </si>
  <si>
    <t>632330501924</t>
    <phoneticPr fontId="11" type="noConversion"/>
  </si>
  <si>
    <t>aws_aesb_prod</t>
  </si>
  <si>
    <t>[2-Jun-2025] Receive cloudchker reminder two account created, Inform Katie help to call sales to issue the orders (SD11752042) [Kilson]</t>
  </si>
  <si>
    <t>Rm2418, China Merchants Tower, Shun Tak Centre, 168-200 Connaught Road, Sheung Wan, Hong Kong</t>
    <phoneticPr fontId="11" type="noConversion"/>
  </si>
  <si>
    <t>Azure Subscription ID: 807a0e4b-1c78-4f9b-aeea-1a8f5765f128</t>
    <phoneticPr fontId="11" type="noConversion"/>
  </si>
  <si>
    <t>CL540388</t>
    <phoneticPr fontId="11" type="noConversion"/>
  </si>
  <si>
    <t>RN 506102/1-2</t>
    <phoneticPr fontId="11" type="noConversion"/>
  </si>
  <si>
    <t>TI25-00004164\1(OM)</t>
    <phoneticPr fontId="11" type="noConversion"/>
  </si>
  <si>
    <t>SD11756597</t>
    <phoneticPr fontId="11" type="noConversion"/>
  </si>
  <si>
    <t>Azure Production Environment (Azure Estimation/monthHKD3,326.59) *Professional Services HKD36,000
[02-Jun-2025] Order Issued. Inform Lok arranges engineer(s) follow up the PS Job and follow up with customer to use an existing azure subscription or create new azure subscription to execute order by email [Helen]
[06-Jun-2025] Receive "Azure Subscription ID: 807a0e4b-1c78-4f9b-aeea-1a8f5765f128" provide from Lok. Close CxS order on SRD date: 06-Jun-2025 [Helen]</t>
    <phoneticPr fontId="11" type="noConversion"/>
  </si>
  <si>
    <t>http://10.10.10.209/OASIS_FILE_MANAGER/zip_files_download.php?qid=1428326&amp;serialno=TI25-00004164&amp;itemno=1&amp;token=a327c543c1f68300421f4d77f1df956f</t>
    <phoneticPr fontId="11" type="noConversion"/>
  </si>
  <si>
    <t>22072688 / 92774031</t>
    <phoneticPr fontId="11" type="noConversion"/>
  </si>
  <si>
    <t>028254448425</t>
    <phoneticPr fontId="11" type="noConversion"/>
  </si>
  <si>
    <t>93531938576</t>
    <phoneticPr fontId="11" type="noConversion"/>
  </si>
  <si>
    <t>shacom-aic-dev</t>
    <phoneticPr fontId="11" type="noConversion"/>
  </si>
  <si>
    <t>aws.billing@shacombank.com.hk</t>
  </si>
  <si>
    <t>25/F, Block 2, Kowloon Commerce Centre, 51 Kwai Cheong Road, Kwai Chung, N.T.</t>
    <phoneticPr fontId="11" type="noConversion"/>
  </si>
  <si>
    <t>CL540574</t>
    <phoneticPr fontId="11" type="noConversion"/>
  </si>
  <si>
    <t>RN 731398/1-2</t>
    <phoneticPr fontId="11" type="noConversion"/>
  </si>
  <si>
    <t>UB25-00003701\1(OM)]</t>
  </si>
  <si>
    <t>SD11754659</t>
    <phoneticPr fontId="11" type="noConversion"/>
  </si>
  <si>
    <t>With exiating AWS account ID: 093531938576 (shacom-aic-dev) [root login email: aws.billing@shacombank.com.hk]
[09-Jun-2025] Receive cloudchker alert for AWS account created, inform Katie help to call sales to issue the orders and  Op-out the Account (SD11754033) [Helen]
[10-Jun-2025] Order Issued. Close CxS order on 11-Jun-2025 [Helen]</t>
    <phoneticPr fontId="11" type="noConversion"/>
  </si>
  <si>
    <t>http://10.10.10.209/OASIS_FILE_MANAGER/zip_files_download.php?qid=1424037&amp;serialno=UB25-00003701&amp;itemno=1&amp;token=61ab8cd8d23432b22af0854ed48ab6cf</t>
    <phoneticPr fontId="11" type="noConversion"/>
  </si>
  <si>
    <t>398497927291</t>
    <phoneticPr fontId="11" type="noConversion"/>
  </si>
  <si>
    <t>aws_zwis_sqcc</t>
    <phoneticPr fontId="11" type="noConversion"/>
  </si>
  <si>
    <t>[09-Jun-2025] Receive cloudchker alert for AWS account created, inform Katie help to call sales to issue the orders. Op-out the Account (SD11754041) [Helen]</t>
    <phoneticPr fontId="11" type="noConversion"/>
  </si>
  <si>
    <t>440716896320</t>
    <phoneticPr fontId="11" type="noConversion"/>
  </si>
  <si>
    <t>aws_zwis_prod</t>
    <phoneticPr fontId="11" type="noConversion"/>
  </si>
  <si>
    <t>459133916673</t>
    <phoneticPr fontId="11" type="noConversion"/>
  </si>
  <si>
    <t>aws_zhkiat2_sqcc</t>
    <phoneticPr fontId="11" type="noConversion"/>
  </si>
  <si>
    <t>[16-Jun-2025] Receive cloudchker alert for AWS account created, inform Katie help to call sales to issue the orders. Op-out the Account (SD11755997) [Helen]</t>
    <phoneticPr fontId="11" type="noConversion"/>
  </si>
  <si>
    <t>419057094205</t>
    <phoneticPr fontId="11" type="noConversion"/>
  </si>
  <si>
    <t>aws_zhkiat2_prod</t>
    <phoneticPr fontId="11" type="noConversion"/>
  </si>
  <si>
    <t>Paul Kwan</t>
    <phoneticPr fontId="11" type="noConversion"/>
  </si>
  <si>
    <t>2183 3017</t>
    <phoneticPr fontId="11" type="noConversion"/>
  </si>
  <si>
    <t>paul.kwan@hkairport.com</t>
    <phoneticPr fontId="11" type="noConversion"/>
  </si>
  <si>
    <t>rg-cishardening-sqcc-001</t>
  </si>
  <si>
    <t>RN 958863/1-2</t>
    <phoneticPr fontId="11" type="noConversion"/>
  </si>
  <si>
    <t>UB25-00003892\1(OM)</t>
    <phoneticPr fontId="11" type="noConversion"/>
  </si>
  <si>
    <t>SD11756989</t>
    <phoneticPr fontId="11" type="noConversion"/>
  </si>
  <si>
    <t>HKAA - Azure CIS Image Hardening Project (Configuration Charge: HKD24,500) [RG name: rg-cishardening-sqcc-001]
[18-Jun-2025] Order Issued.[Helen]
[19-Jun-2025] Inform Lok arranges engineers (s) follow up the PS Job for HKAA - Azure CIS Image Hardening Project and provide RG name for our record. Close CxS order on 19-Jun-2025 [Helen]</t>
  </si>
  <si>
    <t>http://10.10.10.209/OASIS_FILE_MANAGER/zip_files_download.php?qid=1429070&amp;serialno=UB25-00003892&amp;itemno=1&amp;token=d23f31f95c7e154f012227d36ac5a7e2</t>
    <phoneticPr fontId="11" type="noConversion"/>
  </si>
  <si>
    <t>Kenny Hui</t>
    <phoneticPr fontId="11" type="noConversion"/>
  </si>
  <si>
    <t>2183 5696</t>
    <phoneticPr fontId="11" type="noConversion"/>
  </si>
  <si>
    <t>kenny.fm.hui@hkairport.com</t>
    <phoneticPr fontId="11" type="noConversion"/>
  </si>
  <si>
    <t>095329250353</t>
    <phoneticPr fontId="11" type="noConversion"/>
  </si>
  <si>
    <t>aws_sprs_prod</t>
    <phoneticPr fontId="11" type="noConversion"/>
  </si>
  <si>
    <t xml:space="preserve">Billing Attn: UISEE Technologies (Hong Kong) Limited, Shop Nos. 202-203, 2nd Floor, Regal Airport Hotel, 9 Cheong Tat Road, Chek Lap Kok, Hong Kong (Attn: Daniel Wang, M: 67376914  and Email: zhanhong.wang@uisee.com)
</t>
    <phoneticPr fontId="11" type="noConversion"/>
  </si>
  <si>
    <t>CL541077</t>
    <phoneticPr fontId="11" type="noConversion"/>
  </si>
  <si>
    <t>RN 160799/1-2</t>
    <phoneticPr fontId="11" type="noConversion"/>
  </si>
  <si>
    <t>UB25-00003891\1(OM)</t>
    <phoneticPr fontId="11" type="noConversion"/>
  </si>
  <si>
    <t>SD11757003</t>
    <phoneticPr fontId="11" type="noConversion"/>
  </si>
  <si>
    <t>Cloud Platform Setup for Security Patrol Robot System
*Professional Service for Cloud Platform Setup for Static Web on AWS: HKD23,000
AWS ID: 095329250353 (aws_sprs_prod)
[18-Jun-2025] Order Issued. [Helen]
[19-Jun-2025] Inform Lok arranges engineer(s) follow up the PS job for the HKAA - Cloud Platform Setup for Security Patrol Robot System on AWS [Helen]
[19-Jun-2025] Close CxS order on 19-Jun-2025 and notify Lok and HKT Pro Cloud MS team that order has managed service T3 [Helen]
[07-Jul-2025] Receive cloudcheckr alert for AWS account created.  Op-out the Account (SD11761585) [Helen]
[10-Jul-2025] Inform Katie to split into 2 separate CL no.</t>
    <phoneticPr fontId="11" type="noConversion"/>
  </si>
  <si>
    <t>http://10.10.10.209/OASIS_FILE_MANAGER/zip_files_download.php?qid=1428536&amp;serialno=UB25-00003891&amp;itemno=1&amp;token=d23f31f95c7e154f012227d36ac5a7e2</t>
    <phoneticPr fontId="11" type="noConversion"/>
  </si>
  <si>
    <t>023952094105</t>
    <phoneticPr fontId="11" type="noConversion"/>
  </si>
  <si>
    <t>aws_sprs_sqcc</t>
    <phoneticPr fontId="11" type="noConversion"/>
  </si>
  <si>
    <t>Billing Attn: UISEE Technologies (Hong Kong) Limited, Shop Nos. 202-203, 2nd Floor, Regal Airport Hotel, 9 Cheong Tat Road, Chek Lap Kok, Hong Kong (Attn: Daniel Wang, M: 67376914  and Email: zhanhong.wang@uisee.com)</t>
    <phoneticPr fontId="11" type="noConversion"/>
  </si>
  <si>
    <t>CL541727</t>
    <phoneticPr fontId="11" type="noConversion"/>
  </si>
  <si>
    <t>RN 978746/1-2</t>
    <phoneticPr fontId="11" type="noConversion"/>
  </si>
  <si>
    <t>UB25-00004500\1(OM)</t>
    <phoneticPr fontId="11" type="noConversion"/>
  </si>
  <si>
    <t xml:space="preserve">Cloud Platform Setup for Security Patrol Robot System on AWS
AWS ID: 023952094105 (aws_sprs_sqcc)
[07-Jul-2025] Receive cloudcheckr alert for AWS account created.  Op-out the Account (SD11761585) [Helen]
[10-Jul-2025] Inform Katie to split into 2 separate CL no.
[15-Jul-2025] Order Issued. Close CxS order on 16-Jul-2025. Inform Katie for order mapping by email [Helen] </t>
    <phoneticPr fontId="11" type="noConversion"/>
  </si>
  <si>
    <t>http://10.10.10.209/OASIS_FILE_MANAGER/zip_files_download.php?qid=1441549&amp;serialno=UB25-00004500&amp;itemno=1&amp;token=d23f31f95c7e154f012227d36ac5a7e2</t>
    <phoneticPr fontId="11" type="noConversion"/>
  </si>
  <si>
    <t>C-order of Cloud Platform Setup for Security Patrol Robot System on AWS</t>
    <phoneticPr fontId="11" type="noConversion"/>
  </si>
  <si>
    <t>RN 267659/1-2</t>
    <phoneticPr fontId="11" type="noConversion"/>
  </si>
  <si>
    <t>UB25-00004016\1(OM)</t>
    <phoneticPr fontId="11" type="noConversion"/>
  </si>
  <si>
    <t>SD11757288</t>
    <phoneticPr fontId="11" type="noConversion"/>
  </si>
  <si>
    <t>C-order Cloud Platform Setup for Security Patrol Robot System on AWS
*Professional Service for Cloud Platform Setup for Static Web on AWS: HKD23,000
AWS ID: 095329250353 (aws_sprs_prod)
[19-Jun-2025] Inform Diva issues C-order of Cloud Platform Setup for Security Patrol Robot System on AWS for the billing charge of PS job [Helen]
[21-Aug-2025] Order Issued. Inform Lok arranges engineer follow up the PS Job. Close CxS order on SRD date: 27-Jun-2025 and notify Lok and HKT Pro Cloud MS team that order has managed service T3 [Helen]</t>
    <phoneticPr fontId="11" type="noConversion"/>
  </si>
  <si>
    <t>http://10.10.10.209/OASIS_FILE_MANAGER/zip_files_download.php?qid=1461964&amp;serialno=UB25-00004016&amp;itemno=1&amp;token=d23f31f95c7e154f012227d36ac5a7e2</t>
    <phoneticPr fontId="11" type="noConversion"/>
  </si>
  <si>
    <t>e9b4397482514f408c2a2bb0638f68f6</t>
    <phoneticPr fontId="11" type="noConversion"/>
  </si>
  <si>
    <t>ISO2-ODC-PRD</t>
    <phoneticPr fontId="11" type="noConversion"/>
  </si>
  <si>
    <t>soc@ha.org.hk</t>
    <phoneticPr fontId="11" type="noConversion"/>
  </si>
  <si>
    <t>8/F, Harbourside HQ, 8 Lam Chak Street, Kowloon Bay, KLN</t>
    <phoneticPr fontId="11" type="noConversion"/>
  </si>
  <si>
    <t>CL541936</t>
  </si>
  <si>
    <t>RN599746/1-2</t>
  </si>
  <si>
    <t>UB25-00004662 / 1</t>
    <phoneticPr fontId="11" type="noConversion"/>
  </si>
  <si>
    <t>SD11757068</t>
    <phoneticPr fontId="11" type="noConversion"/>
  </si>
  <si>
    <t>Huawei account ID: e9b4397482514f408c2a2bb0638f68f6 [Case ID #MSPOC-666]
[19-Jun-2025] Receive email request from Nelson Wong (HA) for Huawei account creation [Helen]
[19-Jun-2025] Huawei account created [Helen]
[21-Jul-2025] Order Received. CxS Order Not complete due to can't open CxS [Kilson]
[22-Jul-2025] Close CxS order on SRD date: 01-Jun-2025. Notify Martin Wong and Multi-Cloud MS team that order has managed service T2 by email. [Helen]</t>
    <phoneticPr fontId="11" type="noConversion"/>
  </si>
  <si>
    <t>http://10.10.10.209/OASIS_FILE_MANAGER/zip_files_download.php?qid=1444348&amp;serialno=UB25-00004662&amp;itemno=1&amp;token=a964a32236e9d92cb29b0b25f27a5288</t>
    <phoneticPr fontId="11" type="noConversion"/>
  </si>
  <si>
    <t>2188 6772</t>
    <phoneticPr fontId="11" type="noConversion"/>
  </si>
  <si>
    <t>419057094205 (PROD)
459133916673 (SQCC)</t>
    <phoneticPr fontId="11" type="noConversion"/>
  </si>
  <si>
    <t>Cloud Platform Setup for Static Web on AWS</t>
    <phoneticPr fontId="11" type="noConversion"/>
  </si>
  <si>
    <t>CL541128</t>
    <phoneticPr fontId="11" type="noConversion"/>
  </si>
  <si>
    <t>RN 080900/1-2</t>
    <phoneticPr fontId="11" type="noConversion"/>
  </si>
  <si>
    <t>UB25-00004023\1(OM)</t>
    <phoneticPr fontId="11" type="noConversion"/>
  </si>
  <si>
    <t>SD11758331</t>
    <phoneticPr fontId="11" type="noConversion"/>
  </si>
  <si>
    <t>Cloud Platform Setup for Static Web on AWS (HKD20,900) (PO1099177)
AWS ID: 419057094205 (PROD); 459133916673 (SQCC)
[23-Jun-2025] Order Issued [Helen]
[24-Jun-2025] Inform Lok arrange engineers follow up the PS Job. Close CxS order on 24-Jun-2025 and notify Lok and HKT Pro Cloud MS team that order has managed service T3 [Helen]</t>
    <phoneticPr fontId="11" type="noConversion"/>
  </si>
  <si>
    <t>http://10.10.10.209/OASIS_FILE_MANAGER/zip_files_download.php?qid=1431553&amp;serialno=UB25-00004023&amp;itemno=1&amp;token=d23f31f95c7e154f012227d36ac5a7e2</t>
    <phoneticPr fontId="11" type="noConversion"/>
  </si>
  <si>
    <t>2188 6772</t>
  </si>
  <si>
    <t>C-order for Cloud Platform Setup for Static Web Professional Service</t>
  </si>
  <si>
    <t>CL541128</t>
  </si>
  <si>
    <t>RN 567632/1-2</t>
    <phoneticPr fontId="11" type="noConversion"/>
  </si>
  <si>
    <t>UB25-00004324\1(OM)</t>
    <phoneticPr fontId="11" type="noConversion"/>
  </si>
  <si>
    <t>SD11758339</t>
    <phoneticPr fontId="11" type="noConversion"/>
  </si>
  <si>
    <t>C-order for Cloud Platform Setup for Static Web Professional Service (HKD20,900) (PO1099177)
[24-Jun-2025] Inform Diva issues C-order for the billing charge of PS Job [Helen]
[04-Jul-2025] Order Issued. Inform Lok arranges enginners follow up the PS Job and notify Lok and HKT Pro Cloud MS Team that order has managed service T3. Close CxS order on 04-Jul-2025 [Helen]</t>
    <phoneticPr fontId="11" type="noConversion"/>
  </si>
  <si>
    <t>http://10.10.10.209/OASIS_FILE_MANAGER/zip_files_download.php?qid=1437579&amp;serialno=UB25-00004324&amp;itemno=1&amp;token=d23f31f95c7e154f012227d36ac5a7e2</t>
    <phoneticPr fontId="11" type="noConversion"/>
  </si>
  <si>
    <t>Vanie Wong, SM(EHP)7</t>
    <phoneticPr fontId="11" type="noConversion"/>
  </si>
  <si>
    <t>wongyc3@ha.org.hk</t>
    <phoneticPr fontId="11" type="noConversion"/>
  </si>
  <si>
    <t>CL541216</t>
    <phoneticPr fontId="11" type="noConversion"/>
  </si>
  <si>
    <t>RN 161208/5-6</t>
    <phoneticPr fontId="11" type="noConversion"/>
  </si>
  <si>
    <t>aw fv</t>
    <phoneticPr fontId="11" type="noConversion"/>
  </si>
  <si>
    <t>UB25-00004119\1(OM)</t>
    <phoneticPr fontId="11" type="noConversion"/>
  </si>
  <si>
    <t>SD11759431</t>
    <phoneticPr fontId="11" type="noConversion"/>
  </si>
  <si>
    <t>Back Date order on 28-Feb-2025
Configuration Charge: HKD81,000
[27-Jun-2025] Order Issued
[02-Jul-2025] Confirm with katie, all PS Jobs associated with this order has been completed. Close CxS order on SRD date: 28-Feb-2025 [Helen]</t>
    <phoneticPr fontId="11" type="noConversion"/>
  </si>
  <si>
    <t>http://10.10.10.209/OASIS_FILE_MANAGER/zip_files_download.php?qid=1433850&amp;serialno=UB25-00004119&amp;itemno=1&amp;token=a964a32236e9d92cb29b0b25f27a5288</t>
    <phoneticPr fontId="11" type="noConversion"/>
  </si>
  <si>
    <t>CL541218</t>
    <phoneticPr fontId="11" type="noConversion"/>
  </si>
  <si>
    <t>RN 161208/7-8</t>
    <phoneticPr fontId="11" type="noConversion"/>
  </si>
  <si>
    <t>Back Date order on 28-Feb-2025
Configuration Charge: HKD162,000
[27-Jun-2025] Order Issued. 
[02-Jul-2025] Confirm with katie, all PS Jobs associated with this order has been completed. Close CxS order on SRD date: 28-Feb-2025 [Helen]</t>
    <phoneticPr fontId="11" type="noConversion"/>
  </si>
  <si>
    <t>Cyrus Chan</t>
  </si>
  <si>
    <t>2110 6416</t>
  </si>
  <si>
    <t>cyrus@monmonkeygroup.com</t>
  </si>
  <si>
    <t>Rm2418, China Merchants Tower, Shun Tak Centre, 168-200 Connaught Road, Sheung Wan, Hong Kong</t>
  </si>
  <si>
    <t>Azure Subscription ID: 84ff4d78-4320-4e7d-a74b-b94e9d511149</t>
    <phoneticPr fontId="11" type="noConversion"/>
  </si>
  <si>
    <t>CL541490</t>
    <phoneticPr fontId="11" type="noConversion"/>
  </si>
  <si>
    <t>RN 664418/1-2</t>
    <phoneticPr fontId="11" type="noConversion"/>
  </si>
  <si>
    <t>TI25-00005211\1(OM)</t>
    <phoneticPr fontId="11" type="noConversion"/>
  </si>
  <si>
    <t>SD11761200</t>
    <phoneticPr fontId="11" type="noConversion"/>
  </si>
  <si>
    <t>Tenant ID: f5f58da6-3aa1-4c6b-8a8a-b34a9acb6322
domain: monmonkeygroup.com
[07-Jul-2025] Order Issued.
[08-Jul-2025] Send invitation link to customer to establish the Microsoft Reseller Relationship to HKT [Hin]
[09-Jul-2025] Customer has accepted invitation. Create Azure Subscription ID: 84ff4d78-4320-4e7d-a74b-b94e9d511149. Grant GDAP and assign owner [Hin] (SD11761946)
[09-Jul-2025] Send welcome letter to customer by Hin. Close CxS order on SRD date: 07-Jul-2025 [Helen]</t>
    <phoneticPr fontId="11" type="noConversion"/>
  </si>
  <si>
    <t>http://10.10.10.209/OASIS_FILE_MANAGER/zip_files_download.php?qid=1437352&amp;serialno=TI25-00005211&amp;itemno=1&amp;token=a327c543c1f68300421f4d77f1df956f</t>
    <phoneticPr fontId="11" type="noConversion"/>
  </si>
  <si>
    <t>Carrie Kok</t>
  </si>
  <si>
    <t>carrie.kl.kok@pccw.com</t>
  </si>
  <si>
    <t>777244941440</t>
    <phoneticPr fontId="11" type="noConversion"/>
  </si>
  <si>
    <t>no_reply_hktsme@pccw.com</t>
  </si>
  <si>
    <t>Floor26, PCCW Tower, Taikoo Place, 979 King's Rd, Quarry Bay, HK</t>
    <phoneticPr fontId="11" type="noConversion"/>
  </si>
  <si>
    <t>CL542097</t>
    <phoneticPr fontId="11" type="noConversion"/>
  </si>
  <si>
    <t>RN 193606/1-2</t>
    <phoneticPr fontId="11" type="noConversion"/>
  </si>
  <si>
    <t>BBSMA25-00000428\1(OM)</t>
    <phoneticPr fontId="11" type="noConversion"/>
  </si>
  <si>
    <t>SD11766929</t>
    <phoneticPr fontId="11" type="noConversion"/>
  </si>
  <si>
    <t>AWS (for internal Marcomm team) Configuration Charge HKD80,000
[09-Jul-2025] Receive email request for pre-provision the AWS account for internal use. (SD11762240) [Kelvin]
[09-Jul-2025] Sent the email to cutomer to collect AWS Account ID for further follow up. [Kelvin]
[20-Jul-2025] Order Issued. Since OASIS Notificaion didn't show CL no. and CxS no. Inform order team (Ran) to verify [Helen]
[28-Jul-2025 Sent remind email to customer to confirm the case stauts [Kelvin]
[28-Jul-2025] Sent invitation and confirm customer accepted [Kelvin]
[28-Jul-2025] AWS account migration has completed (Joined date: 28-Jul-2025). Inform Lok arrange engineers follow up the PS job. Close CxS order on 28-Jul-2025 and notify Martin Wong and Multi-Cloud MS team that order has managed service T2. Send order mapping to Katie by email [Helen]
[06-Aug-2025] Ran (order team) chase up to close CxS order. As check, CxS order is not yet close. Close CxS order on 06-Aug-2025 [Helen]
[11-Aug-2025] Sent the welcome letter to customer [Kilson]</t>
  </si>
  <si>
    <t>http://10.10.10.209/OASIS_FILE_MANAGER/zip_files_download.php?qid=1435993&amp;serialno=BBSMA25-00000428&amp;itemno=1&amp;token=0cc88db95574e130f1ff0784c353575e</t>
    <phoneticPr fontId="11" type="noConversion"/>
  </si>
  <si>
    <t>Bora Siu</t>
  </si>
  <si>
    <t>5208 2561</t>
  </si>
  <si>
    <t>borasiu@experience11.com</t>
  </si>
  <si>
    <t>418272762918</t>
    <phoneticPr fontId="11" type="noConversion"/>
  </si>
  <si>
    <t>enquiry@experience11.com</t>
  </si>
  <si>
    <t>Floor11, Tower A, 83 King Lam Street, Cheung Sha Wan, KLN</t>
  </si>
  <si>
    <t>[10-Jul-2025] Receive email request for for account migration  (SD11762443) [Kelvin]
[11-Jul-2025] Sent invitation to customer [Kelvin]
[28-Jul-2025] invitation link had been expired. Sent email for remind if need to re-send link[Kelvin]
[18-Aug-2025] Accepted the request, pending create Cloudcheckr &amp; awiating order issue then send welcome letter [Kelvin]
[7-Nov-2025] Cloudcheckr account created [Kelvin]
[07-Nov-2025] AWS ID: 418272762918 appear on cloudcheckr platform, setup billing account by kelvin and inform katie to call sales to issue order [Helen]</t>
    <phoneticPr fontId="11" type="noConversion"/>
  </si>
  <si>
    <t>349851765146</t>
    <phoneticPr fontId="11" type="noConversion"/>
  </si>
  <si>
    <t>support@experience11.com</t>
    <phoneticPr fontId="11" type="noConversion"/>
  </si>
  <si>
    <t>[10-Jul-2025] Receive email request for account migration (SD11762443) [Kelvin]
[11-Jul-2025] Sent invitation to customer [Kelvin]
[28-Jul-2025] invitation link had been expired. Sent email for remind if need to re-send link[Kelvin]
[14-Aug-2025] Accepted the request, pending create Cloudcheckr &amp; awiating order issue then send welcome letter [Kelvin]
[7-Nov-2025] Cloudcheckr account created [Kelvin]
[07-Nov-2025] AWS ID: 349851765146 appear on cloudcheckr platform, setup billing account by kelvin and inform katie to call sales to issue order [Helen]</t>
    <phoneticPr fontId="11" type="noConversion"/>
  </si>
  <si>
    <t>Andy Au Yeung</t>
    <phoneticPr fontId="11" type="noConversion"/>
  </si>
  <si>
    <t>andy.auyeung@jardines.com</t>
    <phoneticPr fontId="11" type="noConversion"/>
  </si>
  <si>
    <t>JARDINE MATHESON LIMITED</t>
    <phoneticPr fontId="11" type="noConversion"/>
  </si>
  <si>
    <t>Configuration Charge: HKD72,000</t>
    <phoneticPr fontId="11" type="noConversion"/>
  </si>
  <si>
    <t>25/F, Devon House, Taikoo Place, 979 King's Road</t>
    <phoneticPr fontId="11" type="noConversion"/>
  </si>
  <si>
    <t>RN 165860/1-2</t>
    <phoneticPr fontId="11" type="noConversion"/>
  </si>
  <si>
    <t>UE25-00003020\1(OM)</t>
    <phoneticPr fontId="11" type="noConversion"/>
  </si>
  <si>
    <t>SD11765830</t>
    <phoneticPr fontId="11" type="noConversion"/>
  </si>
  <si>
    <t>Azure Configuration Charge: HKD72,000
[21-Jul-2025] Order Issued. Inform Lok arrange engineer follow up the PS Job. Close CxS order on SRD date: 16-Jul-2025 [Helen]</t>
  </si>
  <si>
    <t>http://10.10.10.209/OASIS_FILE_MANAGER/zip_files_download.php?qid=1446191&amp;serialno=UE25-00003020&amp;itemno=1&amp;token=3a577825b6b079b72327513261726934</t>
    <phoneticPr fontId="11" type="noConversion"/>
  </si>
  <si>
    <t>Brian.C.Yeung@honourprinting.com</t>
    <phoneticPr fontId="11" type="noConversion"/>
  </si>
  <si>
    <t>Azure (ExpressRoute Gateway Setup)</t>
    <phoneticPr fontId="11" type="noConversion"/>
  </si>
  <si>
    <t>RN 455973/1-2</t>
    <phoneticPr fontId="11" type="noConversion"/>
  </si>
  <si>
    <t>TI25-00005648\1(OM)</t>
    <phoneticPr fontId="11" type="noConversion"/>
  </si>
  <si>
    <t>SD11766753</t>
    <phoneticPr fontId="11" type="noConversion"/>
  </si>
  <si>
    <t>Azure (ExpressRoute Gateway Setup) Configuration Charge: HKD33,600 (Tenant ID : umadxonline.onmicrosoft.com)
[24-Jul-2025] Order Issued. Inform Lok arrange engineer follow up the PS Job. Close CxS order on 24-Jul-2025 [Helen]</t>
  </si>
  <si>
    <t>http://10.10.10.209/OASIS_FILE_MANAGER/zip_files_download.php?qid=1446556&amp;serialno=TI25-00005648&amp;itemno=1&amp;token=6a018acb188f88fcba14dcc50c3a9345</t>
    <phoneticPr fontId="11" type="noConversion"/>
  </si>
  <si>
    <t>Mr. Radek Chan</t>
  </si>
  <si>
    <t>2200 0292</t>
  </si>
  <si>
    <t>radek.chan@wkcda.hk</t>
    <phoneticPr fontId="11" type="noConversion"/>
  </si>
  <si>
    <t>apps.google@wkcda.hk</t>
    <phoneticPr fontId="11" type="noConversion"/>
  </si>
  <si>
    <t>No.8 Austin Road,WKCDA Tower,Floor8/F</t>
  </si>
  <si>
    <t>Subaccount ID: 01AE9D-B108D7-B1A2B9</t>
  </si>
  <si>
    <t>CL544101</t>
    <phoneticPr fontId="11" type="noConversion"/>
  </si>
  <si>
    <t>RN 314557/1-2</t>
    <phoneticPr fontId="11" type="noConversion"/>
  </si>
  <si>
    <t>UB25-00006156\1(OM)</t>
    <phoneticPr fontId="11" type="noConversion"/>
  </si>
  <si>
    <t>SD11782323</t>
    <phoneticPr fontId="11" type="noConversion"/>
  </si>
  <si>
    <t>Subaccount ID: 01AE9D-B108D7-B1A2B9
[29-Jul-25] Billing account had been created [Kelvin] SD11767893
[17-Sep-2025] Order Issued [Helen]
[18-Sep-2025] Inform Katie for order mapping by email. Send Welcome Letter to customer. Close CxS order on 18-Sep-2025. Inform Lok and HKT Pro Cloud MS team that order has managed service T3 [Helen]</t>
  </si>
  <si>
    <t>http://10.10.10.209/OASIS_FILE_MANAGER/zip_files_download.php?qid=1478006&amp;serialno=UB25-00006156&amp;itemno=1&amp;token=acddc3ef143d61133d36ebdde799eab9</t>
    <phoneticPr fontId="11" type="noConversion"/>
  </si>
  <si>
    <t>Mr. Radek Chan</t>
    <phoneticPr fontId="11" type="noConversion"/>
  </si>
  <si>
    <t>2200 0292</t>
    <phoneticPr fontId="11" type="noConversion"/>
  </si>
  <si>
    <t>Floor8/F, WKCDA Tower, No.8 Austin Road, KLN</t>
    <phoneticPr fontId="11" type="noConversion"/>
  </si>
  <si>
    <t>CL543740</t>
    <phoneticPr fontId="11" type="noConversion"/>
  </si>
  <si>
    <t>RN 253300/1-2</t>
    <phoneticPr fontId="11" type="noConversion"/>
  </si>
  <si>
    <t>UB25-00004997\1(OM)</t>
    <phoneticPr fontId="11" type="noConversion"/>
  </si>
  <si>
    <t>SD11781571</t>
    <phoneticPr fontId="11" type="noConversion"/>
  </si>
  <si>
    <t>[29-Jul-25] Sent reseller relationship invitation to customer [Kelvin] SD11767890
[31-Jul-25] Sent Transter request to vendor, pending to accept. [Kelvin]
[01-Aug-25] Vendor accept the request, pending customer to do role assignment for Azure subscription [Kelvin]
[04-Aug-25] 663c7c16-53a5-402c-a4b2-e9e03e92f92b finish migration. [Kelvin] Name: WKCDA Data Management Platform
[16-Sep-2025] Order Issued [Helen]
[18-Sep-2025] Inform Katie for order mapping by email. Send Welcome Letter to customer. Close CxS order on 18-Sep-2025. Inform Lok and HKT Pro Cloud MS team that order has managed service T3 {Helen]</t>
  </si>
  <si>
    <t>http://10.10.10.209/OASIS_FILE_MANAGER/zip_files_download.php?qid=1476589&amp;serialno=UB25-00004997&amp;itemno=1&amp;token=acddc3ef143d61133d36ebdde799eab9</t>
    <phoneticPr fontId="11" type="noConversion"/>
  </si>
  <si>
    <t>CL543741</t>
    <phoneticPr fontId="11" type="noConversion"/>
  </si>
  <si>
    <t>RN 253300/3-4</t>
    <phoneticPr fontId="11" type="noConversion"/>
  </si>
  <si>
    <t>[29-Jul-25] Sent reseller relationship invitation to customer [Kelvin] SD11767890
[31-Jul-25] Sent Transter request to vendor, pending to accept. [Klevin]
[01-Aug-25] Vendor accept the request, pending customer to do role assignment for Azure subscription [Kelvin]
[04-Aug-25] 0848f63f-3875-4c25-bbe7-cd937ffb0c74 finish migration. [Kelvin] Name: WKCDA Proof of Concepts
[16-Sep-2025] Order Issued [Helen]
[18-Sep-2025] Inform Katie for order mapping by email. Send Welcome Letter to customer. Close CxS order on 18-Sep-2025. Inform Lok and HKT Pro Cloud MS team that order has managed service T3 {Helen]</t>
    <phoneticPr fontId="11" type="noConversion"/>
  </si>
  <si>
    <t>CL543746</t>
    <phoneticPr fontId="11" type="noConversion"/>
  </si>
  <si>
    <t>RN 253300/5-6</t>
    <phoneticPr fontId="11" type="noConversion"/>
  </si>
  <si>
    <t>[29-Jul-25] Sent reseller relationship invitation to customer [Kelvin] SD11767890
[31-Jul-25] Sent Transter request to vendor, pending to accept. [Klevin]
[01-Aug-25] Vendor accept the request, pending customer to do role assignment for Azure subscription [Kelvin]
[04-Aug-25] e6a1bb06-ec30-4246-9eae-6a3d5f5c2869  finish migration. [Kelvin] Name: WKCDA DevOps
[16-Sep-2025] Order Issued [Helen]
[18-Sep-2025] Inform Katie for order mapping by email. Send Welcome Letter to customer. Close CxS order on 18-Sep-2025. Inform Lok and HKT Pro Cloud MS team that order has managed service T3 {Helen]</t>
    <phoneticPr fontId="11" type="noConversion"/>
  </si>
  <si>
    <t>068305717368</t>
    <phoneticPr fontId="11" type="noConversion"/>
  </si>
  <si>
    <t>ict_awsadmin</t>
    <phoneticPr fontId="11" type="noConversion"/>
  </si>
  <si>
    <t>ict_awsadmin@wkcda.hk</t>
    <phoneticPr fontId="11" type="noConversion"/>
  </si>
  <si>
    <t>CL543828</t>
    <phoneticPr fontId="11" type="noConversion"/>
  </si>
  <si>
    <t>RN 354119/3-4</t>
    <phoneticPr fontId="11" type="noConversion"/>
  </si>
  <si>
    <t>UB25-00006155\1(OM)</t>
  </si>
  <si>
    <t>SD11781926</t>
  </si>
  <si>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[17-Sep-2025] Order Issued. Receive order mapping from Katie. Send Welcome letter to customer [Helen]
[17-Sep-2025] Close CxS order on 17-Sep-2025. Inform Lok and HKT Pro Cloud MS team that order has managed service T3 {Helen]</t>
  </si>
  <si>
    <t xml:space="preserve">http://10.10.10.209/OASIS_FILE_MANAGER/zip_files_download.php?qid=1476594&amp;serialno=UB25-00006155&amp;itemno=1&amp;token=acddc3ef143d61133d36ebdde799eab9 </t>
    <phoneticPr fontId="11" type="noConversion"/>
  </si>
  <si>
    <t>radek.chan@wkcda.hk</t>
  </si>
  <si>
    <t>255937455145</t>
    <phoneticPr fontId="11" type="noConversion"/>
  </si>
  <si>
    <t>wkcda-shared</t>
    <phoneticPr fontId="11" type="noConversion"/>
  </si>
  <si>
    <t>anthony.wy.cheung@wkcda.hk</t>
    <phoneticPr fontId="11" type="noConversion"/>
  </si>
  <si>
    <t>CL543879</t>
    <phoneticPr fontId="11" type="noConversion"/>
  </si>
  <si>
    <t>RN 354119/11-12</t>
    <phoneticPr fontId="11"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</si>
  <si>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[17-Sep-2025] Order Issued. Receive order mapping from Katie. Send Welcome letter to customer [Helen]
[17-Sep-2025] Close CxS order on 17-Sep-2025. Inform Lok and HKT Pro Cloud MS team that order has managed service T3 {Helen]</t>
    <phoneticPr fontId="11" type="noConversion"/>
  </si>
  <si>
    <t>496990152074</t>
    <phoneticPr fontId="11" type="noConversion"/>
  </si>
  <si>
    <t>wkcda-ticket</t>
    <phoneticPr fontId="11" type="noConversion"/>
  </si>
  <si>
    <t>ict_awsadmin_tix@wkcda.hk</t>
    <phoneticPr fontId="11" type="noConversion"/>
  </si>
  <si>
    <t>CL543906</t>
    <phoneticPr fontId="11" type="noConversion"/>
  </si>
  <si>
    <t>RN 354119/17-18</t>
    <phoneticPr fontId="11" type="noConversion"/>
  </si>
  <si>
    <t>871639088437</t>
    <phoneticPr fontId="11" type="noConversion"/>
  </si>
  <si>
    <t>mplus-api</t>
    <phoneticPr fontId="11" type="noConversion"/>
  </si>
  <si>
    <t>ict_awsadmin_mp@wkcda.hk</t>
    <phoneticPr fontId="11" type="noConversion"/>
  </si>
  <si>
    <t>CL543974</t>
    <phoneticPr fontId="11" type="noConversion"/>
  </si>
  <si>
    <t>RN 354119/33-34</t>
    <phoneticPr fontId="11"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</si>
  <si>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t>
    <phoneticPr fontId="11" type="noConversion"/>
  </si>
  <si>
    <t>287807301861</t>
    <phoneticPr fontId="11" type="noConversion"/>
  </si>
  <si>
    <t>wkcda-ods</t>
    <phoneticPr fontId="11" type="noConversion"/>
  </si>
  <si>
    <t>ict_awsadmin_ods@wkcda.hk</t>
    <phoneticPr fontId="11" type="noConversion"/>
  </si>
  <si>
    <t>CL543956</t>
    <phoneticPr fontId="11" type="noConversion"/>
  </si>
  <si>
    <t>RN 354119/29-30</t>
    <phoneticPr fontId="11" type="noConversion"/>
  </si>
  <si>
    <t>2201 0292</t>
  </si>
  <si>
    <t>775599618962</t>
    <phoneticPr fontId="11" type="noConversion"/>
  </si>
  <si>
    <t>wkcda-opendata</t>
    <phoneticPr fontId="11" type="noConversion"/>
  </si>
  <si>
    <t>ict_awsadmin_opendata@wkcda.hk</t>
    <phoneticPr fontId="11" type="noConversion"/>
  </si>
  <si>
    <t>CL543922</t>
    <phoneticPr fontId="11" type="noConversion"/>
  </si>
  <si>
    <t>RN 354119/23-24</t>
    <phoneticPr fontId="11" type="noConversion"/>
  </si>
  <si>
    <t>2202 0292</t>
  </si>
  <si>
    <t>612156538151</t>
    <phoneticPr fontId="11" type="noConversion"/>
  </si>
  <si>
    <t>wkcda-dr</t>
    <phoneticPr fontId="11" type="noConversion"/>
  </si>
  <si>
    <t>ict_awsadmin_dr@wkcda.hk</t>
    <phoneticPr fontId="11" type="noConversion"/>
  </si>
  <si>
    <t>CL543987</t>
    <phoneticPr fontId="11" type="noConversion"/>
  </si>
  <si>
    <t>RN 354119/39-40</t>
    <phoneticPr fontId="11" type="noConversion"/>
  </si>
  <si>
    <t>2203 0292</t>
  </si>
  <si>
    <t>725442537067</t>
    <phoneticPr fontId="11" type="noConversion"/>
  </si>
  <si>
    <t>wkcda-subapp</t>
    <phoneticPr fontId="11" type="noConversion"/>
  </si>
  <si>
    <t>ict_awsadmin_subapp@wkcda.hk</t>
    <phoneticPr fontId="11" type="noConversion"/>
  </si>
  <si>
    <t>CL543910</t>
    <phoneticPr fontId="11" type="noConversion"/>
  </si>
  <si>
    <t>RN 354119/19-20</t>
    <phoneticPr fontId="11" type="noConversion"/>
  </si>
  <si>
    <t>2204 0292</t>
  </si>
  <si>
    <t>449703482199</t>
    <phoneticPr fontId="11" type="noConversion"/>
  </si>
  <si>
    <t>wkcda-disapp</t>
    <phoneticPr fontId="11" type="noConversion"/>
  </si>
  <si>
    <t>ict_awsadmin_disapp@wkcda.hk</t>
  </si>
  <si>
    <t>CL543900</t>
    <phoneticPr fontId="11" type="noConversion"/>
  </si>
  <si>
    <t>RN 354119/15-16</t>
    <phoneticPr fontId="11" type="noConversion"/>
  </si>
  <si>
    <t>2205 0292</t>
  </si>
  <si>
    <t>857122166007</t>
    <phoneticPr fontId="11" type="noConversion"/>
  </si>
  <si>
    <t>wkcda-wcms</t>
    <phoneticPr fontId="11" type="noConversion"/>
  </si>
  <si>
    <t>ict_awsadmin_wcms@wkcda.hk</t>
    <phoneticPr fontId="11" type="noConversion"/>
  </si>
  <si>
    <t>CL543957</t>
    <phoneticPr fontId="11" type="noConversion"/>
  </si>
  <si>
    <t>RN 354119/31-32</t>
    <phoneticPr fontId="11" type="noConversion"/>
  </si>
  <si>
    <t>2206 0292</t>
  </si>
  <si>
    <t>280569294967</t>
    <phoneticPr fontId="11" type="noConversion"/>
  </si>
  <si>
    <t>wkcda-patrol</t>
    <phoneticPr fontId="11" type="noConversion"/>
  </si>
  <si>
    <t>ict_awsadmin_patrol@wkcda.hk</t>
  </si>
  <si>
    <t>CL543951</t>
    <phoneticPr fontId="11" type="noConversion"/>
  </si>
  <si>
    <t>RN 354119/25-26</t>
    <phoneticPr fontId="11" type="noConversion"/>
  </si>
  <si>
    <t>2207 0292</t>
  </si>
  <si>
    <t>230258468529</t>
    <phoneticPr fontId="11" type="noConversion"/>
  </si>
  <si>
    <t>mplus-cabinet</t>
    <phoneticPr fontId="11" type="noConversion"/>
  </si>
  <si>
    <t>ict_awsadmin_cabinet@mplus.org.hk</t>
  </si>
  <si>
    <t>CL543857</t>
    <phoneticPr fontId="11" type="noConversion"/>
  </si>
  <si>
    <t>RN 354119/7-8</t>
    <phoneticPr fontId="11" type="noConversion"/>
  </si>
  <si>
    <t>2208 0292</t>
  </si>
  <si>
    <t>237712432409</t>
    <phoneticPr fontId="11" type="noConversion"/>
  </si>
  <si>
    <t>mp-web</t>
    <phoneticPr fontId="11" type="noConversion"/>
  </si>
  <si>
    <t>ict_awsadmin_mpweb@mplus.org.hk</t>
  </si>
  <si>
    <t>CL543874</t>
    <phoneticPr fontId="11" type="noConversion"/>
  </si>
  <si>
    <t>RN 354119/9-10</t>
    <phoneticPr fontId="11" type="noConversion"/>
  </si>
  <si>
    <t>2209 0292</t>
  </si>
  <si>
    <t>895813982229</t>
    <phoneticPr fontId="11" type="noConversion"/>
  </si>
  <si>
    <t>mplus-ingallery</t>
    <phoneticPr fontId="11" type="noConversion"/>
  </si>
  <si>
    <t>ict_awsadmin_mpingallery@mplus.org.hk</t>
  </si>
  <si>
    <t>CL543983</t>
    <phoneticPr fontId="11" type="noConversion"/>
  </si>
  <si>
    <t>RN 354119/35-36</t>
    <phoneticPr fontId="11" type="noConversion"/>
  </si>
  <si>
    <t>[29-Jul-25] Sent invitation to customer [Kelvin] SD11767981
[04-Aug-25] AWS account migration has completed (Joined date 04-Aug-2025)
[11-Aug-25] Cloudcheckr account created [Kelvin]
[25-Aug-2025] Receive cloudcheckr reminder. Opt-out account in cloudcheckr alert table. Inform katie call sales to issue order (SD11773223) [Helen]
[26-Jan-2026] Receive CloudCheckr alert for AWS ID: 895813982229 (mplus-ingallery), Opt-out account in cloudcheckr alert table. Since order has been issued and welcome letter has sent. No further follow up action [Helen]</t>
    <phoneticPr fontId="11" type="noConversion"/>
  </si>
  <si>
    <t>2210 0292</t>
  </si>
  <si>
    <t>641774271254</t>
    <phoneticPr fontId="11" type="noConversion"/>
  </si>
  <si>
    <t>wkcda-arlearn</t>
    <phoneticPr fontId="11" type="noConversion"/>
  </si>
  <si>
    <t>ict_awsadmin_arlearning@wkcda.hk</t>
  </si>
  <si>
    <t>CL543989</t>
    <phoneticPr fontId="11" type="noConversion"/>
  </si>
  <si>
    <t>RN 354119/41-42</t>
    <phoneticPr fontId="11" type="noConversion"/>
  </si>
  <si>
    <t>2213 0292</t>
  </si>
  <si>
    <t>282617235941</t>
    <phoneticPr fontId="11" type="noConversion"/>
  </si>
  <si>
    <t>wkcda-wkdigital</t>
    <phoneticPr fontId="11" type="noConversion"/>
  </si>
  <si>
    <t>ict_awsadmin_wkdigital@wkcda.hk</t>
    <phoneticPr fontId="11" type="noConversion"/>
  </si>
  <si>
    <t>CL543953</t>
    <phoneticPr fontId="11" type="noConversion"/>
  </si>
  <si>
    <t>RN 354119/27-28</t>
    <phoneticPr fontId="11" type="noConversion"/>
  </si>
  <si>
    <t>2216 0292</t>
  </si>
  <si>
    <t>053583469776</t>
    <phoneticPr fontId="11" type="noConversion"/>
  </si>
  <si>
    <t>mplus-liuxin</t>
    <phoneticPr fontId="11" type="noConversion"/>
  </si>
  <si>
    <t>ict_awsadmin_mpliuxin@mplus.org.hk</t>
  </si>
  <si>
    <t>CL543824</t>
    <phoneticPr fontId="11" type="noConversion"/>
  </si>
  <si>
    <t>RN 354119/1-2</t>
    <phoneticPr fontId="11" type="noConversion"/>
  </si>
  <si>
    <t>2217 0292</t>
  </si>
  <si>
    <t>591494734258</t>
    <phoneticPr fontId="11" type="noConversion"/>
  </si>
  <si>
    <t>wkcda-sra</t>
    <phoneticPr fontId="11" type="noConversion"/>
  </si>
  <si>
    <t>ict_awsadmin_wksra@wkcda.hk</t>
  </si>
  <si>
    <t>CL543984</t>
    <phoneticPr fontId="11" type="noConversion"/>
  </si>
  <si>
    <t>RN 354119/37-38</t>
    <phoneticPr fontId="11" type="noConversion"/>
  </si>
  <si>
    <t>2218 0292</t>
  </si>
  <si>
    <t>743886222010</t>
    <phoneticPr fontId="11" type="noConversion"/>
  </si>
  <si>
    <t>mplus-moniker</t>
    <phoneticPr fontId="11" type="noConversion"/>
  </si>
  <si>
    <t>ict_awsadmin_mpmoniker@mplus.org.hk</t>
  </si>
  <si>
    <t>CL543914</t>
    <phoneticPr fontId="11" type="noConversion"/>
  </si>
  <si>
    <t>RN 354119/21-22</t>
    <phoneticPr fontId="11" type="noConversion"/>
  </si>
  <si>
    <t>2219 0292</t>
  </si>
  <si>
    <t>298230758822</t>
    <phoneticPr fontId="11" type="noConversion"/>
  </si>
  <si>
    <t>mplus-omo</t>
    <phoneticPr fontId="11" type="noConversion"/>
  </si>
  <si>
    <t>ict_awsadmin_wkomo@mplus.org.hk</t>
  </si>
  <si>
    <t>CL543899</t>
    <phoneticPr fontId="11" type="noConversion"/>
  </si>
  <si>
    <t>RN 354119/13-14</t>
    <phoneticPr fontId="11" type="noConversion"/>
  </si>
  <si>
    <t>2220 0292</t>
  </si>
  <si>
    <t>073124701135</t>
    <phoneticPr fontId="11" type="noConversion"/>
  </si>
  <si>
    <t>hkpm-cms</t>
    <phoneticPr fontId="11" type="noConversion"/>
  </si>
  <si>
    <t>ict_awsadmin_hkpmcms@hkpm.org.hk</t>
  </si>
  <si>
    <t>CL543849</t>
    <phoneticPr fontId="11" type="noConversion"/>
  </si>
  <si>
    <t>RN 354119/5-6</t>
    <phoneticPr fontId="11" type="noConversion"/>
  </si>
  <si>
    <t>Joseph Leung</t>
  </si>
  <si>
    <t>joseph.leung@axial-partners.com</t>
  </si>
  <si>
    <t>5870254290150226</t>
    <phoneticPr fontId="11" type="noConversion"/>
  </si>
  <si>
    <t>joseph.leung@axial-partners.com</t>
    <phoneticPr fontId="11" type="noConversion"/>
  </si>
  <si>
    <t>Floor23, Arion Commercial Centre, 1 -12 Queen's Road West,  Sheung Wan, HK</t>
  </si>
  <si>
    <t>CL542272</t>
  </si>
  <si>
    <t>RN 293671/1-2</t>
    <phoneticPr fontId="11" type="noConversion"/>
  </si>
  <si>
    <t>UE25-00003362\1(OM)</t>
  </si>
  <si>
    <t>SD11769859</t>
    <phoneticPr fontId="11" type="noConversion"/>
  </si>
  <si>
    <t>Alibaba POC account
[04-Aug-25] Sent invitation to customer [Kelvin]  SD11769479
[04-Aug-25] Account had been created and set the budget as $0. [Kelvin]
[04-Aug-2025] Order Issued. Close CxS order on 06-Aug-2025 [Helen]
[07-Aug-2025] Thomas replies POC coupon redemption to set USD150 [Kelvin]
[07-Aug-2025] Send Welcome Letter to customer [Helen]</t>
    <phoneticPr fontId="11" type="noConversion"/>
  </si>
  <si>
    <t>http://10.10.10.209/OASIS_FILE_MANAGER/zip_files_download.php?qid=1454022&amp;serialno=UE25-00003362&amp;itemno=1&amp;token=ba5ed656db84b98e798dec89d8cb4976</t>
  </si>
  <si>
    <t>Michael Wong</t>
    <phoneticPr fontId="11" type="noConversion"/>
  </si>
  <si>
    <t>94015499 / 94045499</t>
    <phoneticPr fontId="11" type="noConversion"/>
  </si>
  <si>
    <t>michael.wong@vincentmedical.com</t>
    <phoneticPr fontId="11" type="noConversion"/>
  </si>
  <si>
    <t>193849563750</t>
  </si>
  <si>
    <t>vincent medical</t>
    <phoneticPr fontId="11" type="noConversion"/>
  </si>
  <si>
    <t>aws.registration@vincentmedical.com</t>
    <phoneticPr fontId="11" type="noConversion"/>
  </si>
  <si>
    <t>Room 1604-07a, 16/F, Two HarbourFront, 22 Tak Fung Street, Hung Hom, KLN</t>
    <phoneticPr fontId="11" type="noConversion"/>
  </si>
  <si>
    <t>CL542351</t>
    <phoneticPr fontId="11" type="noConversion"/>
  </si>
  <si>
    <t>RN 626056/1-2</t>
    <phoneticPr fontId="11" type="noConversion"/>
  </si>
  <si>
    <t>UE25-00003380 / 1</t>
    <phoneticPr fontId="11" type="noConversion"/>
  </si>
  <si>
    <t>SD11770177</t>
    <phoneticPr fontId="11" type="noConversion"/>
  </si>
  <si>
    <t>Configuration Charge: HKD48,000
[06-Aug-2025] Send invitation to customer to request account migration [Kilson]
[06-Aug-2025] Customer has been accespted the invitation [Helen]
[06-Aug-2025] Inform Lok arranges engineer follow up the PS job [Helen]
[07-Aug-2025] Close CxS order on SRD date 06-Aug-2025 [Helen]
[11-Aug-2025] Sent the welcome letter to customer [Kilson]
[17-Nov-2025] Receive cloud checkr alert for AWS ID: 193849563750, Opt-out account [Helen]</t>
  </si>
  <si>
    <t>http://10.10.10.209/OASIS_FILE_MANAGER/zip_files_download.php?qid=1454892&amp;serialno=UE25-00003380&amp;itemno=1&amp;token=c06cce3eff3dc4d96de7404e15fc66e1</t>
    <phoneticPr fontId="11" type="noConversion"/>
  </si>
  <si>
    <t>e655a65bb3124fb2b0565411463694cd</t>
  </si>
  <si>
    <t>EAP-ODC-PRD</t>
    <phoneticPr fontId="11" type="noConversion"/>
  </si>
  <si>
    <t>aiopspubcloudadmin@ha.org.hk</t>
    <phoneticPr fontId="11" type="noConversion"/>
  </si>
  <si>
    <t>SC4 Team, Hospital Authority, 12/F, Harbourside HQ, 8 Lam Chak Street, Kowloon Bay</t>
  </si>
  <si>
    <t>CL554829</t>
    <phoneticPr fontId="11" type="noConversion"/>
  </si>
  <si>
    <t>RN 597948/1-2</t>
    <phoneticPr fontId="11" type="noConversion"/>
  </si>
  <si>
    <t>UB25-00006867\1(OM)</t>
    <phoneticPr fontId="11" type="noConversion"/>
  </si>
  <si>
    <t>SD11770141</t>
    <phoneticPr fontId="11" type="noConversion"/>
  </si>
  <si>
    <t>HOSPITAL AUTHORITY (EAP-ODC-PRD) [Case ID: MSPOC-759]
[06-Aug-2025] Receive email request from Mathew JON (HA) for Huawei account creation [Helen]
[07-Aug-2025] Mathew has reschedule meeting for Huawei account creation, will notice later [Helen]
[08-Aug-2025] Child account email updated: aiopspubcloudadmin@ho.ha.org.hk. Account created. (Huawei account ID: e655a65bb3124fb2b0565411463694cd) [Helen]
[21-Oct-2025] Order Issued and inform Lok and HKT Pro Cloud MS team that order has managed service T2 [Helen]</t>
    <phoneticPr fontId="11" type="noConversion"/>
  </si>
  <si>
    <t>http://10.10.10.209/OASIS_FILE_MANAGER/zip_files_download.php?qid=1492468&amp;serialno=UB25-00006867&amp;itemno=1&amp;token=a964a32236e9d92cb29b0b25f27a5288</t>
    <phoneticPr fontId="11" type="noConversion"/>
  </si>
  <si>
    <t>Samuel Wong</t>
    <phoneticPr fontId="11" type="noConversion"/>
  </si>
  <si>
    <t>samuel.hk.wong@pccw.com  </t>
    <phoneticPr fontId="11" type="noConversion"/>
  </si>
  <si>
    <t>953703947368</t>
    <phoneticPr fontId="11" type="noConversion"/>
  </si>
  <si>
    <t>pccw_cpe_app_support@pccw.com</t>
  </si>
  <si>
    <t>26/F, TTW Tower, Hong Kong</t>
    <phoneticPr fontId="11" type="noConversion"/>
  </si>
  <si>
    <t>CL542355</t>
    <phoneticPr fontId="11" type="noConversion"/>
  </si>
  <si>
    <t>RN 808746/1-2</t>
    <phoneticPr fontId="11" type="noConversion"/>
  </si>
  <si>
    <t>BBSMA25-00000497\1(OM)</t>
    <phoneticPr fontId="11" type="noConversion"/>
  </si>
  <si>
    <t>SD11770812</t>
    <phoneticPr fontId="11" type="noConversion"/>
  </si>
  <si>
    <t>AWS Cloud Internal Account (HKT IPTS Application Development)
[07-Aug-2025] Order Issued [Helen]
[08-Aug-2025] Request Kelvin send invitation to migrate AWS ID: 953703947368 to HKT payer account {SD11770882}
[08-Aug-2025] Customer accepted. Pending create Billing account in Cloudchekr then send welcome letter to customer [Kelvin]
[11-Aug-2025] Sent the welcome letter to customer [Kilson]
[11-Aug-2025] Inform Cindy (order team) that CxS order still not yet issued [Helen]
11-Aug-2025] Close CxS order on 11-Aug-2025 {Helen]
[18-Aug-2025] Receive cloudcheckr alert. Opt-out account from cloudcheckr alert table (SD11773293)</t>
  </si>
  <si>
    <t>http://10.10.10.209/OASIS_FILE_MANAGER/zip_files_download.php?qid=1455925&amp;serialno=BBSMA25-00000497&amp;itemno=1&amp;token=0cc88db95574e130f1ff0784c353575e</t>
    <phoneticPr fontId="11" type="noConversion"/>
  </si>
  <si>
    <t>Candice Chan</t>
    <phoneticPr fontId="11" type="noConversion"/>
  </si>
  <si>
    <t>21833896 / 95938813</t>
    <phoneticPr fontId="11" type="noConversion"/>
  </si>
  <si>
    <t>candice.wm.chan@hkairport.com</t>
    <phoneticPr fontId="11" type="noConversion"/>
  </si>
  <si>
    <t>624227064970</t>
    <phoneticPr fontId="11" type="noConversion"/>
  </si>
  <si>
    <t>aws_apc_prod</t>
    <phoneticPr fontId="11" type="noConversion"/>
  </si>
  <si>
    <t>C/O UISEE Technologies (Hong Kong) Limited
Attention : Daniel Wang (Email: zhanhong.wang@uisee.com)
Address:  Shop Nos. 202-203, 2nd Floor, Regal Airport Hotel, 9 Cheong Tat Road, Chek Lap Kok, Hong Kong</t>
    <phoneticPr fontId="11" type="noConversion"/>
  </si>
  <si>
    <t>CL542300</t>
    <phoneticPr fontId="11" type="noConversion"/>
  </si>
  <si>
    <t>RN 108251/1-2</t>
    <phoneticPr fontId="11" type="noConversion"/>
  </si>
  <si>
    <t>UB25-00005128\1(OM)</t>
    <phoneticPr fontId="11" type="noConversion"/>
  </si>
  <si>
    <t>SD11770889</t>
    <phoneticPr fontId="11" type="noConversion"/>
  </si>
  <si>
    <t>PROD - Cloud Platform Setup for APC Cargo Projection AWS (PO No. YY-YY-20250801-004)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</si>
  <si>
    <t>http://10.10.10.209/OASIS_FILE_MANAGER/zip_files_download.php?qid=1453935&amp;serialno=UB25-00005128&amp;itemno=1&amp;token=d23f31f95c7e154f012227d36ac5a7e2</t>
    <phoneticPr fontId="11" type="noConversion"/>
  </si>
  <si>
    <t>C-order for Cloud Platform Setup for APC Cargo Projecton AWS (PROD)</t>
    <phoneticPr fontId="11" type="noConversion"/>
  </si>
  <si>
    <t>RN 877991/1-2</t>
    <phoneticPr fontId="11" type="noConversion"/>
  </si>
  <si>
    <t>UB25-00005450\1(OM)</t>
    <phoneticPr fontId="11" type="noConversion"/>
  </si>
  <si>
    <t>SD11770991</t>
    <phoneticPr fontId="11" type="noConversion"/>
  </si>
  <si>
    <t>C-order for Cloud Platform Setup for APC Cargo Projection AWS (PROD) *Professional Service: HKD46,500 (PO No. YY-YY-20250801-004)
[08-Aug-2025] Inform Diva (Sales) to issue C-order for the billing charge of PS Job [Helen]
[25-Aug-2025] Order Issued. Inform Lok arrsnges engineer(s) follow up the PS Job. Close CxS order on SRD date: 25-Aug-2025 and notify Lok and HKT Pro Cloud MS team that order has managed service T3 by email [Helen]
[25-Aug-2025] Inform Katie for order mapping by email [Helen]</t>
    <phoneticPr fontId="11" type="noConversion"/>
  </si>
  <si>
    <t>http://10.10.10.209/OASIS_FILE_MANAGER/zip_files_download.php?qid=1461953&amp;serialno=UB25-00005450&amp;itemno=1&amp;token=d23f31f95c7e154f012227d36ac5a7e2</t>
    <phoneticPr fontId="11" type="noConversion"/>
  </si>
  <si>
    <t>627699504318</t>
    <phoneticPr fontId="11" type="noConversion"/>
  </si>
  <si>
    <t>aws_apc_sqcc</t>
    <phoneticPr fontId="11" type="noConversion"/>
  </si>
  <si>
    <t>CL542301</t>
    <phoneticPr fontId="11" type="noConversion"/>
  </si>
  <si>
    <t>RN 108251/3-4</t>
    <phoneticPr fontId="11" type="noConversion"/>
  </si>
  <si>
    <t>SD11770871</t>
    <phoneticPr fontId="11" type="noConversion"/>
  </si>
  <si>
    <t>UAT - Cloud Platform Setup for APC Cargo Projection AWS (PO No. YY-YY-20250801-004)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phoneticPr fontId="11" type="noConversion"/>
  </si>
  <si>
    <t>561605471522</t>
    <phoneticPr fontId="11" type="noConversion"/>
  </si>
  <si>
    <t>aws_aetcargo_sqcc</t>
    <phoneticPr fontId="11" type="noConversion"/>
  </si>
  <si>
    <t>CL542305</t>
    <phoneticPr fontId="11" type="noConversion"/>
  </si>
  <si>
    <t>RN 108251/7-8</t>
    <phoneticPr fontId="11" type="noConversion"/>
  </si>
  <si>
    <t xml:space="preserve">
104369</t>
    <phoneticPr fontId="11" type="noConversion"/>
  </si>
  <si>
    <t>UB25-00005126\1(OM)</t>
    <phoneticPr fontId="11" type="noConversion"/>
  </si>
  <si>
    <t>SD11770902</t>
    <phoneticPr fontId="11" type="noConversion"/>
  </si>
  <si>
    <t>UAT - Cloud Platform Setup for AET Cargo on AWS (PO No. YY-YY-20250801-003)
Professional Service: HKD46,500
[08-Aug-2025] Close CxS order on SRD date: 08-Aug-2025 and notify Lok and HKT Pro cloud MS team that order has managed service T3 by email [Helen]
[18-Aug-2025] Receive cloudcheckr alert. Opt-out account (SD11773261)</t>
    <phoneticPr fontId="11" type="noConversion"/>
  </si>
  <si>
    <t>http://10.10.10.209/OASIS_FILE_MANAGER/zip_files_download.php?qid=1453925&amp;serialno=UB25-00005126&amp;itemno=1&amp;token=d23f31f95c7e154f012227d36ac5a7e2</t>
    <phoneticPr fontId="11" type="noConversion"/>
  </si>
  <si>
    <t>944101542250</t>
    <phoneticPr fontId="11" type="noConversion"/>
  </si>
  <si>
    <t>aws_aetcargo_prod</t>
    <phoneticPr fontId="11" type="noConversion"/>
  </si>
  <si>
    <t>CL542304</t>
    <phoneticPr fontId="11" type="noConversion"/>
  </si>
  <si>
    <t>RN 108251/5-6</t>
    <phoneticPr fontId="11" type="noConversion"/>
  </si>
  <si>
    <t>SD11770918</t>
    <phoneticPr fontId="11" type="noConversion"/>
  </si>
  <si>
    <t>PROD - Cloud Platform Setup for AET Cargo on AWS (PO No. YY-YY-20250801-003)
Professional Service: HKD46,500
[08-Aug-2025] Order Issued. Inform Lok arranges engineer(s) to follow up the PS job {Helen]
[08-Aug-2025] Close CxS order on SRD date: 08-Aug-2025 and notify Lok and HKT Pro cloud MS team that order has managed service T3 by email [Helen]
[18-Aug-2025] Receive cloudcheckr alert. Opt-out account (SD11773261)</t>
    <phoneticPr fontId="11" type="noConversion"/>
  </si>
  <si>
    <t>C-order for Cloud Platform Setup for AET Cargo on AWS (PROD)</t>
    <phoneticPr fontId="11" type="noConversion"/>
  </si>
  <si>
    <t>RN 841825/1-2</t>
    <phoneticPr fontId="11" type="noConversion"/>
  </si>
  <si>
    <t>UB25-00005448\1(OM)</t>
    <phoneticPr fontId="11" type="noConversion"/>
  </si>
  <si>
    <t>SD11770992</t>
    <phoneticPr fontId="11" type="noConversion"/>
  </si>
  <si>
    <t>C-order for Cloud Platform Setup for AET Cargo on AWS (PROD) *Professional Service: HKD46,500 (PO No. YY-YY-20250801-003)
[08-Aug-2025] Inform Diva (Sales) to issue C-order for the billing charge of PS Job [Helen]
[25-Aug-2025] Order Issued. Inform Lok arranges engineer(s) to follow up the PS job. Close CxS order SRD date: 25-Aug-2025 and notify Lok and HKT Pro cloud MS team that order has managed service T3 by email [Helen]
[25-Aug-2025] Inform Katie for order mapping [Helen]</t>
    <phoneticPr fontId="11" type="noConversion"/>
  </si>
  <si>
    <t>http://10.10.10.209/OASIS_FILE_MANAGER/zip_files_download.php?qid=1461949&amp;serialno=UB25-00005448&amp;itemno=1&amp;token=d23f31f95c7e154f012227d36ac5a7e2</t>
    <phoneticPr fontId="11" type="noConversion"/>
  </si>
  <si>
    <t>247226602116</t>
    <phoneticPr fontId="11" type="noConversion"/>
  </si>
  <si>
    <t>shacom-aic-poc</t>
    <phoneticPr fontId="11" type="noConversion"/>
  </si>
  <si>
    <t>25/F, Tower 2, Kowloon Commerce Centre, 51 Kwai Cheong Road, Kwai Chung, N.T.</t>
    <phoneticPr fontId="11" type="noConversion"/>
  </si>
  <si>
    <t>CL543104</t>
    <phoneticPr fontId="11" type="noConversion"/>
  </si>
  <si>
    <t>RN 235609/1-2</t>
    <phoneticPr fontId="11" type="noConversion"/>
  </si>
  <si>
    <t>UB25-00005613\1(OM)</t>
    <phoneticPr fontId="11" type="noConversion"/>
  </si>
  <si>
    <t>SD11775676</t>
    <phoneticPr fontId="11" type="noConversion"/>
  </si>
  <si>
    <t>[11-Aug-2025] Receive cloudcheckr reminder. Opt-out account and inform katie to call sales to issue order (SD11771360)
[26-Aug-2025] Order Issued. Inform Joyce (order team) provide TID [Helen]
[27-Aug-2025] Close CxS order on 27-Aug-2025 [Helen]</t>
    <phoneticPr fontId="11" type="noConversion"/>
  </si>
  <si>
    <t>http://10.10.10.209/OASIS_FILE_MANAGER/zip_files_download.php?qid=1464645&amp;serialno=UB25-00005613&amp;itemno=1&amp;token=61ab8cd8d23432b22af0854ed48ab6cf</t>
    <phoneticPr fontId="11" type="noConversion"/>
  </si>
  <si>
    <t>386825534070</t>
    <phoneticPr fontId="11" type="noConversion"/>
  </si>
  <si>
    <t>acg-aws-shared-prd</t>
    <phoneticPr fontId="11" type="noConversion"/>
  </si>
  <si>
    <t>[18-Aug-2025] Receive cloudcheckr alert. Opt-out account and inform Katie to call sales to issue order (SD11773251)</t>
    <phoneticPr fontId="11" type="noConversion"/>
  </si>
  <si>
    <t>Johnson Wong</t>
    <phoneticPr fontId="11" type="noConversion"/>
  </si>
  <si>
    <t>2356 5518 / 96271522</t>
    <phoneticPr fontId="11" type="noConversion"/>
  </si>
  <si>
    <t>johnson.wong@uobkayhian.com.hk</t>
    <phoneticPr fontId="11" type="noConversion"/>
  </si>
  <si>
    <t>5134856790014709</t>
    <phoneticPr fontId="11" type="noConversion"/>
  </si>
  <si>
    <t>Floor 6, Harcount House, 39 Gloucester Road, Hong Kong</t>
    <phoneticPr fontId="11" type="noConversion"/>
  </si>
  <si>
    <t>POC account (apply for USD 500 coupons with valid duration of 60 days)
[22-Aug-2025] Receive email request from Bonnie to set invtiation and set credit as $0 [Helen]
[22-Aug-2025] Send invitation to customer for account registration (SD11776390) [Kilson]
[01-Sep-2025] Since customer wrongly input his email during registration. Re-create an invitation and inform customer to register again [Kilson]
[02-Sep-2025] Customer has accepted the invitation (Alibaba cloud UID: 5134856790014709 [Kilson]</t>
    <phoneticPr fontId="11" type="noConversion"/>
  </si>
  <si>
    <t>632268247026</t>
    <phoneticPr fontId="11" type="noConversion"/>
  </si>
  <si>
    <t>Nwclcorpwebsite</t>
    <phoneticPr fontId="11" type="noConversion"/>
  </si>
  <si>
    <t>service_aws@nwcl.com.hk</t>
    <phoneticPr fontId="11" type="noConversion"/>
  </si>
  <si>
    <t>Floor 10, Tower A, 83 King Lam Street, Cheung Sha Wan, KLN</t>
    <phoneticPr fontId="11" type="noConversion"/>
  </si>
  <si>
    <t>CL544619</t>
    <phoneticPr fontId="11" type="noConversion"/>
  </si>
  <si>
    <t>RN 664122/1-2</t>
    <phoneticPr fontId="11" type="noConversion"/>
  </si>
  <si>
    <t>UE25-00004374\1(OM)</t>
    <phoneticPr fontId="11" type="noConversion"/>
  </si>
  <si>
    <t>SD11786093</t>
    <phoneticPr fontId="11" type="noConversion"/>
  </si>
  <si>
    <t>AWS ID: 632268247026
[05-Sep-2025] Send invitation to customer for account miagation, expire at 20-sep-2025, weill re-send next Mon (8Sep) if customer not accpet [Kelvin] (SD11778790)
[08-Sep-2025] re-send invitation to update the expire date to 23-Sep-2025 [Kelvin]
[22-Sep-2025] Customer has accepted invitation over the Teams meeting[Hin] (SD11778790)
[02-Oct-2025] Order Issued. Send Welcome Letter to customer. Close CxS order on SRD date: 02-Oct-2025 [Helen]
[06-Oct-2025] Receive cloudcheckr alert to notice for AWS usage, opt-out account and change to complete status on inventory to close task (SD11787982) [Helen]</t>
    <phoneticPr fontId="11" type="noConversion"/>
  </si>
  <si>
    <t>http://10.10.10.209/OASIS_FILE_MANAGER/zip_files_download.php?qid=1484484&amp;serialno=UE25-00004374&amp;itemno=1&amp;token=3a577825b6b079b72327513261726934</t>
    <phoneticPr fontId="11" type="noConversion"/>
  </si>
  <si>
    <t>300900839152</t>
    <phoneticPr fontId="11" type="noConversion"/>
  </si>
  <si>
    <t>756074065643</t>
    <phoneticPr fontId="11" type="noConversion"/>
  </si>
  <si>
    <t>HKT_APN (Partner Central)</t>
    <phoneticPr fontId="11" type="noConversion"/>
  </si>
  <si>
    <t>SD11779374</t>
    <phoneticPr fontId="11" type="noConversion"/>
  </si>
  <si>
    <t>[AWS] Receive Account Registration Email, The AWS account created but no order issue. Forward the email to Katie ask her find Sales to issue back the order. AWS ID 756074065643 [Kilson]</t>
    <phoneticPr fontId="11" type="noConversion"/>
  </si>
  <si>
    <t>Peter Yu</t>
    <phoneticPr fontId="11" type="noConversion"/>
  </si>
  <si>
    <t>3700 3640</t>
    <phoneticPr fontId="11" type="noConversion"/>
  </si>
  <si>
    <t>peter@hkfinance.com.hk</t>
    <phoneticPr fontId="11" type="noConversion"/>
  </si>
  <si>
    <t>5394057077691843</t>
    <phoneticPr fontId="11" type="noConversion"/>
  </si>
  <si>
    <t>it@hkfinance.com.hk</t>
    <phoneticPr fontId="11" type="noConversion"/>
  </si>
  <si>
    <t>Rm3410, 34/F, Tower 2, Lippo Centre, 89 Queensway, Admiralty</t>
    <phoneticPr fontId="11" type="noConversion"/>
  </si>
  <si>
    <t>CL543701</t>
    <phoneticPr fontId="11" type="noConversion"/>
  </si>
  <si>
    <t>RN 229458/1-2</t>
    <phoneticPr fontId="11" type="noConversion"/>
  </si>
  <si>
    <t>TI25-00006993\1(OM)</t>
    <phoneticPr fontId="11" type="noConversion"/>
  </si>
  <si>
    <t>SD11780320</t>
  </si>
  <si>
    <t>[05-Sep-2025] Receive emqil request from Bonnie to pre-provision Alibaba account [Kilson]
[05-Sep-2025] Send invitation to customer for account registration (SD11778996) [Kilson]
[05-Sep-2025] Account created and send welcome letter [Kilson]
[10-Sep-2025] Order Issued. Check with Stephen Leung SC whether order include managed service T3 [Helen]
[11-Sep-2025] Confirm with Stephen Leung SC that order has no managed service T3. Close CxS order on 11-Sep-2025 [Helen]</t>
  </si>
  <si>
    <t>http://10.10.10.209/OASIS_FILE_MANAGER/zip_files_download.php?qid=1471466&amp;serialno=TI25-00006993&amp;itemno=1&amp;token=20d13e571b52f93cb731bae5ff38616e</t>
    <phoneticPr fontId="11" type="noConversion"/>
  </si>
  <si>
    <t>Radek Chan</t>
    <phoneticPr fontId="11" type="noConversion"/>
  </si>
  <si>
    <t>2200 0292 / 98795918</t>
    <phoneticPr fontId="11" type="noConversion"/>
  </si>
  <si>
    <t>5189157673359125</t>
    <phoneticPr fontId="11" type="noConversion"/>
  </si>
  <si>
    <t>itd_ali_master@wkcda.hk</t>
    <phoneticPr fontId="11" type="noConversion"/>
  </si>
  <si>
    <t>/F, WKCDA Tower, 8 Austin Road, KLN</t>
  </si>
  <si>
    <t>CL545423</t>
    <phoneticPr fontId="11" type="noConversion"/>
  </si>
  <si>
    <t>RN 520566/1-2</t>
    <phoneticPr fontId="11" type="noConversion"/>
  </si>
  <si>
    <t>UB25-00006798\1(OM)</t>
    <phoneticPr fontId="11" type="noConversion"/>
  </si>
  <si>
    <t>SD11791373</t>
    <phoneticPr fontId="11" type="noConversion"/>
  </si>
  <si>
    <t>[12-Sep-2025] Receive Bonnie Email to pro-provision alibaba account, Account created and send the invitation to customer (SD11781168).[Kilson}
[21-Oct-2025] Order Issued. Send Welcome Letter to customer. [Helen]
[22-Oct-2025] Receive CxS order amendment to revise product description to Alibaba, instead of Huawei. Close CxS order on SRD date: 22-Oct-2025 [Helen]</t>
  </si>
  <si>
    <t>http://10.10.10.209/OASIS_FILE_MANAGER/zip_files_download.php?qid=1491306&amp;serialno=UB25-00006798&amp;itemno=1&amp;token=4df4ea844146959ea5a85cce476f77c8</t>
    <phoneticPr fontId="11" type="noConversion"/>
  </si>
  <si>
    <t xml:space="preserve"> 39192384 / 95198740</t>
    <phoneticPr fontId="11" type="noConversion"/>
  </si>
  <si>
    <t>ccfb8a2e45374b78860fcfb72194e573</t>
    <phoneticPr fontId="11" type="noConversion"/>
  </si>
  <si>
    <t>KCCIT-SHIO-ODC-DEV</t>
    <phoneticPr fontId="11" type="noConversion"/>
  </si>
  <si>
    <t>kccitshio@ha.org.hk</t>
    <phoneticPr fontId="11" type="noConversion"/>
  </si>
  <si>
    <t>Rm 516, 5/F, Nurses Quarters, Queen Elizabeth Hospital, Kowloon, Hong Kong</t>
    <phoneticPr fontId="11" type="noConversion"/>
  </si>
  <si>
    <t>CL541986</t>
    <phoneticPr fontId="11" type="noConversion"/>
  </si>
  <si>
    <t>RN 494494/1-2</t>
    <phoneticPr fontId="11" type="noConversion"/>
  </si>
  <si>
    <t>UB25-00007660\1(OM)</t>
    <phoneticPr fontId="11" type="noConversion"/>
  </si>
  <si>
    <t>SD11781729</t>
    <phoneticPr fontId="11" type="noConversion"/>
  </si>
  <si>
    <t>HOSPITAL AUTHORITY (KCCIT-SHIO-ODC-DEV) [Case ID: MSPOC-861]
[16-Sep-2025] Receive email request from Dry Yuen (HA) for Huawei account creation [Helen]
[17-Sep-2025] Huawei account has created (account ID: ccfb8a2e45374b78860fcfb72194e573) [Helen]
[19-Nov-2025] Order Issued [Helen]
[20-Nov-2025] Close CxS Order on SRD Date: 01-Oct-2025. Inform Lok and HKT Pro MS team that order has managed service T2 [Helen]</t>
    <phoneticPr fontId="11" type="noConversion"/>
  </si>
  <si>
    <t>http://10.10.10.209/OASIS_FILE_MANAGER/zip_files_download.php?qid=1510166&amp;serialno=UB25-00007660&amp;itemno=1&amp;token=a964a32236e9d92cb29b0b25f27a5288</t>
    <phoneticPr fontId="11" type="noConversion"/>
  </si>
  <si>
    <t>Tracy Wong</t>
    <phoneticPr fontId="11" type="noConversion"/>
  </si>
  <si>
    <t>tracy.cs.wong@hkairport.com</t>
    <phoneticPr fontId="11" type="noConversion"/>
  </si>
  <si>
    <t>Resource Group Name:
rg-chatdata-prod-001
MC_rg-chatdata-prod-001_aks-chatdata-prod-01_eastasia</t>
    <phoneticPr fontId="11" type="noConversion"/>
  </si>
  <si>
    <t>HKIA Tower 2, 1 Sky Plaza Road, HK International Airport, LT</t>
    <phoneticPr fontId="11" type="noConversion"/>
  </si>
  <si>
    <t>CL544192</t>
    <phoneticPr fontId="11" type="noConversion"/>
  </si>
  <si>
    <t>RN 968591/1-2</t>
    <phoneticPr fontId="11" type="noConversion"/>
  </si>
  <si>
    <t>UB25-00006163\1(OM)</t>
    <phoneticPr fontId="11" type="noConversion"/>
  </si>
  <si>
    <t>SD11782492</t>
    <phoneticPr fontId="11" type="noConversion"/>
  </si>
  <si>
    <t>ChatGPT - AI Data Analytics Infra build up Project (PROD) [PO1102544] *Professional Service: HKD134,800
[18-Sep-2025] Order Issued. Inform Lok arrange engineer(s) follow up the PS Job of HKAA - ChatGPT - AI Data Analytics Infra build up Project [Helen]
[19-Sep-2025] Close CxS order on 19-Sep-2025 and notify Lok and HKT Pro Cloud MS team that order has managed service T3. Inform Diva (sales) to issue C-order for the billing charge of PS Job [Helen]</t>
    <phoneticPr fontId="11" type="noConversion"/>
  </si>
  <si>
    <t>http://10.10.10.209/OASIS_FILE_MANAGER/zip_files_download.php?qid=1478799&amp;serialno=UB25-00006163&amp;itemno=1&amp;token=d23f31f95c7e154f012227d36ac5a7e2</t>
    <phoneticPr fontId="11" type="noConversion"/>
  </si>
  <si>
    <t>C-order for ChatGPT - AI Data Analytics Infra build up Project (PROD)</t>
    <phoneticPr fontId="11" type="noConversion"/>
  </si>
  <si>
    <t xml:space="preserve">RN 004807/1-2 </t>
    <phoneticPr fontId="11" type="noConversion"/>
  </si>
  <si>
    <t>UB25-00006300\1(OM)</t>
    <phoneticPr fontId="11" type="noConversion"/>
  </si>
  <si>
    <t>SD11782732</t>
    <phoneticPr fontId="11" type="noConversion"/>
  </si>
  <si>
    <t>C-order for ChatGPT - AI Data Analytics Infra build up Project (PROD) [PO1102544] *Professional Service: HKD134,800
[19-Sep-2025] Inform Diva (sales) to issue C-order for the billing charge of PS Job [Helen]
[25-Sep-2025] Order Issued. Inform Lok arranges engineer(s) follow up the PS Job. Close CxS order on 25-Sep-2025 and notify Lok and HKT Pro cloud MS team that order has managed service T3 [Helen]</t>
    <phoneticPr fontId="11" type="noConversion"/>
  </si>
  <si>
    <t>http://10.10.10.209/OASIS_FILE_MANAGER/zip_files_download.php?qid=1480723&amp;serialno=UB25-00006300&amp;itemno=1&amp;token=d23f31f95c7e154f012227d36ac5a7e</t>
    <phoneticPr fontId="11" type="noConversion"/>
  </si>
  <si>
    <t>Resource Group Name:
rg-chatdata-dev-001
rg-chatdata-uat-001
MC_rg-chatdata-uat-001_aks-chatdata-uat-01_eastasia
MC_rg-chatdata-dev-001_aks-chatdata-dev-01_eastasia</t>
    <phoneticPr fontId="11" type="noConversion"/>
  </si>
  <si>
    <t>CL544197</t>
    <phoneticPr fontId="11" type="noConversion"/>
  </si>
  <si>
    <t>RN 234033/1-2</t>
    <phoneticPr fontId="11" type="noConversion"/>
  </si>
  <si>
    <t>SD11782523</t>
    <phoneticPr fontId="11" type="noConversion"/>
  </si>
  <si>
    <t>ChatGPT - AI Data Analytics Infra build up - Open AI Token (SQCC) [PO1102544]
[18-Sep-2025] Order Issued [Helen]
[19-Sep-2025] Close CxS order on 19-Sep-2025. Inform Lok and HKT Pro Cloud MS team that order has managed service T3 [Helen]</t>
    <phoneticPr fontId="11" type="noConversion"/>
  </si>
  <si>
    <t>Jerry Leung / Sunny Mak</t>
    <phoneticPr fontId="11" type="noConversion"/>
  </si>
  <si>
    <t>21146104 / 21146105</t>
    <phoneticPr fontId="11" type="noConversion"/>
  </si>
  <si>
    <t>admin1@firstbullion.com</t>
    <phoneticPr fontId="11" type="noConversion"/>
  </si>
  <si>
    <t>514190629973</t>
    <phoneticPr fontId="11" type="noConversion"/>
  </si>
  <si>
    <t>aws_admin@wellwell.com.hk</t>
    <phoneticPr fontId="11" type="noConversion"/>
  </si>
  <si>
    <t>8/F, Tower 2, Winland Square, 314-324 Hennessy Road, Wan Chai, Hong Kong</t>
    <phoneticPr fontId="11" type="noConversion"/>
  </si>
  <si>
    <t>CL544202</t>
    <phoneticPr fontId="11" type="noConversion"/>
  </si>
  <si>
    <t>RN 310157/1-2</t>
    <phoneticPr fontId="11" type="noConversion"/>
  </si>
  <si>
    <t>TI25-00007401\1(OM)</t>
  </si>
  <si>
    <t>SD11782857</t>
    <phoneticPr fontId="11" type="noConversion"/>
  </si>
  <si>
    <t>AWS account ID: 514190629973
[19-Sep-2025] Order Issued. Inform Wyman Wong (Sales) to follow up with customer to provide an AWS account ID for our team to process account migration by email [Helen]
[22-Sep-2025] Inform Kilson follow up AWS account migration with ingram [Helen]
[22-Sep-2025] Send invitation to customer by system and inform customer to accept invitation within 3 days [Kilson]
[22-Sep-2025] Customer has accepted invitation (SD11783667) [Kilson]
[13-Oct-2025] Receive cloudcheckr alert for AWS ID: 514190629973. Opt-out account in cloudcheckr platform and grant access to AWS account. Send welcome letter to customer (SD11788810)</t>
  </si>
  <si>
    <t>http://10.10.10.209/OASIS_FILE_MANAGER/zip_files_download.php?qid=1479134&amp;serialno=TI25-00007401&amp;itemno=1&amp;token=65d9bdc4f8c51deb655f4357572371ae</t>
  </si>
  <si>
    <t>Kester S C Leung</t>
    <phoneticPr fontId="11" type="noConversion"/>
  </si>
  <si>
    <t>210519479907</t>
    <phoneticPr fontId="11" type="noConversion"/>
  </si>
  <si>
    <t>aws_apdt_sqcc</t>
    <phoneticPr fontId="11" type="noConversion"/>
  </si>
  <si>
    <t>aws.hkiaapdt.sqcc@hkairport.com (sqcc)</t>
    <phoneticPr fontId="11" type="noConversion"/>
  </si>
  <si>
    <t>CL544204</t>
    <phoneticPr fontId="11" type="noConversion"/>
  </si>
  <si>
    <t>RN 764330/3-4</t>
    <phoneticPr fontId="11" type="noConversion"/>
  </si>
  <si>
    <t>UB25-00006234\1(OM)</t>
    <phoneticPr fontId="11" type="noConversion"/>
  </si>
  <si>
    <t>SD11783392</t>
    <phoneticPr fontId="11" type="noConversion"/>
  </si>
  <si>
    <t>HKAA - ZMINIWEB (APDT) Project (PO1102942) *Professional Service: HKD20,900
AWS Login email: aws.hkiaapdt.sqcc@hkairport.com (sqcc)
[22-Sep-2025] Receive cloudcheckr alert. Opt-out account. Inform Katie to call sales to issue order (SD11783211)
[19-Sep-2025] Order Issued. Inform Lok arranges engineer(s) follow up the PS Job by email [Helen]
[22-Sep-2025] Close CxS order on SRD date:22-Sep-2025 and notify Lok and HKT Pro Cloud MS team that order has managed service T3 [Helen]
[23-Sep-2025] Send order mapping to Katie by email [Helen]</t>
    <phoneticPr fontId="11" type="noConversion"/>
  </si>
  <si>
    <t>http://10.10.10.209/OASIS_FILE_MANAGER/zip_files_download.php?qid=1478990&amp;serialno=UB25-00006234&amp;itemno=1&amp;token=d23f31f95c7e154f012227d36ac5a7e2</t>
    <phoneticPr fontId="11" type="noConversion"/>
  </si>
  <si>
    <t>782683897546</t>
    <phoneticPr fontId="11" type="noConversion"/>
  </si>
  <si>
    <t>aws_apdt_prod</t>
    <phoneticPr fontId="11" type="noConversion"/>
  </si>
  <si>
    <t>aaws.hkiaapdt.socc@hkairport.com (PROD)</t>
    <phoneticPr fontId="11" type="noConversion"/>
  </si>
  <si>
    <t>CL544203</t>
    <phoneticPr fontId="11" type="noConversion"/>
  </si>
  <si>
    <t>RN 764330/1-2</t>
    <phoneticPr fontId="11" type="noConversion"/>
  </si>
  <si>
    <t>SD11783401</t>
    <phoneticPr fontId="11" type="noConversion"/>
  </si>
  <si>
    <t>HKAA - ZMINIWEB (APDT) Project (PO1102942) *Professional Service: HKD20,900
AWS Login email: aaws.hkiaapdt.socc@hkairport.com (PROD)
[22-Sep-2025] Receive cloudcheckr alert. Opt-out account. Inform Katie to call sales to issue order (SD11783211)
[19-Sep-2025] Order Issued. Inform Lok arranges engineer(s) follow up the PS Job by email [Helen]
[22-Sep-2025] Close CxS order on SRD date:22-Sep-2025 and notify Lok and HKT Pro Cloud MS team that order has managed service T3 [Helen]
[23-Sep-2025] Send order mapping to Katie by email [Helen]</t>
    <phoneticPr fontId="11" type="noConversion"/>
  </si>
  <si>
    <t>C-order for HKAA - ZMINIWEB (APDT) Project [PROD]</t>
    <phoneticPr fontId="11" type="noConversion"/>
  </si>
  <si>
    <t>RN 562982/1-2</t>
    <phoneticPr fontId="11" type="noConversion"/>
  </si>
  <si>
    <t>UB25-00006302\1(OM)</t>
    <phoneticPr fontId="11" type="noConversion"/>
  </si>
  <si>
    <t>SD11783500</t>
    <phoneticPr fontId="11" type="noConversion"/>
  </si>
  <si>
    <t>C-order for HKAA - ZMINIWEB (APDT) Project (PO1102942) *Professional Service: HKD20,900
AWS Login email: aaws.hkiaapdt.socc@hkairport.com (PROD)
[25-Sep-2025] Order Issued. Inform Lok arranges engineer(s) follow up the PS Job by email. Close CxS order on 25-Sep-2025 and notify Lok and HKT Pro cloud MS team that order has managed service T3 [Helen]</t>
    <phoneticPr fontId="11" type="noConversion"/>
  </si>
  <si>
    <t>http://10.10.10.209/OASIS_FILE_MANAGER/zip_files_download.php?qid=1480742&amp;serialno=UB25-00006302&amp;itemno=1&amp;token=d23f31f95c7e154f012227d36ac5a7e2</t>
    <phoneticPr fontId="11" type="noConversion"/>
  </si>
  <si>
    <t>Virginia Lau</t>
    <phoneticPr fontId="11" type="noConversion"/>
  </si>
  <si>
    <t>virginia.lau@hkairport.com</t>
    <phoneticPr fontId="11" type="noConversion"/>
  </si>
  <si>
    <t>Resource Group Name:
rg-wallet-backend-dev-001
rg-wallet-backend-uat-001
rg-wallet-frontend-dev-001
rg-wallet-frontend-uat-001
MC_rg-wallet-backend-dev-001_aks-wallet-backend-dev-01_eastasia</t>
    <phoneticPr fontId="11" type="noConversion"/>
  </si>
  <si>
    <t>CL544206</t>
    <phoneticPr fontId="11" type="noConversion"/>
  </si>
  <si>
    <t>RN 861439/1-2</t>
    <phoneticPr fontId="11" type="noConversion"/>
  </si>
  <si>
    <t>UB25-00006233\1(OM)</t>
    <phoneticPr fontId="11" type="noConversion"/>
  </si>
  <si>
    <t>SD11783455</t>
    <phoneticPr fontId="11" type="noConversion"/>
  </si>
  <si>
    <t>Digital Wallet Implementation Project (SQCC) (PO1102550) *Professional Service: HKD117,500
[22-Sep-2025] Order Issued [Helen]
[22-Sep-2025] Inform Lok arranges engineer(s) follow up the PS job and provide RG name for our record .Send order mapping to Katie by email [Helen]
[22-Sep-2025] Close CxS order on SRD date: 22-Sep-2025 and notify Lok and HKT Pro cCloud MS team that order has managed service T3 [Helen]</t>
    <phoneticPr fontId="11" type="noConversion"/>
  </si>
  <si>
    <t>http://10.10.10.209/OASIS_FILE_MANAGER/zip_files_download.php?qid=1478968&amp;serialno=UB25-00006233&amp;itemno=1&amp;token=d23f31f95c7e154f012227d36ac5a7e2</t>
    <phoneticPr fontId="11" type="noConversion"/>
  </si>
  <si>
    <t>CL544209</t>
    <phoneticPr fontId="11" type="noConversion"/>
  </si>
  <si>
    <t>RN 861439/3-4</t>
    <phoneticPr fontId="11" type="noConversion"/>
  </si>
  <si>
    <t>SD11783435</t>
    <phoneticPr fontId="11" type="noConversion"/>
  </si>
  <si>
    <t>Digital Wallet Implementation Project (PROD) (PO1102550) *Professional Service: HKD117,500
[22-Sep-2025] Order Issued [Helen]
[22-Sep-2025] Inform Lok arranges engineer(s) follow up the PS job and provide RG name for our record .Send order mapping to Katie by email [Helen]
[22-Sep-2025] Close CxS order on SRD date: 22-Sep-2025 and notify Lok and HKT Pro cCloud MS team that order has managed service T3 [Helen]</t>
    <phoneticPr fontId="11" type="noConversion"/>
  </si>
  <si>
    <t>C-order for Digital Wallet Implementation Project (PROD)</t>
    <phoneticPr fontId="11" type="noConversion"/>
  </si>
  <si>
    <t>RN 004807/3-4</t>
    <phoneticPr fontId="11" type="noConversion"/>
  </si>
  <si>
    <t>UB25-00006301\1(OM)</t>
    <phoneticPr fontId="11" type="noConversion"/>
  </si>
  <si>
    <t>SD11783475</t>
    <phoneticPr fontId="11" type="noConversion"/>
  </si>
  <si>
    <t>C-order for Digital Wallet Implementation Project (PROD) (PO1102550) *Professional Service: HKD117,500
[25-Sep-2025] Order Issued. Inform Lok arrange engineers(s) follow up the PS Job. Close CxS order n 25-Sep-2025 and notify Lok and HKT Pro Cloud MS team that order has managed service T3 [Helen]</t>
    <phoneticPr fontId="11" type="noConversion"/>
  </si>
  <si>
    <t>http://10.10.10.209/OASIS_FILE_MANAGER/zip_files_download.php?qid=1480733&amp;serialno=UB25-00006301&amp;itemno=1&amp;token=d23f31f95c7e154f012227d36ac5a7e2</t>
    <phoneticPr fontId="11" type="noConversion"/>
  </si>
  <si>
    <t>Max Shiu</t>
  </si>
  <si>
    <t>max.hk.shiu@hkcsl.com</t>
  </si>
  <si>
    <t>fb8e0cb7393245708d15f0a47fac56a0</t>
    <phoneticPr fontId="11" type="noConversion"/>
  </si>
  <si>
    <t>hid_e8raonc0i9tcs22</t>
  </si>
  <si>
    <t>[25-Sep-2025] Receive email request from Bonnie for Huawei account creation [Kelvin] (SD11784049)
[25-Sep-2025] Huawei account has created (Huawei ID: fb8e0cb7393245708d15f0a47fac56a0) [Kelvin]</t>
    <phoneticPr fontId="11" type="noConversion"/>
  </si>
  <si>
    <t>899673281595</t>
  </si>
  <si>
    <t>CTF_AIUAT</t>
  </si>
  <si>
    <t>[29-Sep-2025] Receive cloudcheckr alert.Opt-out account and inform Katie to call sales to issue order (SD11785004) [Helen]</t>
    <phoneticPr fontId="11" type="noConversion"/>
  </si>
  <si>
    <t>3969 3287</t>
    <phoneticPr fontId="11" type="noConversion"/>
  </si>
  <si>
    <t>HA account termination (SC2-ODC-DEV) [Case ID: MSPOC-889]
[29-Sep-2025] Receive email request from Nelson (HA) to request Huawei account termination. Acknowledged from Alex Chen (HKT-Cloud) with case ID: MSPOC-889 to follow up the progress update [Helen]</t>
    <phoneticPr fontId="11" type="noConversion"/>
  </si>
  <si>
    <t>Ryan Li</t>
  </si>
  <si>
    <t>9226 7707</t>
    <phoneticPr fontId="11" type="noConversion"/>
  </si>
  <si>
    <t>ryan.li@ayers.com.hk</t>
  </si>
  <si>
    <t xml:space="preserve">
01E607-792A2F-E07CB6</t>
    <phoneticPr fontId="11" type="noConversion"/>
  </si>
  <si>
    <t>joe.ng@ayers.com.hk</t>
    <phoneticPr fontId="11" type="noConversion"/>
  </si>
  <si>
    <t>28/F, Hundsun Intl Ctr, 44 Heung Yip Rd, Wong Chuk Hang, Aberdeen HK</t>
  </si>
  <si>
    <t>Billing account ID
01E607-792A2F-E07CB6</t>
    <phoneticPr fontId="11" type="noConversion"/>
  </si>
  <si>
    <t>CL544573</t>
    <phoneticPr fontId="11" type="noConversion"/>
  </si>
  <si>
    <t>RN 739462/1-2</t>
    <phoneticPr fontId="11" type="noConversion"/>
  </si>
  <si>
    <t>TI25-00007534\1(OM)</t>
    <phoneticPr fontId="11" type="noConversion"/>
  </si>
  <si>
    <t>SD11785256</t>
    <phoneticPr fontId="11" type="noConversion"/>
  </si>
  <si>
    <t>Billing account ID :01E607-792A2F-E07CB6
[29-Sep-2025] Order Issued. Inform Kelvin follow up new GCP account creation [Helen]
[29-Sep-2025] Send invitation to customer for collect google ID (SD11785269) [Kelvin]
[29-Sep-2025] Account created. [Kelvin]
[29-Sep-2025] Send Welcome Letter to customer. Close CxS order on 29-Sep-2025 [Helen]</t>
    <phoneticPr fontId="11" type="noConversion"/>
  </si>
  <si>
    <t>http://10.10.10.209/OASIS_FILE_MANAGER/zip_files_download.php?qid=1483349&amp;serialno=TI25-00007534&amp;itemno=1&amp;token=b6f242b3b71a4cce4c1b299b761b31f8</t>
    <phoneticPr fontId="11" type="noConversion"/>
  </si>
  <si>
    <t>google_cloud@chowtaifook.com</t>
    <phoneticPr fontId="11" type="noConversion"/>
  </si>
  <si>
    <t>01420A-67B98C-FF322A</t>
    <phoneticPr fontId="11" type="noConversion"/>
  </si>
  <si>
    <t>Billing account ID
01420A-67B98C-FF322A</t>
    <phoneticPr fontId="11" type="noConversion"/>
  </si>
  <si>
    <t>CL544604</t>
    <phoneticPr fontId="11" type="noConversion"/>
  </si>
  <si>
    <t>RN 181439/1-2</t>
    <phoneticPr fontId="11" type="noConversion"/>
  </si>
  <si>
    <t>UD25-00004701\1(OM)</t>
  </si>
  <si>
    <t>SD11786074</t>
    <phoneticPr fontId="11" type="noConversion"/>
  </si>
  <si>
    <t>Billing account ID :01E607-792A2F-E07CB6
[30-Sep-2025] Pre-Order.  GCP account created [Kelvin] SD11785635
[02-Oct-2025] Order Issued. Send Welcome Letter to customer. Close CXS order on SRD date: 02-Oct-2025 [Helen]</t>
    <phoneticPr fontId="11" type="noConversion"/>
  </si>
  <si>
    <t>http://10.10.10.209/OASIS_FILE_MANAGER/zip_files_download.php?qid=1484345&amp;serialno=UD25-00004701&amp;itemno=1&amp;token=a0c8a108bc53a5226eb959d601bf51be</t>
  </si>
  <si>
    <t>ITADMIN@BGCA.ORG.HK</t>
    <phoneticPr fontId="11" type="noConversion"/>
  </si>
  <si>
    <t>22019248 / 98815957</t>
    <phoneticPr fontId="11" type="noConversion"/>
  </si>
  <si>
    <t>KENNETH.TK.CHUI@BGCA.ORG.HK</t>
    <phoneticPr fontId="11" type="noConversion"/>
  </si>
  <si>
    <t>01797C-A5E210-198551</t>
    <phoneticPr fontId="11" type="noConversion"/>
  </si>
  <si>
    <t>6/F ,3 LOCKHART ROAD,WAN CHAI, HONG KONG</t>
  </si>
  <si>
    <t>Billing Account ID
01797C-A5E210-198551</t>
  </si>
  <si>
    <t>CL544684</t>
    <phoneticPr fontId="11" type="noConversion"/>
  </si>
  <si>
    <t>RN 738022/1-2</t>
    <phoneticPr fontId="11" type="noConversion"/>
  </si>
  <si>
    <t>UA25-00004151\1(OM)</t>
    <phoneticPr fontId="11" type="noConversion"/>
  </si>
  <si>
    <t>SD11786466</t>
    <phoneticPr fontId="11" type="noConversion"/>
  </si>
  <si>
    <t>Billing account ID :01797C-A5E210-198551
[03-Oct-2025] Order Issued. Inform Kelvin follow up with customer to create new GCP billing account (SD11786485) [Helen]
[03-Oct-2025] Send invitation to customer for collect google ID (SD11786485) [Kelvin]
[03-Oct-2025] GCP account created [Kelvin]
[08-Oct-2025] Send Welcome Letter to customer. Close CxS order on 08-Oct-2025</t>
  </si>
  <si>
    <t>http://10.10.10.209/OASIS_FILE_MANAGER/zip_files_download.php?qid=1485184&amp;serialno=UA25-00004151&amp;itemno=1&amp;token=6963c022ffb8f3bdc29b9b0b9127c32f</t>
    <phoneticPr fontId="11" type="noConversion"/>
  </si>
  <si>
    <t>Andrew Fung</t>
    <phoneticPr fontId="11" type="noConversion"/>
  </si>
  <si>
    <t>2753 2646</t>
    <phoneticPr fontId="11" type="noConversion"/>
  </si>
  <si>
    <t>andrew.fung@hactl.com</t>
    <phoneticPr fontId="11" type="noConversion"/>
  </si>
  <si>
    <t>01AB11-C8A93E-8A6DA9</t>
    <phoneticPr fontId="11" type="noConversion"/>
  </si>
  <si>
    <t>Floor 4, North Office Tower, SuperTerminal 1, 9 Chun Wan Road, Hong Kong International Airport</t>
    <phoneticPr fontId="11" type="noConversion"/>
  </si>
  <si>
    <t>Billing Account ID
01AB11-C8A93E-8A6DA9</t>
  </si>
  <si>
    <t>CL544769</t>
    <phoneticPr fontId="11" type="noConversion"/>
  </si>
  <si>
    <t>RN 785791/1-2</t>
    <phoneticPr fontId="11" type="noConversion"/>
  </si>
  <si>
    <t>UC25-00007273\1(OM)</t>
    <phoneticPr fontId="11" type="noConversion"/>
  </si>
  <si>
    <t>SD11787515</t>
    <phoneticPr fontId="11" type="noConversion"/>
  </si>
  <si>
    <t>Billing Account ID: 01AB11-C8A93E-8A6DA9
[08-Oct-2025] Order Issued. Kelvin will follow up with customer to create new GCP billing account  [Helen]
[08-Oct-2025]  Send invitation to customer for collect google ID (SD11787514) [Kelvin]
[09-Oct-2025] GCP account created [Kelvin]
[09-Oct-2025] Send welcome letter to customer. Close CxS order on SRD date: 09-Oct-2025 [Helen]</t>
  </si>
  <si>
    <t>http://10.10.10.209/OASIS_FILE_MANAGER/zip_files_download.php?qid=1485445&amp;serialno=UC25-00007273&amp;itemno=1&amp;token=b48aaf9389272a221f346aa78283d332</t>
    <phoneticPr fontId="11" type="noConversion"/>
  </si>
  <si>
    <t>Ben Yip</t>
  </si>
  <si>
    <t>2302 6155</t>
    <phoneticPr fontId="11" type="noConversion"/>
  </si>
  <si>
    <t>ben.yip@modernbeautysalon.com</t>
    <phoneticPr fontId="11" type="noConversion"/>
  </si>
  <si>
    <t>012C69-F16424-037AF1</t>
    <phoneticPr fontId="11" type="noConversion"/>
  </si>
  <si>
    <t>modernitd2025@gmail.com</t>
    <phoneticPr fontId="11" type="noConversion"/>
  </si>
  <si>
    <t>6/F, Sino Inductrial Plaza, 9 Kai Cheung Road, KLN</t>
  </si>
  <si>
    <t>Billing Account ID
012C69-F16424-037AF1</t>
    <phoneticPr fontId="11" type="noConversion"/>
  </si>
  <si>
    <t>CL544904</t>
    <phoneticPr fontId="11" type="noConversion"/>
  </si>
  <si>
    <t>RN 601770/1-2</t>
    <phoneticPr fontId="11" type="noConversion"/>
  </si>
  <si>
    <t>UC25-00007385\1(OM)</t>
    <phoneticPr fontId="11" type="noConversion"/>
  </si>
  <si>
    <t>SD11788829</t>
    <phoneticPr fontId="11" type="noConversion"/>
  </si>
  <si>
    <t>Billing Account ID: 012C69-F16424-037AF1
[10-Oct-2025] Order Issued [Helen]
[13-Oct-2025] Kelvin will follow up new GCP account creation with customer by email [Helen]
[13-Oct-2025]  Send invitation to customer for collect google ID (SD11788833) [Kelvin]
[13-Oct-2025] GCP account created [Kelvin]
[13-Oct-2025] Send Welcome Letter to customer close CxS order on 13-Oct-2025 [Helen]</t>
  </si>
  <si>
    <t>http://10.10.10.209/OASIS_FILE_MANAGER/zip_files_download.php?qid=1487891&amp;serialno=UC25-00007385&amp;itemno=1&amp;token=d5930855ed8007f89d9b460d9cfb7a29</t>
    <phoneticPr fontId="11" type="noConversion"/>
  </si>
  <si>
    <t>Dana Nam</t>
    <phoneticPr fontId="11" type="noConversion"/>
  </si>
  <si>
    <t>dana.nam@hkairport.com</t>
    <phoneticPr fontId="11" type="noConversion"/>
  </si>
  <si>
    <t>HKAA - AI Foundry Project (PROD Platform)</t>
    <phoneticPr fontId="11" type="noConversion"/>
  </si>
  <si>
    <t>CL544926</t>
    <phoneticPr fontId="11" type="noConversion"/>
  </si>
  <si>
    <t>RN 050521/1-2</t>
    <phoneticPr fontId="11" type="noConversion"/>
  </si>
  <si>
    <t>UB25-00006668\1(OM)</t>
    <phoneticPr fontId="11" type="noConversion"/>
  </si>
  <si>
    <t>SD11788937</t>
    <phoneticPr fontId="11" type="noConversion"/>
  </si>
  <si>
    <t>HKAA - AI Foundry Project (PROD Platform) (PO1103879) *Professional Service: HKD27,400
[13-Oct-2025] Order Issued. Inform Lok arrange engineer(s) follow up the PS Job by email [Helen]
[13-Oct-2025] Close CxS order on 13-Oct-2025. Inform Diva to issue C-order for the billing charges of PS Job</t>
    <phoneticPr fontId="11" type="noConversion"/>
  </si>
  <si>
    <t>http://10.10.10.209/OASIS_FILE_MANAGER/zip_files_download.php?qid=1489594&amp;serialno=UB25-00006668&amp;itemno=1&amp;token=d23f31f95c7e154f012227d36ac5a7e2</t>
    <phoneticPr fontId="11" type="noConversion"/>
  </si>
  <si>
    <t>C-order for HKAA - AI Foundry Project (PROD Platform)</t>
    <phoneticPr fontId="11" type="noConversion"/>
  </si>
  <si>
    <t>RN 829307/1-2</t>
    <phoneticPr fontId="11" type="noConversion"/>
  </si>
  <si>
    <t>UB25-00006844\1(OM)</t>
    <phoneticPr fontId="11" type="noConversion"/>
  </si>
  <si>
    <t>SD11788976</t>
    <phoneticPr fontId="11" type="noConversion"/>
  </si>
  <si>
    <t>C-order for HKAA - AI Foundry Project (PROD Platform) (PO1103879)
[13-Oct-2025] Inform Diva to issue C-order for the billing charges of PS Job by email [Helen]
[17-Oct-2025] Order Issued. Inform Lok arranges engineer(s) follow up the PS Job by email. Close CxS order on 17-Oct-2025 and notify Lok and HKT Pro Cloud MS team that order has managed service T3 [Helen]</t>
  </si>
  <si>
    <t>http://10.10.10.209/OASIS_FILE_MANAGER/zip_files_download.php?qid=1492211&amp;serialno=UB25-00006844&amp;itemno=1&amp;token=d23f31f95c7e154f012227d36ac5a7e2</t>
    <phoneticPr fontId="11" type="noConversion"/>
  </si>
  <si>
    <t>rg-aifoundry-uat-001</t>
    <phoneticPr fontId="11" type="noConversion"/>
  </si>
  <si>
    <t>CL544944</t>
    <phoneticPr fontId="11" type="noConversion"/>
  </si>
  <si>
    <t>RN 050521/3-4</t>
    <phoneticPr fontId="11" type="noConversion"/>
  </si>
  <si>
    <t>UB25-00006668\1(OM)</t>
  </si>
  <si>
    <t>SD11788973</t>
    <phoneticPr fontId="11" type="noConversion"/>
  </si>
  <si>
    <t>HKAA - AI Foundry Project (Testing Platform) (PO1103879)
[13-Oct-2025] Order Issued. Close CxS order on 13-Oct-2025 [Helen]</t>
    <phoneticPr fontId="11" type="noConversion"/>
  </si>
  <si>
    <t>696505919154</t>
    <phoneticPr fontId="11" type="noConversion"/>
  </si>
  <si>
    <t>CD1-SED-DEV</t>
    <phoneticPr fontId="11" type="noConversion"/>
  </si>
  <si>
    <t>cd1seddev@ha.org.hk</t>
    <phoneticPr fontId="11" type="noConversion"/>
  </si>
  <si>
    <t>IT&amp;HID, HA Head Office 3/F, Multi-Service Centre, 30 Gascoigne Road, Kowloon</t>
    <phoneticPr fontId="11" type="noConversion"/>
  </si>
  <si>
    <t xml:space="preserve">Billing Recipient Name: Barbara YEUNG, HOIT&amp;HI SM(CP)7
Billing Recipient Email Address: cd1seddev@ha.org.hk; kelvinlam@ha.org.hk ; barbara.yeung@ha.org.hk </t>
    <phoneticPr fontId="11" type="noConversion"/>
  </si>
  <si>
    <t>HA - AWS Cloud account termination: CD1-SED-DEV (AWS ID: 696505919154) [Case ID: MSPOC-958]
[22-Oct-2025] Receive email request from Nelson (HA) for AWS account termination
[31-Oct-2025] Account termination has been done by Lok [Helen]</t>
    <phoneticPr fontId="11" type="noConversion"/>
  </si>
  <si>
    <t>027660637482</t>
    <phoneticPr fontId="11" type="noConversion"/>
  </si>
  <si>
    <t>[27-Oct-2025] Receive Cloudcheckr alert for AWS ID: 027660637482. Opt-out account and inform Katie to confirm with sales to see if any order will issue (SD11792645)</t>
    <phoneticPr fontId="11" type="noConversion"/>
  </si>
  <si>
    <t>Rex Law</t>
    <phoneticPr fontId="11" type="noConversion"/>
  </si>
  <si>
    <t>rexlaw@maxims.com.hk</t>
    <phoneticPr fontId="11" type="noConversion"/>
  </si>
  <si>
    <t>Billing account ID: 013933-F2938A-CC207B</t>
    <phoneticPr fontId="11" type="noConversion"/>
  </si>
  <si>
    <t>Billing Admin: 
maxims.digitalteam@gmail.com
Billing user:
ringusds.genki@gmail.com, shakeshackhk@gmail.com</t>
  </si>
  <si>
    <t>18/F, Maxim's Centre, No.17 Cheung Shun Street, Cheung Sha Wan, Kowloon, Hong Kong</t>
  </si>
  <si>
    <t>CL543090</t>
    <phoneticPr fontId="11" type="noConversion"/>
  </si>
  <si>
    <t>RN 548847/1-2</t>
    <phoneticPr fontId="11" type="noConversion"/>
  </si>
  <si>
    <t>UE25-00005355\1(OM)</t>
  </si>
  <si>
    <t>SD11803006</t>
    <phoneticPr fontId="11" type="noConversion"/>
  </si>
  <si>
    <t>GCP Billing account ID: 013933-F2938A-CC207B (Google API total annual charges HKD90,000)
[30-Oct-2025] GCP account created (SD11793613) [Kelvin]
[02-Dec-2025] Order Issued [Helen]
[03-Dec-2025] Send Welcome Letter to customer. Close CxS order on SRD date: 28-Nov-2025 [Helen]</t>
    <phoneticPr fontId="11" type="noConversion"/>
  </si>
  <si>
    <t>http://10.10.10.209/OASIS_FILE_MANAGER/zip_files_download.php?qid=1512817&amp;serialno=UE25-00005355&amp;itemno=1&amp;token=09d9886beec4eac749bc3afe3b2c0da9</t>
  </si>
  <si>
    <t>Jenny Fung</t>
    <phoneticPr fontId="11" type="noConversion"/>
  </si>
  <si>
    <t>2856 8599</t>
    <phoneticPr fontId="11" type="noConversion"/>
  </si>
  <si>
    <t>jennyfung@consumer.org.hk</t>
    <phoneticPr fontId="11" type="noConversion"/>
  </si>
  <si>
    <t>CONSUMER COUNCIL</t>
    <phoneticPr fontId="11" type="noConversion"/>
  </si>
  <si>
    <t>5048862240423703</t>
    <phoneticPr fontId="11" type="noConversion"/>
  </si>
  <si>
    <t>alicloud@consumer.org.hk</t>
    <phoneticPr fontId="11" type="noConversion"/>
  </si>
  <si>
    <t>20/F, 633 King's Road, North Point</t>
    <phoneticPr fontId="11" type="noConversion"/>
  </si>
  <si>
    <t>CL540170</t>
    <phoneticPr fontId="11" type="noConversion"/>
  </si>
  <si>
    <t>RN 598970/1-2</t>
    <phoneticPr fontId="11" type="noConversion"/>
  </si>
  <si>
    <t>UA25-00004615\1(OM)</t>
    <phoneticPr fontId="11" type="noConversion"/>
  </si>
  <si>
    <t>SD11794648</t>
    <phoneticPr fontId="11" type="noConversion"/>
  </si>
  <si>
    <t>Alibaba New Account Creation
[04-Nov-2025] Order Issued. Inform Kelvin create an alibaba account by email [Helen]
[04-Nov-2025] Send invitation to customer for account registration (Set credit 1500USD) [Kelvin] (SD11794666)
[04-Nov-2025] Account created UID: 5048862240423703 [Kelvin]
[04-Nov-2025] Welcome Letter has sent to customer. Close CxS order on SRD date: 31-Oct-2025. Inform Lok and HKT Pro Cloud MS team that order has managed service T3 [Helen]</t>
  </si>
  <si>
    <t>http://10.10.10.209/OASIS_FILE_MANAGER/zip_files_download.php?qid=1499099&amp;serialno=UA25-00004615&amp;itemno=1&amp;token=0405ba589f27d6822cfba7cbf55883a9</t>
    <phoneticPr fontId="11" type="noConversion"/>
  </si>
  <si>
    <t>Pending Closure</t>
  </si>
  <si>
    <t>Allen Wong</t>
    <phoneticPr fontId="11" type="noConversion"/>
  </si>
  <si>
    <t>ftd-cstcb-for-f-office@police.gov.hk</t>
  </si>
  <si>
    <t>HONG KONG POLICE FORCE</t>
    <phoneticPr fontId="11" type="noConversion"/>
  </si>
  <si>
    <t>634413598817</t>
  </si>
  <si>
    <t>CSTCB</t>
    <phoneticPr fontId="11" type="noConversion"/>
  </si>
  <si>
    <t>CSTCB2024@gmail.com</t>
  </si>
  <si>
    <t>22/F, Arsenal House, 1 Arsenal Street, Wan Chai, Hong Kong</t>
    <phoneticPr fontId="11" type="noConversion"/>
  </si>
  <si>
    <t>CL540160</t>
    <phoneticPr fontId="11" type="noConversion"/>
  </si>
  <si>
    <t>RN 577579/1-2</t>
    <phoneticPr fontId="11" type="noConversion"/>
  </si>
  <si>
    <t>UC25-00007952\1(OM)</t>
    <phoneticPr fontId="11" type="noConversion"/>
  </si>
  <si>
    <t>SD11794667</t>
    <phoneticPr fontId="11" type="noConversion"/>
  </si>
  <si>
    <t>AWS Account Migration for AWS ID: 634413598817 (root login email: CSTCB2024@gmail.com)
[04-Nov-2025] Order Issued. Inform Kelvin works with ingram to request account migration for AWS ID: 634413598817 by email [Helen]
[04-Nov-2025] Send invitation to customer by system and inform customer to accept invitation within 3 days [Kelvin]  (SD11794706)
[04-Nov-2025] Customer accepted. Pending create Billing account in Cloudchekr then send welcome letter to customer [Kelvin]
[04-Nov-2025] Close CxS order on SRD date: 31-Oct-2025 [Helen]</t>
  </si>
  <si>
    <t>http://10.10.10.209/OASIS_FILE_MANAGER/zip_files_download.php?qid=1499118&amp;serialno=UC25-00007952&amp;itemno=1&amp;token=5ec2997e53fb37238f0358c51f50024f</t>
    <phoneticPr fontId="11" type="noConversion"/>
  </si>
  <si>
    <t>516725542344</t>
    <phoneticPr fontId="11" type="noConversion"/>
  </si>
  <si>
    <t>AWS ID: 516725542344 (Maxim's Payer)
[10-Nov-2025] Receive cloudcheckr email alert. Inform Katie calls sales to issue order (SD11796252) [Helen]</t>
  </si>
  <si>
    <t>Ray Lo</t>
    <phoneticPr fontId="11" type="noConversion"/>
  </si>
  <si>
    <t>ray.lo@optimist-tect.com</t>
    <phoneticPr fontId="11" type="noConversion"/>
  </si>
  <si>
    <t>5867863479262990</t>
    <phoneticPr fontId="11" type="noConversion"/>
  </si>
  <si>
    <t>ray.lo@optimist-tech.com</t>
    <phoneticPr fontId="11" type="noConversion"/>
  </si>
  <si>
    <t>Flat G, 5/F, Foong Shan Mansion, Taikoo Shing, Quarry Bay, Hong Kong</t>
    <phoneticPr fontId="11" type="noConversion"/>
  </si>
  <si>
    <t>CL541213</t>
    <phoneticPr fontId="11" type="noConversion"/>
  </si>
  <si>
    <t>RN 581596/1-2</t>
    <phoneticPr fontId="11" type="noConversion"/>
  </si>
  <si>
    <t>TI25-00008867\1(OM)</t>
    <phoneticPr fontId="11" type="noConversion"/>
  </si>
  <si>
    <t>SD11797411</t>
  </si>
  <si>
    <t>Alibaba new account (POC account)
[13-Nov-2025] Order Issued
[13-Nov-2025] Send invitation to customer for account registration (Set credit $0) [Kelvin] (SD11797460)
[19-Nov-2025]Account created UID: 5867863479262990 [Kelvin]
[19-Nov-2025] Send Welcome Letter to customer. Close CxS order on SRD date: 17-Nov-2025 {Helen]</t>
  </si>
  <si>
    <t>http://10.10.10.209/OASIS_FILE_MANAGER/zip_files_download.php?qid=1506400&amp;serialno=TI25-00008867&amp;itemno=1&amp;token=20d13e571b52f93cb731bae5ff38616e</t>
    <phoneticPr fontId="11" type="noConversion"/>
  </si>
  <si>
    <t>Whisky Li</t>
  </si>
  <si>
    <t>2883 8965 / 5712 0696</t>
  </si>
  <si>
    <t>whisky.zh.li@pccw.com</t>
  </si>
  <si>
    <t>571938892725</t>
  </si>
  <si>
    <t>tech.support@hkcsl.com</t>
  </si>
  <si>
    <t>Floor23,TTW</t>
  </si>
  <si>
    <t>AWS Account Migration for AWS ID: 571938892725 (root login email: tech.support@hkcsl.com)
[14-Nov-2025] Send invitation to customer by system and inform customer to accept invitation within 3 days [Kelvin]  (SD11797678)
[14-Nov-2025] Customer accepted, pending create cloudcheckr account [Kelvin]
[16-Feb-2026] Receive cloudcheckr alert. Opt-out account in cloudcheckr platform. Inform Katie to check if any order for this AWS ID. If yes, call sales to issue order [Helen] {SD11824425}</t>
    <phoneticPr fontId="11" type="noConversion"/>
  </si>
  <si>
    <t>NEW WORLD CORPORATE SERVICES LIMITED</t>
    <phoneticPr fontId="11" type="noConversion"/>
  </si>
  <si>
    <t>103776053311</t>
    <phoneticPr fontId="11" type="noConversion"/>
  </si>
  <si>
    <t>nwdaws_network</t>
    <phoneticPr fontId="11" type="noConversion"/>
  </si>
  <si>
    <t>aws_network@nwd.com.hk</t>
    <phoneticPr fontId="11" type="noConversion"/>
  </si>
  <si>
    <t>CL542609</t>
    <phoneticPr fontId="11" type="noConversion"/>
  </si>
  <si>
    <t>RN 091247/1-2</t>
    <phoneticPr fontId="11" type="noConversion"/>
  </si>
  <si>
    <t>UE25-00005226\1(OM)</t>
    <phoneticPr fontId="11" type="noConversion"/>
  </si>
  <si>
    <t>SD11802481</t>
  </si>
  <si>
    <t>AWS ID: 103776053311
CPPO PRICE Total: USD 161,574 one off (Margin: USD 12,926)
[25-Nov-2025] Order Issued. Confirm with sales no PS Job for this order. Close CxS order on SRD date: 25-Nov-2025</t>
    <phoneticPr fontId="11" type="noConversion"/>
  </si>
  <si>
    <t>http://10.10.10.209/OASIS_FILE_MANAGER/zip_files_download.php?qid=1509342&amp;serialno=UE25-00005226&amp;itemno=1&amp;token=3a577825b6b079b72327513261726934</t>
    <phoneticPr fontId="11" type="noConversion"/>
  </si>
  <si>
    <t>Choi Ting Fung</t>
    <phoneticPr fontId="11" type="noConversion"/>
  </si>
  <si>
    <t>conan.choi@crypto.com</t>
    <phoneticPr fontId="11" type="noConversion"/>
  </si>
  <si>
    <t>5245842154475126</t>
    <phoneticPr fontId="11" type="noConversion"/>
  </si>
  <si>
    <t>sec-it-infra-admin@crypto.com</t>
    <phoneticPr fontId="11" type="noConversion"/>
  </si>
  <si>
    <t>1505-1507, 15/F, Pacific Place, 418 DES VOEUX RD, West Sai Wan, HK</t>
    <phoneticPr fontId="11" type="noConversion"/>
  </si>
  <si>
    <t>RN 589741/1-2</t>
    <phoneticPr fontId="11" type="noConversion"/>
  </si>
  <si>
    <t>TI25-00009220\1(OM)</t>
    <phoneticPr fontId="11" type="noConversion"/>
  </si>
  <si>
    <t>SD11804865</t>
    <phoneticPr fontId="11" type="noConversion"/>
  </si>
  <si>
    <t>Alibaba Account Termination (UID: 5245842154475126)
[02-Dec-2025] Order Issued [Helen]
[02-Dec-2025] Confirm with Josephine (sales) both Alibaba UIDs will terminate, waiting to amend order issued [Helen]
[10-Dec-2025] Order re-issued with 2 CL no. [Helen]. Inform Kilson shutdown 2 alibaba account IDs (SD11805303) [Helen]
[10-Dec-2025] Account termination has done by Kilson (SD11805303). Close CxS order on SRD date: 01-Dec-2025 [Helen]</t>
    <phoneticPr fontId="11" type="noConversion"/>
  </si>
  <si>
    <t>http://10.10.10.209/OASIS_FILE_MANAGER/zip_files_download.php?qid=1520626&amp;serialno=TI25-00009220&amp;itemno=1&amp;token=a327c543c1f68300421f4d77f1df956f</t>
    <phoneticPr fontId="11" type="noConversion"/>
  </si>
  <si>
    <t>RN 400318/1-2</t>
    <phoneticPr fontId="11" type="noConversion"/>
  </si>
  <si>
    <t>SD11803025</t>
    <phoneticPr fontId="11" type="noConversion"/>
  </si>
  <si>
    <t>Alibaba Account Termination (UID: 5426834572129545)
[02-Dec-2025] Confirm with Josephine (sales) both Alibaba UIDs will terminate, waiting to amend order issued [Helen]
[10-Dec-2025] Order re-issued with 2 CL no. [Helen]. Inform Kilson shutdown 2 alibaba account IDs [Helen]
[10-Dec-2025] Account termination has done by Kilson (SD11805303). Close CxS order on SRD date: 01-Dec-2025 [Helen]</t>
    <phoneticPr fontId="11" type="noConversion"/>
  </si>
  <si>
    <t>RN 305900/1-2</t>
    <phoneticPr fontId="11" type="noConversion"/>
  </si>
  <si>
    <t>UD25-00005746\1(OM)</t>
  </si>
  <si>
    <t>SD11803148</t>
    <phoneticPr fontId="11" type="noConversion"/>
  </si>
  <si>
    <t>Alibaba Account Termination UAT (UID: 5434651575160564)
[02-Dec-2025] Order Issued [Helen]
[03-Dec-2025] Inform Kilson terminates Alibaba ID by email [Helen]
[04-Dec-2025] Confirm with Kilson,  Alibaba account ID: 5434651575160564 has been shutdown (SD11805317). Close CxS order on SRD date: 19-Nov-2025 [Helen]</t>
    <phoneticPr fontId="11" type="noConversion"/>
  </si>
  <si>
    <r>
      <t>http://10.10.10.209/OASIS_FILE_MANAGER/zip_files_download.php?qid=1517194&amp;serialno=UD25-00005746&amp;itemno=1&amp;token=d2fcc63539ab421111515b95e3d48e8c</t>
    </r>
    <r>
      <rPr>
        <u/>
        <sz val="11"/>
        <color theme="10"/>
        <rFont val="Aptos Narrow"/>
        <family val="1"/>
        <charset val="136"/>
        <scheme val="minor"/>
      </rPr>
      <t xml:space="preserve"> </t>
    </r>
  </si>
  <si>
    <t>Address: 25/F , World Peace centre, 41-55 Wo Tong Tsui St, Kwai Chung, NT</t>
  </si>
  <si>
    <t>RN 305900/3-4</t>
    <phoneticPr fontId="11" type="noConversion"/>
  </si>
  <si>
    <t>Alibaba Account Termination PROD (UID: 5094051574972847)
[02-Dec-2025] Order Issued [Helen]
[03-Dec-2025] Inform Kilson terminates Alibaba ID by email [Helen]
[04-Dec-2025] Confirm with Kilson,  Alibaba account ID: 5094051574972847 has been shutdown (SD11805317). Close CxS order on SRD date: 19-Nov-2025 [Helen]</t>
    <phoneticPr fontId="11" type="noConversion"/>
  </si>
  <si>
    <t>368463523613</t>
    <phoneticPr fontId="11" type="noConversion"/>
  </si>
  <si>
    <t>Tmark_Webapp_UAT</t>
    <phoneticPr fontId="11" type="noConversion"/>
  </si>
  <si>
    <t>aws_tmarkwebappuat@chowtaifook.com</t>
    <phoneticPr fontId="11" type="noConversion"/>
  </si>
  <si>
    <t>CL555219</t>
    <phoneticPr fontId="11" type="noConversion"/>
  </si>
  <si>
    <t>RN 305900/5-6</t>
    <phoneticPr fontId="11" type="noConversion"/>
  </si>
  <si>
    <t>SD11803168</t>
    <phoneticPr fontId="11" type="noConversion"/>
  </si>
  <si>
    <t>AWS Account Termination:  Tmark_Webapp_UAT (UID: 368463523613) [Case ID: MSPOC-1093]
[02-Dec-2025] Order Issued [Helen]
[03-Dec-2025] Inform HKT EMS team to follow up order termination for AWS IDs with CTF by email (Case ID: MSPOC-1093) [Helen]
[16-Dec-2025] Confirm with Alex Chen (HKT), case ID: MSPOC-1093 is closed. Close CxS order on SRD date: 19-Nov-2025</t>
    <phoneticPr fontId="11" type="noConversion"/>
  </si>
  <si>
    <t>945458770709</t>
    <phoneticPr fontId="11" type="noConversion"/>
  </si>
  <si>
    <t>Tmark_Webapp_Production</t>
    <phoneticPr fontId="11" type="noConversion"/>
  </si>
  <si>
    <t>AWS_tmarkwebapppro@chowtaifook.com</t>
    <phoneticPr fontId="11" type="noConversion"/>
  </si>
  <si>
    <t>RN 305900/7-8</t>
    <phoneticPr fontId="11" type="noConversion"/>
  </si>
  <si>
    <t>SD11803168</t>
  </si>
  <si>
    <t>AWS Account Termination: Tmark_Webapp_Production (UID: 945458770709) [Case ID: MSPOC-1093]
[02-Dec-2025] Order Issued [Helen]
[03-Dec-2025] Inform HKT EMS team to follow up order termination for AWS IDs with CTF by email (Case ID: MSPOC-1093) [Helen]
[16-Dec-2025] Confirm with Alex Chen (HKT), case ID: MSPOC-1093 is closed. Close CxS order on SRD date: 19-Nov-2025</t>
    <phoneticPr fontId="11" type="noConversion"/>
  </si>
  <si>
    <t>5661764844802828</t>
    <phoneticPr fontId="11" type="noConversion"/>
  </si>
  <si>
    <t>alicloud_sensordata@chowtaifook.com</t>
    <phoneticPr fontId="11" type="noConversion"/>
  </si>
  <si>
    <t>CL546808</t>
    <phoneticPr fontId="11" type="noConversion"/>
  </si>
  <si>
    <t>RN 236228/3-4</t>
    <phoneticPr fontId="11" type="noConversion"/>
  </si>
  <si>
    <t>UD26-00000220\1(OM)</t>
    <phoneticPr fontId="11" type="noConversion"/>
  </si>
  <si>
    <t>SD11817045</t>
    <phoneticPr fontId="11" type="noConversion"/>
  </si>
  <si>
    <t>Alibaba new account creation
[03-Dec-2025] Receive email request from Bonnie for Alibaba new account creation (SD11803396) [Kilson]
[03-Dec-2025] Account created and send invitation to customer [Kilson]
[22-Jan-2026] Order Issued. Send welcome letter to customer. Close CxS order on 22-Jan-2026 and notify Lok and HKT Pro Cloud MS team that order has managed service T3 [Helen]</t>
    <phoneticPr fontId="11" type="noConversion"/>
  </si>
  <si>
    <t>http://10.10.10.209/OASIS_FILE_MANAGER/zip_files_download.php?qid=1541193&amp;serialno=UD26-00000220&amp;itemno=1&amp;token=d2fcc63539ab421111515b95e3d48e8c</t>
    <phoneticPr fontId="11" type="noConversion"/>
  </si>
  <si>
    <t>RN 184160/1-2</t>
    <phoneticPr fontId="11" type="noConversion"/>
  </si>
  <si>
    <t>UB25-00008036\1(OM)</t>
  </si>
  <si>
    <t>SD11803895</t>
    <phoneticPr fontId="11" type="noConversion"/>
  </si>
  <si>
    <t>Alibaba Account Termination: 5515147635646605 (cp.it@commercialpress.com.hk)
[04-Dec-2025] Order Issued. Clarifying Alibaba termination UID with Stephen Leung by email [Helen]
[10-Dec-2025] Alibaba ID: 5515147635646605 has already shut down by someone [Kilson] (SD11805292)
[10-Dec-2025] Close CxS order on SRD date: 10-Dec-2025 [Helen]</t>
    <phoneticPr fontId="11" type="noConversion"/>
  </si>
  <si>
    <t>http://10.10.10.209/OASIS_FILE_MANAGER/zip_files_download.php?qid=1517748&amp;serialno=UB25-00008036&amp;itemno=1&amp;token=61ab8cd8d23432b22af0854ed48ab6cf</t>
    <phoneticPr fontId="11" type="noConversion"/>
  </si>
  <si>
    <t>nelson.wong@ha.org.hk</t>
  </si>
  <si>
    <t>317412804065</t>
    <phoneticPr fontId="11" type="noConversion"/>
  </si>
  <si>
    <t>CP12-HAGO-CORE-HABOT-SIT</t>
    <phoneticPr fontId="11" type="noConversion"/>
  </si>
  <si>
    <t>hagohabotcssit@ha.org.hk</t>
    <phoneticPr fontId="11" type="noConversion"/>
  </si>
  <si>
    <t>1/F, HAHO IT&amp;HID office, Multi-service Centre, 30 Gascoigne Road, Kowloon</t>
    <phoneticPr fontId="11" type="noConversion"/>
  </si>
  <si>
    <t>Billing Recipient Name: Deep MAN, HOIT&amp;HI CSA(CP13)2
Billing Recipient Email Address: hagohabotcssit@ha.org.hk; psm491@ha.org.hk; jackie.chan@ha.org.hk</t>
    <phoneticPr fontId="11" type="noConversion"/>
  </si>
  <si>
    <t>HA AWS account termination (CP12-HAGO-CORE-HABOT-SIT) [Case ID: MSPOC-1097]
[05-Dec-2025] Receive email request from Nelson (HA) to request Huawei account termination. Acknowledged from Alex Chen (HKT-Cloud) with case ID: MSPOC-1097 to follow up the progress update [Helen]
[10-Dec-2025] Nelson (HA) has arranged zoom meeting with corresponding HKT colleagues on 10-Dec-2025 at 3:00pm for account termination
[10-Dec-2025] Account Termination has been done by Jason Chiang [Helen]</t>
    <phoneticPr fontId="11" type="noConversion"/>
  </si>
  <si>
    <t>952464488813</t>
    <phoneticPr fontId="11" type="noConversion"/>
  </si>
  <si>
    <t>CDC1-HAGO-CORE-HABOT-PRD</t>
    <phoneticPr fontId="11" type="noConversion"/>
  </si>
  <si>
    <t>hagohabotsubsprd@ha.org.hk</t>
    <phoneticPr fontId="11" type="noConversion"/>
  </si>
  <si>
    <t>Billing Recipient Name: Debby PUI, HOIT&amp;HI SA(CDC1)4
Billing Recipient Email Address: hagohabotsubsprd@ha.org.hk; puiyt@ha.org.hk; dhmlam@ha.org.hk</t>
    <phoneticPr fontId="11" type="noConversion"/>
  </si>
  <si>
    <t>HA AWS account termination (CDC1-HAGO-CORE-HABOT-PRD) [Case ID: MSPOC-1097]
[05-Dec-2025] Receive email request from Nelson (HA) to request Huawei account termination. Acknowledged from Alex Chen (HKT-Cloud) with case ID: MSPOC-1097 to follow up the progress update [Helen]
[10-Dec-2025] Nelson (HA) has arranged zoom meeting with corresponding HKT colleagues on 10-Dec-2025 at 3:00pm for account termination
[10-Dec-2025] Account Termination has been done by Jason Chiang [Helen]</t>
    <phoneticPr fontId="11" type="noConversion"/>
  </si>
  <si>
    <t>Allen Cheng</t>
  </si>
  <si>
    <t>allencheung@maxims.com.hk</t>
  </si>
  <si>
    <t>Maxim's Caterers Ltd</t>
    <phoneticPr fontId="11" type="noConversion"/>
  </si>
  <si>
    <t>5626865509750806</t>
  </si>
  <si>
    <t>vn_dsm_poc_16499@maxims.com.hk</t>
  </si>
  <si>
    <t>Floor 16, Maxim's Centre, 17 Cheung Shun Street, Cheung Sha Wan, KLN</t>
  </si>
  <si>
    <t>Alibaba new account creation (console payer: consolid_bill@maxims.com.hk)
[11-Dec-2025] Receive email request for Alibaba new account creation (SD11805694) [Kelvin]
[12-Dec-2025] Account created and send invitation to customer [Kelvin]
[12-Dec-2025] Account created. Penidng order issue [Kelvin]</t>
    <phoneticPr fontId="11" type="noConversion"/>
  </si>
  <si>
    <t>CF Shum</t>
  </si>
  <si>
    <t>9827 0457</t>
  </si>
  <si>
    <t>cf.shum@hkairport.com</t>
  </si>
  <si>
    <t>RN 205066/1-2</t>
  </si>
  <si>
    <t>UB25-00008298\1(OM)</t>
  </si>
  <si>
    <t>SD11806505</t>
    <phoneticPr fontId="11" type="noConversion"/>
  </si>
  <si>
    <t>C-order for network connection from ZEVENT to new Azure cloud [*Professional Service: HKD11,500]
[15-Dec-2025] Order Issue. Inform Lok assign engineer follow up the PS Job of network connection from ZEVENT to new Azure cloud [Helen]
[15-Dec-2025] Close CxS order on 15-Dec-2025. Inform Lok and HKT Pro-Cloud MS team that order includes managed service T3 by email [Helen]</t>
    <phoneticPr fontId="11" type="noConversion"/>
  </si>
  <si>
    <t>http://10.10.10.209/OASIS_FILE_MANAGER/zip_files_download.php?qid=1523346&amp;serialno=UB25-00008298&amp;itemno=1&amp;token=d23f31f95c7e154f012227d36ac5a7e2</t>
  </si>
  <si>
    <t>376052441174</t>
    <phoneticPr fontId="11" type="noConversion"/>
  </si>
  <si>
    <t>NLTD-DEV</t>
    <phoneticPr fontId="11" type="noConversion"/>
  </si>
  <si>
    <t>hanltdenqnp@ha.org.hk</t>
    <phoneticPr fontId="11" type="noConversion"/>
  </si>
  <si>
    <t>G/F, Blk A, HAITB, 147A Argyle Street, Mongkok, Kowloon</t>
    <phoneticPr fontId="11" type="noConversion"/>
  </si>
  <si>
    <t>Billing Recipient Email Address: hanltdenqnp@ha.org.hk; chk528@ha.org.hk; chankfg@ha.org.hk</t>
    <phoneticPr fontId="11" type="noConversion"/>
  </si>
  <si>
    <t>HA - AWS account termination: NLTD-DEV (376052441174) [Case ID: MSPOC-1133]
[17-Dec-2025] Receive email request from Nelson (HA) for AWS Cloud account termination [Helen]
[09-Jan-2026] Account termination has been done by Lok (MSPOC-1197) [Helen]</t>
    <phoneticPr fontId="11" type="noConversion"/>
  </si>
  <si>
    <t>176039711069</t>
    <phoneticPr fontId="11" type="noConversion"/>
  </si>
  <si>
    <t>NLTD-PROD</t>
    <phoneticPr fontId="11" type="noConversion"/>
  </si>
  <si>
    <t>hanltdenq@ha.org.hk</t>
    <phoneticPr fontId="11" type="noConversion"/>
  </si>
  <si>
    <t>Billing Recipient Email Address: hanltdenq@ha.org.hk; chk528@ha.org.hk; chankfg@ha.org.hk</t>
    <phoneticPr fontId="11" type="noConversion"/>
  </si>
  <si>
    <t>HA - AWS account termination: NLTD-PROD (176039711069) [Case ID: MSPOC-1133]
[17-Dec-2025] Receive email request from Nelson (HA) for AWS Cloud account termination [Helen]
[09-Jan-2026] Account termination has been done by Lok (MSPOC-1197) [Helen]</t>
    <phoneticPr fontId="11" type="noConversion"/>
  </si>
  <si>
    <t>Nick He</t>
    <phoneticPr fontId="11" type="noConversion"/>
  </si>
  <si>
    <t>CL540583</t>
    <phoneticPr fontId="11" type="noConversion"/>
  </si>
  <si>
    <t>RN 719312/1-2</t>
    <phoneticPr fontId="11" type="noConversion"/>
  </si>
  <si>
    <t>UE25-00005780\1(OM)]</t>
    <phoneticPr fontId="11" type="noConversion"/>
  </si>
  <si>
    <t>SD11809850</t>
    <phoneticPr fontId="11" type="noConversion"/>
  </si>
  <si>
    <t>Tenant ID: 3799860031014172723
CPPO PRICE Total: USD 47,286 one off (Palo Alto Cortex Yearly Subscription (1 year) : HK$23,200)
[22-Dec-2025] Order Issued [Helen]
[30-Dec-2025] Close CxS order on SRD date: 23-Dec-2025 [Helen]</t>
  </si>
  <si>
    <t>http://10.10.10.209/OASIS_FILE_MANAGER/zip_files_download.php?qid=1527189&amp;serialno=UE25-00005780&amp;itemno=1&amp;token=3a577825b6b079b72327513261726934</t>
    <phoneticPr fontId="11" type="noConversion"/>
  </si>
  <si>
    <t>2200 2092 / 9879 5918</t>
    <phoneticPr fontId="11" type="noConversion"/>
  </si>
  <si>
    <t>WEST KOWLOON CULTURAL DISTRICT AUTHORITY</t>
    <phoneticPr fontId="11" type="noConversion"/>
  </si>
  <si>
    <t xml:space="preserve">200019722598 </t>
    <phoneticPr fontId="11" type="noConversion"/>
  </si>
  <si>
    <t>Vicky.WS.Yuen@pccw.com</t>
    <phoneticPr fontId="11" type="noConversion"/>
  </si>
  <si>
    <t>8/F, WKCDA Tower, No. 8 Austin Road, KLN</t>
    <phoneticPr fontId="11" type="noConversion"/>
  </si>
  <si>
    <t>CL545882</t>
    <phoneticPr fontId="11" type="noConversion"/>
  </si>
  <si>
    <t>RN 939387/1-2</t>
    <phoneticPr fontId="11" type="noConversion"/>
  </si>
  <si>
    <t>UB25-00008568\1(OM)</t>
    <phoneticPr fontId="11" type="noConversion"/>
  </si>
  <si>
    <t>SD11810471</t>
    <phoneticPr fontId="11" type="noConversion"/>
  </si>
  <si>
    <t>Tenant ID: 200019722598 (Login email: Vicky.WS.Yuen@pccw.com)
[29-Dec-2025] Confirm with Carol (ASM), order team will create another CL no. for billing of tencent account [Helen]
[29-Dec-2025] Enquiry Thomas (Product team) for the workflow of Tencent by email. Confirm by Thomas, customer will manage tencent cloud account themselves and we take no action, just close order when order issued [Helen]
[30-Dec-2025] Order Issued. Close CxS order on 30-Dec-2025 [Helen]</t>
  </si>
  <si>
    <t>http://10.10.10.209/OASIS_FILE_MANAGER/zip_files_download.php?qid=1529995&amp;serialno=UB25-00008568&amp;itemno=1&amp;token=4df4ea844146959ea5a85cce476f77c8</t>
    <phoneticPr fontId="11" type="noConversion"/>
  </si>
  <si>
    <t>Radek Chan</t>
  </si>
  <si>
    <t>2200 2092 / 9879 5918</t>
  </si>
  <si>
    <t>WEST KOWLOON CULTURAL DISTRICT AUTHORITY</t>
  </si>
  <si>
    <t>5843250153011832</t>
    <phoneticPr fontId="11" type="noConversion"/>
  </si>
  <si>
    <t>itd_ali_poc@wkcda.hk</t>
    <phoneticPr fontId="11" type="noConversion"/>
  </si>
  <si>
    <t>8/F, WKCDA Tower, No. 8 Austin Road, KLN</t>
  </si>
  <si>
    <t>CL541916</t>
  </si>
  <si>
    <t>RN 157337/1-2</t>
    <phoneticPr fontId="11" type="noConversion"/>
  </si>
  <si>
    <t>SD11809868</t>
    <phoneticPr fontId="11" type="noConversion"/>
  </si>
  <si>
    <t>Alibaba UID: 5843250153011832 (Login email: itd_ali_poc@wkcda.hk)
[24-Dec-2025] Order Issued. [Helen]
[29-Dec-2025] Inform Carol (ASM) that alibaba UID: 5843250153011832 (login email: itd_ali_poc@wkcda.hk) has already been created in alibaba cloud platform. Close CxS order on 29-Dec-2025 [Helen]</t>
  </si>
  <si>
    <t>Henry</t>
  </si>
  <si>
    <t>henrychan@hkma.org.hk</t>
  </si>
  <si>
    <t>C-order for VM PS Job</t>
  </si>
  <si>
    <t>14/F, Fairmont House , 8 Cotton Tree Drive, Hong Kong</t>
  </si>
  <si>
    <t>CL546512</t>
  </si>
  <si>
    <t>RN 207391/1-2</t>
  </si>
  <si>
    <t>TI25-00009910\1(OM)</t>
  </si>
  <si>
    <t>SD11810064</t>
  </si>
  <si>
    <t>domain: hkma.org.hk (Tenent ID: 3d44d6b3-5212-4b12-b3ed-83f62ba12194)
VM PS Job (Total One off HKD13,000)
[29-Dec-2025] C-order Issued. Inform Lok arrange engineer follow up the PS Job for add on VM in Azure cloud [Helen]</t>
  </si>
  <si>
    <t>http://10.10.10.209/OASIS_FILE_MANAGER/zip_files_download.php?qid=1528246&amp;serialno=TI25-00009910&amp;itemno=1&amp;token=72562a8b90be655179037c2190c3172e</t>
  </si>
  <si>
    <t>NEW WORLD CORPORATE SERVICES LIMITED</t>
  </si>
  <si>
    <t>058713215920</t>
  </si>
  <si>
    <t>CL545885</t>
  </si>
  <si>
    <t>RN 376673/1-2</t>
  </si>
  <si>
    <t>UE25-00005825\1(OM)</t>
    <phoneticPr fontId="11" type="noConversion"/>
  </si>
  <si>
    <t>SD11810587</t>
    <phoneticPr fontId="11" type="noConversion"/>
  </si>
  <si>
    <t>AWS ID: 058713215920 [Login email: nwdaws2@nwd.com.hk]
CPPO PRICE Total: USD 47,286 one off (Margin: USD 7,862.62)
[30-Dec-2025] Order Issued [Helen]
[31-Dec-2025] Close CxS order on SRD date: 23-Dec-2025 [Helen]</t>
  </si>
  <si>
    <t>http://10.10.10.209/OASIS_FILE_MANAGER/zip_files_download.php?qid=1526682&amp;serialno=UE25-00005825&amp;itemno=1&amp;token=3a577825b6b079b72327513261726934</t>
  </si>
  <si>
    <t>Susan Cheng</t>
  </si>
  <si>
    <t>3660 8091</t>
  </si>
  <si>
    <t>ftd-cstcb-for-d-office@police.gov.hk</t>
    <phoneticPr fontId="11" type="noConversion"/>
  </si>
  <si>
    <t>254482703610</t>
  </si>
  <si>
    <t>Fordtcd@gmail.com</t>
    <phoneticPr fontId="11" type="noConversion"/>
  </si>
  <si>
    <t>22/F, CSTCB, Arsenal House, 1 Arsenal Street, Wan Chai, Hong Kong</t>
  </si>
  <si>
    <t>CL543141</t>
    <phoneticPr fontId="11" type="noConversion"/>
  </si>
  <si>
    <t>RN 576973/3-4</t>
    <phoneticPr fontId="11" type="noConversion"/>
  </si>
  <si>
    <t>UC25-00009631\1(OM)</t>
    <phoneticPr fontId="11" type="noConversion"/>
  </si>
  <si>
    <t>SD11811785</t>
  </si>
  <si>
    <t>Ref No.: LM (282) in CP CRM CSTCB 3-5/3 Pt.8
C1: Global scalable on-demand computing infrastructure service (1-year subscription)
[05-Jan-2026] Order Issued [Helen]
[07-Jan-2026] Send invitation to customer by system and inform customer to accept invitation within 3 days [Kelvin]  (SD11812275)
[09-Jan-2026] Customer has accepted invitation and AWS ID: 254482703610 has been linked to HKT. Close CxS order on SRD date: 09-Jan-2026. Waitng for cloudcheckr alert and send welcome letter to customer [Helen]
[23-Mar-2026] Send the welcome Letter [Kilson]</t>
    <phoneticPr fontId="11" type="noConversion"/>
  </si>
  <si>
    <t>http://10.10.10.209/OASIS_FILE_MANAGER/zip_files_download.php?qid=1531590&amp;serialno=UC25-00009631&amp;itemno=1&amp;token=5ec2997e53fb37238f0358c51f50024f</t>
  </si>
  <si>
    <t>Susan Cheng</t>
    <phoneticPr fontId="11" type="noConversion"/>
  </si>
  <si>
    <t>3660 8091</t>
    <phoneticPr fontId="11" type="noConversion"/>
  </si>
  <si>
    <t>75edc960-7c22-4ac2-85b4-5b599d93f259</t>
    <phoneticPr fontId="11" type="noConversion"/>
  </si>
  <si>
    <t>CL543112</t>
    <phoneticPr fontId="11" type="noConversion"/>
  </si>
  <si>
    <t>RN 576973/1-2</t>
    <phoneticPr fontId="11" type="noConversion"/>
  </si>
  <si>
    <t>UC25-00009631\1(OM)</t>
  </si>
  <si>
    <t>SD11811781</t>
    <phoneticPr fontId="11" type="noConversion"/>
  </si>
  <si>
    <t>Ref No.: LM (282) in CP CRM CSTCB 3-5/3 Pt.8
C2: Scalable cloud computing platform service (1-year subscription)
Tenant ID: SecondPF.onmicrosoft.com
Azure Subscription ID: 75edc960-7c22-4ac2-85b4-5b599d93f259
[05-Jan-2026] Order Issued [Helen]
[14-Jan-2026] Stephen is following up with customer for azure migration [Helen]
[15-Jan-2026] Azure subscription ID has been created (SD11813205). Send welcome letter to customer and close CxS order on 09-Jan-2026 [Helen]</t>
    <phoneticPr fontId="11" type="noConversion"/>
  </si>
  <si>
    <t>http://10.10.10.209/OASIS_FILE_MANAGER/zip_files_download.php?qid=1531590&amp;serialno=UC25-00009631&amp;itemno=1&amp;token=5ec2997e53fb37238f0358c51f50024f</t>
    <phoneticPr fontId="11" type="noConversion"/>
  </si>
  <si>
    <t>CRC1-ODC-DEV</t>
    <phoneticPr fontId="11" type="noConversion"/>
  </si>
  <si>
    <t>hoitcrc1@ha.org.hk</t>
    <phoneticPr fontId="11" type="noConversion"/>
  </si>
  <si>
    <t>2/F, HAHO IT&amp;HID office, Multi-service Centre, 30 Gascoigne Road, Kowloon</t>
    <phoneticPr fontId="11" type="noConversion"/>
  </si>
  <si>
    <t>Billing Recipient Name: Alex KEI, HOIT&amp;HI CSA(CRC1)1
Billing Recipient Email Address: hoitcrc1@ha.org.hk; kwh481@ha.org.hk</t>
    <phoneticPr fontId="11" type="noConversion"/>
  </si>
  <si>
    <t>HA - Huawei Cloud account termination – CRC1-ODC-DEV [Case ID: MSPOC-1216]
[14-Jan-2026] Receive email request from Nelson (HA) for Huawei account termination</t>
  </si>
  <si>
    <t>202802549101</t>
    <phoneticPr fontId="11" type="noConversion"/>
  </si>
  <si>
    <t>CTF_SensorData</t>
    <phoneticPr fontId="11" type="noConversion"/>
  </si>
  <si>
    <t>aws_sensordata@chowtaifook.com</t>
    <phoneticPr fontId="11" type="noConversion"/>
  </si>
  <si>
    <t>2/F, World Peace Centre, 41-55 Wo Tong Tsui Street, Kwai Chung, N.T.</t>
    <phoneticPr fontId="11" type="noConversion"/>
  </si>
  <si>
    <t>CL546326</t>
    <phoneticPr fontId="11" type="noConversion"/>
  </si>
  <si>
    <t>RN 236228/1-2</t>
    <phoneticPr fontId="11" type="noConversion"/>
  </si>
  <si>
    <t>SD11817016</t>
    <phoneticPr fontId="11" type="noConversion"/>
  </si>
  <si>
    <t>[19-Jan-2026] Receive email reminder for cloudcheckr alert, opt-out account and inform katie to call sales to issue order (SD11815867) [Helen]
[22-Jan-2026] Order Issued. Send welcome letter to customer. Close CxS order on 22-Jan-2026 and notify Lok and HKT Pro MS team that order has managed service T3 [Helen]</t>
    <phoneticPr fontId="11" type="noConversion"/>
  </si>
  <si>
    <t>Carmen Wong</t>
    <phoneticPr fontId="11" type="noConversion"/>
  </si>
  <si>
    <t>carmen.km.wong@hkairport.com</t>
    <phoneticPr fontId="11" type="noConversion"/>
  </si>
  <si>
    <t>Cloud Platform Setup for EAP 2.0 Project (SQCC)</t>
    <phoneticPr fontId="11" type="noConversion"/>
  </si>
  <si>
    <t>HKIA Tower 2, Sky Plaza Road, HK International Airport, LT</t>
    <phoneticPr fontId="11" type="noConversion"/>
  </si>
  <si>
    <t>CL546844</t>
    <phoneticPr fontId="11" type="noConversion"/>
  </si>
  <si>
    <t>RN 603868/5-6</t>
    <phoneticPr fontId="11" type="noConversion"/>
  </si>
  <si>
    <t>UB26-00000368\1(OM)</t>
    <phoneticPr fontId="11" type="noConversion"/>
  </si>
  <si>
    <t>SD11817068</t>
  </si>
  <si>
    <t>Cloud Platform Setup for EAP 2.0 Project (SQCC) - UAT Environment (PO1107642)
[22-Jan-2026] Order Issued. Close CxS order on SRD date: 21-Jan-2026 and inform Lok and HKT Pro Cloud MS team that order has managed service T3 [Helen]</t>
    <phoneticPr fontId="11" type="noConversion"/>
  </si>
  <si>
    <t>http://10.10.10.209/OASIS_FILE_MANAGER/zip_files_download.php?qid=1538613&amp;serialno=UB26-00000368&amp;itemno=1&amp;token=d23f31f95c7e154f012227d36ac5a7e2</t>
    <phoneticPr fontId="11" type="noConversion"/>
  </si>
  <si>
    <t>Cloud Platform Setup for EAP 2.0 Project (SOCC)</t>
    <phoneticPr fontId="11" type="noConversion"/>
  </si>
  <si>
    <t>CL546855</t>
    <phoneticPr fontId="11" type="noConversion"/>
  </si>
  <si>
    <t>RN 603868/7-8</t>
    <phoneticPr fontId="11" type="noConversion"/>
  </si>
  <si>
    <t>Cloud Platform Setup for EAP 2.0 Project (SOCC) - Dev Environment (PO1107642)
[22-Jan-2026] Order Issued. Close CxS order on SRD date: 21-Jan-2026 and inform Lok and HKT Pro Cloud MS team that order has managed service T3 [Helen]</t>
    <phoneticPr fontId="11" type="noConversion"/>
  </si>
  <si>
    <t>C-order for Cloud Platform Setup for EAP 2.0 Project (SQCC)</t>
    <phoneticPr fontId="11" type="noConversion"/>
  </si>
  <si>
    <t>RN 801322/1-2</t>
    <phoneticPr fontId="11" type="noConversion"/>
  </si>
  <si>
    <t>UB26-00000719\1(OM)</t>
  </si>
  <si>
    <t>SD11820314</t>
    <phoneticPr fontId="11" type="noConversion"/>
  </si>
  <si>
    <t>Cloud Platform Setup for EAP 2.0 Project (SQCC) - UAT Environment (PO1107642)
[03-Feb-2026] Order Issued. C-order for Cloud Platform Setup for EAP 2.0 Project. Inform Lok arranges engineer follow up the PS Job and notify Lok and HKT Pro-Cloud MS team that order has managed service T3. Close CxS order on 03-Feb-2026 [Helen]</t>
    <phoneticPr fontId="11" type="noConversion"/>
  </si>
  <si>
    <t>http://10.10.10.209/OASIS_FILE_MANAGER/zip_files_download.php?qid=1546416&amp;serialno=UB26-00000719&amp;itemno=1&amp;token=acddc3ef143d61133d36ebdde799eab9</t>
    <phoneticPr fontId="11" type="noConversion"/>
  </si>
  <si>
    <t>C-order for Cloud Platform Setup for EAP 2.0 Project (SOCC)</t>
    <phoneticPr fontId="11" type="noConversion"/>
  </si>
  <si>
    <t>RN 801322/3-4</t>
    <phoneticPr fontId="11" type="noConversion"/>
  </si>
  <si>
    <t>Cloud Platform Setup for EAP 2.0 Project (SOCC) - Dev Environment (PO1107642)
*Configuration Charge: HKD130,000
[03-Feb-2026] Order Issued. C-order for Cloud Platform Setup for EAP 2.0 Project. Inform Lok arranges engineer follow up the PS Job and notify Lok and HKT Pro-Cloud MS team that order has managed service T3. Close CxS order on 03-Feb-2026 [Helen]</t>
    <phoneticPr fontId="11" type="noConversion"/>
  </si>
  <si>
    <t>Samson Leung</t>
    <phoneticPr fontId="11" type="noConversion"/>
  </si>
  <si>
    <t>28943380 / 95061608</t>
    <phoneticPr fontId="11" type="noConversion"/>
  </si>
  <si>
    <t>chsamsonleung@hkhs.com</t>
    <phoneticPr fontId="11" type="noConversion"/>
  </si>
  <si>
    <t>Professional services of FinOps in azure enviroment setup</t>
    <phoneticPr fontId="11" type="noConversion"/>
  </si>
  <si>
    <t>8/F, 1063 King's Road, Quarry Road, HK</t>
    <phoneticPr fontId="11" type="noConversion"/>
  </si>
  <si>
    <t>CL542448</t>
    <phoneticPr fontId="11" type="noConversion"/>
  </si>
  <si>
    <t>RN 275441/1-2</t>
    <phoneticPr fontId="11" type="noConversion"/>
  </si>
  <si>
    <t>UC26-00000528\1(OM)</t>
    <phoneticPr fontId="11" type="noConversion"/>
  </si>
  <si>
    <t>SD11820780</t>
    <phoneticPr fontId="11" type="noConversion"/>
  </si>
  <si>
    <t>*Professional services of FinOps in azure enviroment setup (HKD215,000)
[03-Feb-2026] Back date Order Issued. Inform Lok arranges engineers follow up the PS job by email. Close CxS order on SRD date: 30-Jan-2026 [Helen]</t>
    <phoneticPr fontId="11" type="noConversion"/>
  </si>
  <si>
    <t>http://10.10.10.209/OASIS_FILE_MANAGER/zip_files_download.php?qid=1546907&amp;serialno=UC26-00000528&amp;itemno=1&amp;token=1f7415a01d6652b715b0d92d62a0d006</t>
    <phoneticPr fontId="11" type="noConversion"/>
  </si>
  <si>
    <t>Kenneth Wong</t>
    <phoneticPr fontId="11" type="noConversion"/>
  </si>
  <si>
    <t>kennethwong@sfc.hk</t>
    <phoneticPr fontId="11" type="noConversion"/>
  </si>
  <si>
    <t>Securities and Futures Commission</t>
    <phoneticPr fontId="11" type="noConversion"/>
  </si>
  <si>
    <t>SFC_GenAi</t>
    <phoneticPr fontId="11" type="noConversion"/>
  </si>
  <si>
    <t>54/F, One Island East, 18 Westlands Road, Quarry Bay, HK</t>
    <phoneticPr fontId="11" type="noConversion"/>
  </si>
  <si>
    <t>CL547682</t>
    <phoneticPr fontId="11" type="noConversion"/>
  </si>
  <si>
    <t>RN 274447/3-4</t>
    <phoneticPr fontId="11" type="noConversion"/>
  </si>
  <si>
    <t>UE26-00000534\1(OM)</t>
    <phoneticPr fontId="11" type="noConversion"/>
  </si>
  <si>
    <t>SD11821489</t>
    <phoneticPr fontId="11" type="noConversion"/>
  </si>
  <si>
    <t>Huawei Account Creation (SFC_GenAi)
[04-Feb-2026] Receive email requests from stephen leung to create Huawei account {Helen]
[04-Feb-2026] Send registration link and user guide to customer for account creation (SD11820941) [Kelvin]
[06-Feb-2026] Order Issued [Helen]
[18-Mar-2026] Stephen reminds customer to access the link for Huawei cloud account creation by email [Helen]</t>
    <phoneticPr fontId="11" type="noConversion"/>
  </si>
  <si>
    <t>http://10.10.10.209/OASIS_FILE_MANAGER/zip_files_download.php?qid=1547875&amp;serialno=UE26-00000534&amp;itemno=1&amp;token=30267dc4a2641488f4cd58ac0a0d80f1</t>
    <phoneticPr fontId="11" type="noConversion"/>
  </si>
  <si>
    <t>Warren Ng</t>
    <phoneticPr fontId="11" type="noConversion"/>
  </si>
  <si>
    <t>9679 2640</t>
    <phoneticPr fontId="11" type="noConversion"/>
  </si>
  <si>
    <t>wwlng@sfc.hk</t>
    <phoneticPr fontId="11" type="noConversion"/>
  </si>
  <si>
    <t>SFC_Low Code Application</t>
    <phoneticPr fontId="11" type="noConversion"/>
  </si>
  <si>
    <t>CL547694</t>
    <phoneticPr fontId="11" type="noConversion"/>
  </si>
  <si>
    <t>RN 274447/5-6</t>
    <phoneticPr fontId="11" type="noConversion"/>
  </si>
  <si>
    <t>Huawei Account Creation (SFC_Low Code Application)
[04-Feb-2026] Receive email requests from stephen leung to create Huawei account {Helen]
[04-Feb-2026] Send registration link and user guide to customer for account creation (SD11820943) [Kelvin]
[06-Feb-2026] Order Issued [Helen]</t>
    <phoneticPr fontId="11" type="noConversion"/>
  </si>
  <si>
    <t>5079070621988129</t>
    <phoneticPr fontId="11" type="noConversion"/>
  </si>
  <si>
    <t>alicloud_hip_uat@chowtaifook.com</t>
  </si>
  <si>
    <t>CL547695</t>
    <phoneticPr fontId="0" type="noConversion"/>
  </si>
  <si>
    <t>RN 389886/1-2</t>
    <phoneticPr fontId="0" type="noConversion"/>
  </si>
  <si>
    <t>UD26-00000499\1(OM)</t>
    <phoneticPr fontId="11" type="noConversion"/>
  </si>
  <si>
    <t>SD11821655</t>
    <phoneticPr fontId="11" type="noConversion"/>
  </si>
  <si>
    <t>Alibaba account (Login email: alicloud_hip_uat@chowtaifook.com)
[06-Feb-2026] Order Issued {Helen]
[09-Feb-2026] Confirm with Lok to set the credit limited to 1500USD per account. Send invitation to customer by email (SD11821618) (Kelvin)
[09-Feb-2026] Customer has accpeted invitation and created account. Send welcome letter to customer [Helen]</t>
    <phoneticPr fontId="11" type="noConversion"/>
  </si>
  <si>
    <t>http://10.10.10.209/OASIS_FILE_MANAGER/zip_files_download.php?qid=1547776&amp;serialno=UD26-00000499&amp;itemno=1&amp;token=d2fcc63539ab421111515b95e3d48e8c</t>
    <phoneticPr fontId="11" type="noConversion"/>
  </si>
  <si>
    <t>5762670626214376</t>
    <phoneticPr fontId="11" type="noConversion"/>
  </si>
  <si>
    <t>alicloud_hip_prd@chowtaifook.com</t>
    <phoneticPr fontId="11" type="noConversion"/>
  </si>
  <si>
    <t>CL547701</t>
    <phoneticPr fontId="0" type="noConversion"/>
  </si>
  <si>
    <t>RN 389886/3-4</t>
    <phoneticPr fontId="0" type="noConversion"/>
  </si>
  <si>
    <t>Alibaba account (Login email: alicloud_hip_prd@chowtaifook.com)
[06-Feb-2026] Order Issued {Helen]
[09-Feb-2026] Confirm with Lok to set the credit limited to 1500USD per account. Send invitation to customer by email (SD11821618) (Kelvin)
[09-Feb-2026] Customer has accpeted invitation and created account. Send welcome letter to customer [Helen]</t>
  </si>
  <si>
    <t>ROOM 3110 TOWER 6, THE GATEWAY HARBOUR CITY TST KLN</t>
    <phoneticPr fontId="11" type="noConversion"/>
  </si>
  <si>
    <t>CL542163</t>
    <phoneticPr fontId="0" type="noConversion"/>
  </si>
  <si>
    <t>RN 261917/1-2</t>
    <phoneticPr fontId="0" type="noConversion"/>
  </si>
  <si>
    <t>TI26-00000936\1(OM)</t>
    <phoneticPr fontId="11" type="noConversion"/>
  </si>
  <si>
    <t>SD11822201</t>
    <phoneticPr fontId="11" type="noConversion"/>
  </si>
  <si>
    <t>Change register name:
Current R/S : ULTRON TECHNOLOGY SG PTE. LIMITED 
New R/S EASY GREAT TECHNOLOGY LIMITED
[07-Feb-2026] Order Issued. Confirm with Priscilla (ASM), new register name should be EASY GREAT TECHNOLOGY LIMITED. Close CxS order on SRD date: 04-Feb-2026 [Helen]</t>
    <phoneticPr fontId="11" type="noConversion"/>
  </si>
  <si>
    <t>http://10.10.10.209/OASIS_FILE_MANAGER/zip_files_download.php?qid=1547599&amp;serialno=TI26-00000936&amp;itemno=1&amp;token=6fbe529a4a66811c5de6f5ab471f328d</t>
    <phoneticPr fontId="11" type="noConversion"/>
  </si>
  <si>
    <t>EASY GREAT TECHNOLOGY LIMITED (Pervious Name : ULTRON TECHNOLOGY SG PTE. LIMITED)</t>
  </si>
  <si>
    <t>CL544189</t>
    <phoneticPr fontId="0" type="noConversion"/>
  </si>
  <si>
    <t>RN 261917/3-4</t>
    <phoneticPr fontId="0" type="noConversion"/>
  </si>
  <si>
    <t>CL544208</t>
    <phoneticPr fontId="0" type="noConversion"/>
  </si>
  <si>
    <t>RN 261917/5-6</t>
    <phoneticPr fontId="0" type="noConversion"/>
  </si>
  <si>
    <t>Change register name:
Current R/S : ULTRON TECHNOLOGY SG PTE. LIMITED 
New R/S EASY GREAT TECHNOLOGY LIMITED
[07-Feb-2026] Order Issued {Helen]</t>
    <phoneticPr fontId="11" type="noConversion"/>
  </si>
  <si>
    <t>CL544252</t>
    <phoneticPr fontId="0" type="noConversion"/>
  </si>
  <si>
    <t>RN 261917/7-8</t>
    <phoneticPr fontId="0" type="noConversion"/>
  </si>
  <si>
    <t>N/A</t>
    <phoneticPr fontId="11" type="noConversion"/>
  </si>
  <si>
    <t>patrickau@nwcs.com.hk</t>
    <phoneticPr fontId="11" type="noConversion"/>
  </si>
  <si>
    <t>m365patrick@nwclcomhk.onmicrosoft.com</t>
  </si>
  <si>
    <t>CL540783</t>
    <phoneticPr fontId="11" type="noConversion"/>
  </si>
  <si>
    <t>RN 540083/1-2</t>
    <phoneticPr fontId="11" type="noConversion"/>
  </si>
  <si>
    <t>UE26-00000538\1(OM)</t>
    <phoneticPr fontId="11" type="noConversion"/>
  </si>
  <si>
    <t>SD11823412</t>
    <phoneticPr fontId="11" type="noConversion"/>
  </si>
  <si>
    <t>Azure Subscription ID:8ac89472-bd41-4e13-a06d-fe2d0f4c7feb
Tenant ID: ee38f78d-d709-4571-9485-ed6c3f430052
Primary domain: nwclcomhk.onmicrosoft.com
[12-Feb-2026] Order Issued
[12-Feb-2026] Send email to inform customer provide the required informaiton for create transfer request (SD11823582) (Kelvin)
[24-Feb-2026]Customer confirm is create New Azure subscription. Created New Azure Plan with Subscription in Customer tenant. Assigned customer provided email address as Azure subscription Owner(Hin)
[24-Feb-2026] Send Welcome Letter to customer [Hin]
[24-Feb-2026] Close CxS order on SRD date: 10-Feb-2026 [Helen]</t>
    <phoneticPr fontId="11" type="noConversion"/>
  </si>
  <si>
    <t>http://10.10.10.209/OASIS_FILE_MANAGER/zip_files_download.php?qid=1548191&amp;serialno=UE26-00000538&amp;itemno=1&amp;token=3a577825b6b079b72327513261726934</t>
    <phoneticPr fontId="11" type="noConversion"/>
  </si>
  <si>
    <t>Yip Mei Wah</t>
    <phoneticPr fontId="11" type="noConversion"/>
  </si>
  <si>
    <t>3605 0706</t>
    <phoneticPr fontId="11" type="noConversion"/>
  </si>
  <si>
    <t>meiwah.yip@hangheung.com.hk</t>
    <phoneticPr fontId="11" type="noConversion"/>
  </si>
  <si>
    <t xml:space="preserve"> 071297531585</t>
    <phoneticPr fontId="11" type="noConversion"/>
  </si>
  <si>
    <t>andylau@hangheung.com.hk</t>
    <phoneticPr fontId="11" type="noConversion"/>
  </si>
  <si>
    <t>Room 605-610, 6/F, Fu Wah Industrial Building, 17 Hi Yip Street, Yuen Long, NT</t>
    <phoneticPr fontId="11" type="noConversion"/>
  </si>
  <si>
    <t>CL540422</t>
    <phoneticPr fontId="11" type="noConversion"/>
  </si>
  <si>
    <t>RN 933797/1-2</t>
    <phoneticPr fontId="11" type="noConversion"/>
  </si>
  <si>
    <t>TI26-00001240\1(OM)</t>
    <phoneticPr fontId="11" type="noConversion"/>
  </si>
  <si>
    <t>SD11826674</t>
    <phoneticPr fontId="11" type="noConversion"/>
  </si>
  <si>
    <t>AWS account migration: AWS ID: 071297531585 (root login email: andylau@hangheung.com.hk
[16-Feb-2026] Send invitation to customer by system and inform customer to accept invitation within 3 days [Kelvin]  (SD11824375)
[23-Feb-2026] Receive cloudcheckr alert for AWS ID: 071297531585 (Hang Heung). Opt-out account. Inform Katie call sales to issue order.(SD11825492)
[24-Feb-2026] Order Issued. [Helen] 
[26-Feb-2026] Send welcome letter to customer. Close CxS order on SRD date: 26-Feb-2026 [Helen]</t>
    <phoneticPr fontId="11" type="noConversion"/>
  </si>
  <si>
    <t>http://10.10.10.209/OASIS_FILE_MANAGER/zip_files_download.php?qid=1552849&amp;serialno=TI26-00001240&amp;itemno=1&amp;token=1108ff531753950bd757eb25ee092d41</t>
    <phoneticPr fontId="11" type="noConversion"/>
  </si>
  <si>
    <t>Alan Lai</t>
    <phoneticPr fontId="11" type="noConversion"/>
  </si>
  <si>
    <t>alan.kh.lai@fwd.com</t>
    <phoneticPr fontId="11" type="noConversion"/>
  </si>
  <si>
    <t>299bd8ad43514457b748f5255343ca32</t>
    <phoneticPr fontId="11" type="noConversion"/>
  </si>
  <si>
    <t>20/F, Tower 1, Millennium City 1, 388 Kwun Tong Road, Kwun Tong, Kowloon, Hong Kong</t>
    <phoneticPr fontId="11" type="noConversion"/>
  </si>
  <si>
    <t>CL546362</t>
    <phoneticPr fontId="11" type="noConversion"/>
  </si>
  <si>
    <t>RN 447918/1-2</t>
    <phoneticPr fontId="11" type="noConversion"/>
  </si>
  <si>
    <t>UB26-00001220\1(OM)</t>
    <phoneticPr fontId="11" type="noConversion"/>
  </si>
  <si>
    <t>SD11827845</t>
    <phoneticPr fontId="11" type="noConversion"/>
  </si>
  <si>
    <t>Huawei account creation (email: alan.kh.lai@fwd.com) [POC]
[23-Feb-2026] Receive email request for FWD Huawei account creation from Stephen (SD11825640)
[23-Feb-2026] Huawei account has created by customer. Huawei account is frozen until PoC credit has applied [Helen]
[02-Mar-2026] Order Issued. Send welcome letter to customer. Close CxS order on 02-Mar-2026 {Helen]
[11-Mar-2026] Informed by Stephen Leung, PoC credit is applied. Unfrozen customer account and set monthly budget to USD14,000 [Helen]</t>
    <phoneticPr fontId="11" type="noConversion"/>
  </si>
  <si>
    <t>http://10.10.10.209/OASIS_FILE_MANAGER/zip_files_download.php?qid=1554443&amp;serialno=UB26-00001220&amp;itemno=1&amp;token=61ab8cd8d23432b22af0854ed48ab6cf</t>
    <phoneticPr fontId="11" type="noConversion"/>
  </si>
  <si>
    <t>Tommy Hui</t>
    <phoneticPr fontId="11" type="noConversion"/>
  </si>
  <si>
    <t>tommy.hui@jardines.com</t>
    <phoneticPr fontId="11" type="noConversion"/>
  </si>
  <si>
    <t>25/F, Devon House, Taikoo Place, 979 King's Road, Quarry Bay, HK</t>
    <phoneticPr fontId="11" type="noConversion"/>
  </si>
  <si>
    <t>CL541796</t>
    <phoneticPr fontId="11" type="noConversion"/>
  </si>
  <si>
    <t>RN 129251/1-2</t>
    <phoneticPr fontId="11" type="noConversion"/>
  </si>
  <si>
    <t>UE26-00000718\1(OM)</t>
    <phoneticPr fontId="11" type="noConversion"/>
  </si>
  <si>
    <t>SD11826162</t>
    <phoneticPr fontId="11" type="noConversion"/>
  </si>
  <si>
    <t>Managed Service for customer OCI in their Azure account only (HKD6500 per month x 7 months)
[24-Feb-2026] Order Issued.
[25-Feb-2026] Inform Lok and HKT Pro Cloud MS team that order has managed service T2. Close CxS order on SRD date: 25-Feb-2026. No further follow up action. Case closed.</t>
    <phoneticPr fontId="11" type="noConversion"/>
  </si>
  <si>
    <t>http://10.10.10.209/OASIS_FILE_MANAGER/zip_files_download.php?qid=1552401&amp;serialno=UE26-00000718&amp;itemno=1&amp;token=3a577825b6b079b72327513261726934</t>
    <phoneticPr fontId="11" type="noConversion"/>
  </si>
  <si>
    <t>017E0D-35B32A-EC0401</t>
    <phoneticPr fontId="11" type="noConversion"/>
  </si>
  <si>
    <t>LM_admin@ayers.com.hk</t>
    <phoneticPr fontId="11" type="noConversion"/>
  </si>
  <si>
    <t>[27-Feb-2026] Google account created (SD11827206) [Kelvin]</t>
    <phoneticPr fontId="11" type="noConversion"/>
  </si>
  <si>
    <t>Nelson WONG &lt;nelson.wong@ha.org.hk&gt;</t>
    <phoneticPr fontId="11" type="noConversion"/>
  </si>
  <si>
    <t>ehp11-odc-dev</t>
    <phoneticPr fontId="11" type="noConversion"/>
  </si>
  <si>
    <t>ehrdvpportaldev@ha.org.hk</t>
  </si>
  <si>
    <t>Room 701, 7/F.,KITEC,1 Trademart Drive, Kowloon Bay, Kowloon</t>
  </si>
  <si>
    <t>Huawei account termination (ehp11-odc-dev)
[02-Mar-2026] Receive email request from Nelson (HA) for Huawei account (ehp11-odc-dev) termination request. Alex (HKT EMS) has replied acknowledge email with customer  [Helen]</t>
    <phoneticPr fontId="11" type="noConversion"/>
  </si>
  <si>
    <t>Alex Ng</t>
    <phoneticPr fontId="11" type="noConversion"/>
  </si>
  <si>
    <t>alex.ng@hkstp.org</t>
    <phoneticPr fontId="11" type="noConversion"/>
  </si>
  <si>
    <t>5893044711962096</t>
    <phoneticPr fontId="11" type="noConversion"/>
  </si>
  <si>
    <t>ali.cloud@hkstp.org</t>
    <phoneticPr fontId="11" type="noConversion"/>
  </si>
  <si>
    <t>5/F, 5E, 5 Science Park East Avenue, Hong Kong Science Park, Shati, NT</t>
    <phoneticPr fontId="11" type="noConversion"/>
  </si>
  <si>
    <t>CL541452</t>
    <phoneticPr fontId="11" type="noConversion"/>
  </si>
  <si>
    <t>RN 479036/1-2</t>
    <phoneticPr fontId="11" type="noConversion"/>
  </si>
  <si>
    <t>UA26-00000736\1(OM)</t>
    <phoneticPr fontId="11" type="noConversion"/>
  </si>
  <si>
    <t>SD11828523</t>
    <phoneticPr fontId="11" type="noConversion"/>
  </si>
  <si>
    <t>Alibaba account migration [Alibaba ID: 5893044711962096, root email: ali.cloud@hkstp.org)
[03-Mar-2026] Order Issued [Helen]
[03-Mar-2026] Inform Michael (ASM) to split into 15 CL no. (one CL no. with one account no.) [Helen]
[17-Mar-2026] Send Welcome Letter to customer. Close CxS order on SRD date: 02-Mar-2026 {Helen]</t>
    <phoneticPr fontId="11" type="noConversion"/>
  </si>
  <si>
    <t>http://10.10.10.209/OASIS_FILE_MANAGER/zip_files_download.php?qid=1560015&amp;serialno=UA26-00000736&amp;itemno=1&amp;token=6963c022ffb8f3bdc29b9b0b9127c32f</t>
    <phoneticPr fontId="11" type="noConversion"/>
  </si>
  <si>
    <t>5006165961506890</t>
    <phoneticPr fontId="11" type="noConversion"/>
  </si>
  <si>
    <t>CL541767</t>
    <phoneticPr fontId="11" type="noConversion"/>
  </si>
  <si>
    <t>RN 85919/1-2</t>
    <phoneticPr fontId="11" type="noConversion"/>
  </si>
  <si>
    <t>Alibaba account migration [Alibaba ID: 5006165961506890]
[03-Mar-2026] Order Issued [Helen]</t>
    <phoneticPr fontId="11" type="noConversion"/>
  </si>
  <si>
    <t>5569164927008240</t>
    <phoneticPr fontId="11" type="noConversion"/>
  </si>
  <si>
    <t>CL542119</t>
    <phoneticPr fontId="11" type="noConversion"/>
  </si>
  <si>
    <t>RN 85919/3-4</t>
    <phoneticPr fontId="11" type="noConversion"/>
  </si>
  <si>
    <t>Alibaba account migration [Alibaba ID: 5569164927008240]
[03-Mar-2026] Order Issued [Helen]</t>
    <phoneticPr fontId="11" type="noConversion"/>
  </si>
  <si>
    <t>5655062162926540</t>
    <phoneticPr fontId="11" type="noConversion"/>
  </si>
  <si>
    <t>CL542221</t>
    <phoneticPr fontId="11" type="noConversion"/>
  </si>
  <si>
    <t>RN 85919/5-6</t>
    <phoneticPr fontId="11" type="noConversion"/>
  </si>
  <si>
    <t>Alibaba account migration [Alibaba ID: 5655062162926540]
[03-Mar-2026] Order Issued [Helen]</t>
    <phoneticPr fontId="11" type="noConversion"/>
  </si>
  <si>
    <t>5706155588190975</t>
    <phoneticPr fontId="11" type="noConversion"/>
  </si>
  <si>
    <t>ali-vpc-hkstp-mobile-dev@rd-eqmdqa.aliyunid.com</t>
    <phoneticPr fontId="11" type="noConversion"/>
  </si>
  <si>
    <t>CL542820</t>
    <phoneticPr fontId="11" type="noConversion"/>
  </si>
  <si>
    <t>RN 85919/7-8</t>
    <phoneticPr fontId="11" type="noConversion"/>
  </si>
  <si>
    <t>Alibaba account migration [Alibaba ID: 5706155588190975, root email: ali-vpc-hkstp-mobile-dev@rd-eqmdqa.aliyunid.com]
[03-Mar-2026] Order Issued [Helen]
[03-Mar-2026] Inform Michael (ASM) to split into 15 CL no. (one CL no. with one account no.) [Helen]
[17-Mar-2026] Send Welcome Letter to customer. Close CxS order on SRD date: 02-Mar-2026 {Helen]</t>
    <phoneticPr fontId="11" type="noConversion"/>
  </si>
  <si>
    <t>5615558611330895</t>
    <phoneticPr fontId="11" type="noConversion"/>
  </si>
  <si>
    <t>ali-vpc-hkstp-mobile-prod@rd-eqmdqa.aliyunid.com</t>
    <phoneticPr fontId="11" type="noConversion"/>
  </si>
  <si>
    <t>CL542821</t>
    <phoneticPr fontId="11" type="noConversion"/>
  </si>
  <si>
    <t>RN 85919/9-10</t>
    <phoneticPr fontId="11" type="noConversion"/>
  </si>
  <si>
    <t>Alibaba account migration [Alibaba ID: 5615558611330895, root email: ali-vpc-hkstp-mobile-prod@rd-eqmdqa.aliyunid.com]
[03-Mar-2026] Order Issued [Helen]
[03-Mar-2026] Inform Michael (ASM) to split into 15 CL no. (one CL no. with one account no.) [Helen]
[17-Mar-2026] Send Welcome Letter to customer. Close CxS order on SRD date: 02-Mar-2026 {Helen]</t>
    <phoneticPr fontId="11" type="noConversion"/>
  </si>
  <si>
    <t>5055955845294757</t>
    <phoneticPr fontId="11" type="noConversion"/>
  </si>
  <si>
    <t>ali-vpc-hkstp-palmvein-dev@rd-eqmdqa.aliyunid.com</t>
    <phoneticPr fontId="11" type="noConversion"/>
  </si>
  <si>
    <t>CL543691</t>
    <phoneticPr fontId="11" type="noConversion"/>
  </si>
  <si>
    <t>RN 85919/11-12</t>
    <phoneticPr fontId="11" type="noConversion"/>
  </si>
  <si>
    <t>Alibaba account migration [Alibaba ID: 5055955845294757, root email: ali-vpc-hkstp-mobile-prod@rd-eqmdqa.aliyunid.com]
[03-Mar-2026] Order Issued [Helen]
[03-Mar-2026] Inform Michael (ASM) to split into 15 CL no. (one CL no. with one account no.) [Helen]
[17-Mar-2026] Send Welcome Letter to customer. Close CxS order on SRD date: 02-Mar-2026 {Helen]</t>
    <phoneticPr fontId="11" type="noConversion"/>
  </si>
  <si>
    <t>5094052574074617</t>
    <phoneticPr fontId="11" type="noConversion"/>
  </si>
  <si>
    <t>dify@rd-eqmdqa.aliyunid.com</t>
    <phoneticPr fontId="11" type="noConversion"/>
  </si>
  <si>
    <t>CL543972</t>
    <phoneticPr fontId="11" type="noConversion"/>
  </si>
  <si>
    <t>RN 85919/13-14</t>
    <phoneticPr fontId="11" type="noConversion"/>
  </si>
  <si>
    <t>Alibaba account migration [Alibaba ID: 5094052574074617, root email: dify@rd-eqmdqa.aliyunid.com]
[03-Mar-2026] Order Issued [Helen]
[03-Mar-2026] Inform Michael (ASM) to split into 15 CL no. (one CL no. with one account no.) [Helen]
[17-Mar-2026] Send Welcome Letter to customer. Close CxS order on SRD date: 02-Mar-2026 {Helen]</t>
    <phoneticPr fontId="11" type="noConversion"/>
  </si>
  <si>
    <t>5238747989030346</t>
    <phoneticPr fontId="11" type="noConversion"/>
  </si>
  <si>
    <t>eds@rd-eqmdqa.aliyunid.com</t>
    <phoneticPr fontId="11" type="noConversion"/>
  </si>
  <si>
    <t>CL544383</t>
    <phoneticPr fontId="11" type="noConversion"/>
  </si>
  <si>
    <t>RN 85919/15-16</t>
    <phoneticPr fontId="11" type="noConversion"/>
  </si>
  <si>
    <t>Alibaba account migration [Alibaba ID: 5238747989030346, root email: eds@rd-eqmdqa.aliyunid.com]
[03-Mar-2026] Order Issued [Helen]
[03-Mar-2026] Inform Michael (ASM) to split into 15 CL no. (one CL no. with one account no.) [Helen]
[17-Mar-2026] Send Welcome Letter to customer. Close CxS order on SRD date: 02-Mar-2026 {Helen]</t>
    <phoneticPr fontId="11" type="noConversion"/>
  </si>
  <si>
    <t>5415547988127663</t>
    <phoneticPr fontId="11" type="noConversion"/>
  </si>
  <si>
    <t>sfpbc-dev@rd-eqmdqa.aliyunid.com</t>
    <phoneticPr fontId="11" type="noConversion"/>
  </si>
  <si>
    <t>CL544564</t>
    <phoneticPr fontId="11" type="noConversion"/>
  </si>
  <si>
    <t>RN 85919/17-18</t>
    <phoneticPr fontId="11" type="noConversion"/>
  </si>
  <si>
    <t>Alibaba account migration [Alibaba ID: 5415547988127663, root email: sfpbc-dev@rd-eqmdqa.aliyunid.com]
[03-Mar-2026] Order Issued [Helen]
[03-Mar-2026] Inform Michael (ASM) to split into 15 CL no. (one CL no. with one account no.) [Helen]
[17-Mar-2026] Send Welcome Letter to customer. Close CxS order on SRD date: 02-Mar-2026 {Helen]</t>
    <phoneticPr fontId="11" type="noConversion"/>
  </si>
  <si>
    <t>5094845398156915</t>
    <phoneticPr fontId="11" type="noConversion"/>
  </si>
  <si>
    <t>infrastructure@rd-eqmdqa.aliyunid.com</t>
    <phoneticPr fontId="11" type="noConversion"/>
  </si>
  <si>
    <t>CL546943</t>
    <phoneticPr fontId="11" type="noConversion"/>
  </si>
  <si>
    <t>RN 85919/19-20</t>
    <phoneticPr fontId="11" type="noConversion"/>
  </si>
  <si>
    <t>Alibaba account migration [Alibaba ID: 5094845398156915, root email: infrastructure@rd-eqmdqa.aliyunid.com]
[03-Mar-2026] Order Issued [Helen]
[03-Mar-2026] Inform Michael (ASM) to split into 15 CL no. (one CL no. with one account no.) [Helen]
[17-Mar-2026] Send Welcome Letter to customer. Close CxS order on SRD date: 02-Mar-2026 {Helen]</t>
    <phoneticPr fontId="11" type="noConversion"/>
  </si>
  <si>
    <t>5063045398143684</t>
    <phoneticPr fontId="11" type="noConversion"/>
  </si>
  <si>
    <t>share@rd-eqmdqa.aliyunid.com</t>
    <phoneticPr fontId="11" type="noConversion"/>
  </si>
  <si>
    <t>CL547009</t>
    <phoneticPr fontId="11" type="noConversion"/>
  </si>
  <si>
    <t>RN 85919/21-22</t>
    <phoneticPr fontId="11" type="noConversion"/>
  </si>
  <si>
    <t>Alibaba account migration [Alibaba ID: 5063045398143684, root email: share@rd-eqmdqa.aliyunid.com]
[03-Mar-2026] Order Issued [Helen]
[03-Mar-2026] Inform Michael (ASM) to split into 15 CL no. (one CL no. with one account no.) [Helen]
[17-Mar-2026] Send Welcome Letter to customer. Close CxS order on SRD date: 02-Mar-2026 {Helen]</t>
    <phoneticPr fontId="11" type="noConversion"/>
  </si>
  <si>
    <t>5399345398132356</t>
    <phoneticPr fontId="11" type="noConversion"/>
  </si>
  <si>
    <t>logging@rd-eqmdqa.aliyunid.com</t>
    <phoneticPr fontId="11" type="noConversion"/>
  </si>
  <si>
    <t>CL547179</t>
    <phoneticPr fontId="11" type="noConversion"/>
  </si>
  <si>
    <t>RN 85919/23-24</t>
    <phoneticPr fontId="11" type="noConversion"/>
  </si>
  <si>
    <t>Alibaba account migration [Alibaba ID: 5399345398132356, root email: logging@rd-eqmdqa.aliyunid.com]
[03-Mar-2026] Order Issued [Helen]
[03-Mar-2026] Inform Michael (ASM) to split into 15 CL no. (one CL no. with one account no.) [Helen]
[17-Mar-2026] Send Welcome Letter to customer. Close CxS order on SRD date: 02-Mar-2026 {Helen]</t>
    <phoneticPr fontId="11" type="noConversion"/>
  </si>
  <si>
    <t>5844547988168148</t>
    <phoneticPr fontId="11" type="noConversion"/>
  </si>
  <si>
    <t>sfpbc-prod@rd-eqmdqa.aliyunid.com</t>
    <phoneticPr fontId="11" type="noConversion"/>
  </si>
  <si>
    <t>CL547982</t>
    <phoneticPr fontId="11" type="noConversion"/>
  </si>
  <si>
    <t>RN 85919/25-26</t>
    <phoneticPr fontId="11" type="noConversion"/>
  </si>
  <si>
    <t>Alibaba account migration [Alibaba ID: 5844547988168148, root email: sfpbc-prod@rd-eqmdqa.aliyunid.com]
[03-Mar-2026] Order Issued [Helen]
[03-Mar-2026] Inform Michael (ASM) to split into 15 CL no. (one CL no. with one account no.) [Helen]
[17-Mar-2026] Send Welcome Letter to customer. Close CxS order on SRD date: 02-Mar-2026 {Helen]</t>
    <phoneticPr fontId="11" type="noConversion"/>
  </si>
  <si>
    <t>5729045398122950</t>
    <phoneticPr fontId="11" type="noConversion"/>
  </si>
  <si>
    <t>CL548178</t>
    <phoneticPr fontId="11" type="noConversion"/>
  </si>
  <si>
    <t>RN 85919/27-28</t>
    <phoneticPr fontId="11" type="noConversion"/>
  </si>
  <si>
    <t>Alibaba account migration [Alibaba ID: 5729045398122950]
[03-Mar-2026] Order Issued [Helen]</t>
    <phoneticPr fontId="11" type="noConversion"/>
  </si>
  <si>
    <t>Alan Kwan</t>
    <phoneticPr fontId="11" type="noConversion"/>
  </si>
  <si>
    <t>alankwan@dchbi.com</t>
    <phoneticPr fontId="11" type="noConversion"/>
  </si>
  <si>
    <t>b57151af54934247a2973ae5aa7ab7a7</t>
    <phoneticPr fontId="11" type="noConversion"/>
  </si>
  <si>
    <t>gitcoe-cloudops@dch-holdings.com</t>
  </si>
  <si>
    <t>DCH huawei cloud account creation [POC]
[04-Mar-2026] Receive email request from stephen leung for DCH huawei cloud account creation (SD11828856) [Helen]
[04-Mar-2026] Send invitation to customer for account creation [Helen]
[09-Mar-2026] Huawei account has created. Stephen will follow up PoC credit from Huawei supporter [Helen]
[19-Mar-2026] Confirm by Stephen to unfirozen customer account and set monthly budget to USD 5000 [Helen]</t>
    <phoneticPr fontId="11" type="noConversion"/>
  </si>
  <si>
    <t>5700973028949715</t>
  </si>
  <si>
    <t>alicloud_customerfacing_uat@chowtaifook.com</t>
    <phoneticPr fontId="11" type="noConversion"/>
  </si>
  <si>
    <t>Alibaba account creation (Email: alicloud_customerfacing_uat@chowtaifook.com)
[09-Mar-2026] Receive email request from Stephen Leung for CTF Alibaba account creation (SD11830444) [Helen]
[09-Mar-2026] Send invitation to customer for account creation [Kelvin]
[09-Mar-2026] Alibaba account has created. [Kelvin]</t>
    <phoneticPr fontId="11" type="noConversion"/>
  </si>
  <si>
    <t>5695773028429049</t>
  </si>
  <si>
    <t>alicloud_customerfacing_prd@chowtaifook.com</t>
    <phoneticPr fontId="11" type="noConversion"/>
  </si>
  <si>
    <t>Alibaba account creation (Email: alicloud_customerfacing_prd@chowtaifook.com)
[09-Mar-2026] Receive email request from Stephen Leung for CTF Alibaba account creation (SD11830444) [Helen]
[09-Mar-2026] Send invitation to customer for account creation [Kelvin]
[09-Mar-2026] Alibaba account has created. [Kelvin]</t>
    <phoneticPr fontId="11" type="noConversion"/>
  </si>
  <si>
    <t>Kelvin Sin</t>
    <phoneticPr fontId="11" type="noConversion"/>
  </si>
  <si>
    <t>KSIN@Dairy-Farm.com.hk</t>
    <phoneticPr fontId="11" type="noConversion"/>
  </si>
  <si>
    <t>5629173624823452</t>
    <phoneticPr fontId="11" type="noConversion"/>
  </si>
  <si>
    <t>dfgp-ali-rtacct@dairy-farm.com.ph</t>
    <phoneticPr fontId="11" type="noConversion"/>
  </si>
  <si>
    <t>Floor 5, TaiKoo Place, 979 King's Road, Quarry Bay, Hong Kong</t>
    <phoneticPr fontId="11" type="noConversion"/>
  </si>
  <si>
    <t>Alibaba account creation (Root email: dfgp-ali-rtacct@dairy-farm.com.ph) [PoC]
[13-Mar-2026] Receive email request from Stephen Leung for Alibaba account creation (SD11832148) [Helen]
[13-Mar-2026] Invitation has been sent to customer [Helen]
[16-Mar-2026] Alibaba account has been created [Helen]
[17-Mar-2026] Receive Email to amend the Alibaba Quota from USD1,000 to USD7,000 (SD11833320)</t>
  </si>
  <si>
    <t>a07c8779d1844f3c9f813105725fb839</t>
    <phoneticPr fontId="11" type="noConversion"/>
  </si>
  <si>
    <t>EHP8-CMISODC-DEV</t>
    <phoneticPr fontId="11" type="noConversion"/>
  </si>
  <si>
    <t>cmisdevteam@ha.org.hk</t>
    <phoneticPr fontId="11" type="noConversion"/>
  </si>
  <si>
    <t>12/F, Harbourside HA, Lam Chak Stree, Kowloon Bay</t>
    <phoneticPr fontId="11" type="noConversion"/>
  </si>
  <si>
    <t>Huawei Cloud Account Creation - EHP8-CMISODC-DEV [Case ID: MSPOC-1424]
[20-Mar-2026] Receive email request for Huawei account creation from Dry (HA) [Helen]
[20-Mar-2026] HA Huawei account creation will re-schedule on 23-Mar-2026 at 2:30pm [Helen]
[23-Mar-2026] Account created (SD11834274) [Kelvin]
[24-Mar-2026] Kelvin arranges Teams meeting with Thomas and MS teams members "Lok, Melinda, Jason" to discuss the future workflow of Huawei account creation. The conclusion is that there are no changes to the workflow on our side. The MS team will proceed using the IAM account in the tenant “HA-HuaweiCloud-MasterAcc” for account creation. The root user account default password has been sent to Lok [Helen]</t>
    <phoneticPr fontId="11" type="noConversion"/>
  </si>
  <si>
    <t>Supplies Unit</t>
    <phoneticPr fontId="11" type="noConversion"/>
  </si>
  <si>
    <t>sup_it@legco.gov.hk</t>
    <phoneticPr fontId="11" type="noConversion"/>
  </si>
  <si>
    <t>LEGISLATIVE COUNCIL SECRETARIAT</t>
    <phoneticPr fontId="11" type="noConversion"/>
  </si>
  <si>
    <t>Legislative Council Complex, 1 Legislative Council Road, Central, Hong Kong</t>
    <phoneticPr fontId="11" type="noConversion"/>
  </si>
  <si>
    <t>UC26-00001551\1(OM)</t>
    <phoneticPr fontId="11" type="noConversion"/>
  </si>
  <si>
    <t>SD11836345</t>
    <phoneticPr fontId="11" type="noConversion"/>
  </si>
  <si>
    <t>Alibaba new account creation
[26-Mar-2026] Order Issued. Request suki (sales) provides root email for alibaba account creation by email [Helen]</t>
    <phoneticPr fontId="11" type="noConversion"/>
  </si>
  <si>
    <t>http://10.10.10.209/OASIS_FILE_MANAGER/zip_files_download.php?qid=1563312&amp;serialno=UC26-00001551&amp;itemno=1&amp;token=684f3a74b3d1e917d2decd6e306125b8</t>
    <phoneticPr fontId="11" type="noConversion"/>
  </si>
  <si>
    <t>Tencent new account creation
[26-Mar-2026] Order Issued. Confirm with Thomas (Product Team) that customer will manage tencent account creation by themselves and we just close order [Helen]</t>
    <phoneticPr fontId="11" type="noConversion"/>
  </si>
  <si>
    <t>Julia Chu</t>
  </si>
  <si>
    <t>2888 1281</t>
    <phoneticPr fontId="11" type="noConversion"/>
  </si>
  <si>
    <t>julia.ly.chu@pccw.com</t>
    <phoneticPr fontId="11" type="noConversion"/>
  </si>
  <si>
    <t>Jerry.KF.Wong@pccw.com</t>
    <phoneticPr fontId="11" type="noConversion"/>
  </si>
  <si>
    <t>HKTGenAI Demo Project [Internal order charge account code: CCC: CB73, A/C: 645329]
[26-Mar-2026] Receive email request from Thomas for alibaba account creation (SD11836357) [Kelvin]
[26-Mar-2026] Send invitation to customer [Kelvin]</t>
    <phoneticPr fontId="11" type="noConversion"/>
  </si>
  <si>
    <t>NTECITD-ODC-DEV</t>
    <phoneticPr fontId="11" type="noConversion"/>
  </si>
  <si>
    <t>cwm849@ha.org.hk</t>
    <phoneticPr fontId="11" type="noConversion"/>
  </si>
  <si>
    <t>NTEC ITD, 7/F, Block B, Prince Of Wales Hospital, Shatin, Hong Kong</t>
    <phoneticPr fontId="11" type="noConversion"/>
  </si>
  <si>
    <t>Huawei Cloud Account Creation - NTECITD-ODC-DEV
[26-Mar-2026] Receive email request for Huawei account creation from Melinda (SD11836391) [Helen]</t>
    <phoneticPr fontId="11" type="noConversion"/>
  </si>
  <si>
    <t>Contact Number</t>
  </si>
  <si>
    <t>Contact Email</t>
  </si>
  <si>
    <t>Billing Account / Master Account</t>
  </si>
  <si>
    <t>Account/Root ID UID</t>
  </si>
  <si>
    <t>Account Name</t>
  </si>
  <si>
    <t>PS Job</t>
  </si>
  <si>
    <t>Welcome Letter</t>
  </si>
  <si>
    <t>CL541297</t>
  </si>
  <si>
    <t>RN 832434/1-2</t>
    <phoneticPr fontId="0" type="noConversion"/>
  </si>
  <si>
    <t>CL544072</t>
  </si>
  <si>
    <t>RN 832434/3-4</t>
  </si>
  <si>
    <t>CL544073</t>
  </si>
  <si>
    <t>RN 832434/5-6</t>
  </si>
  <si>
    <t>CL544085</t>
  </si>
  <si>
    <t>RN 832434/7-8</t>
  </si>
  <si>
    <t>CL544098</t>
  </si>
  <si>
    <t>RN 832434/9-10</t>
  </si>
  <si>
    <t>CL544103</t>
  </si>
  <si>
    <t>RN 832434/11-12</t>
  </si>
  <si>
    <t>CL544133</t>
  </si>
  <si>
    <t>RN 832434/13-14</t>
  </si>
  <si>
    <t>CL544163</t>
  </si>
  <si>
    <t>RN 832434/15-16</t>
  </si>
  <si>
    <t>CL544180</t>
  </si>
  <si>
    <t>RN 832434/17-18</t>
  </si>
  <si>
    <t>CL544190</t>
  </si>
  <si>
    <t>RN 832434/19-20</t>
  </si>
  <si>
    <t>CL544194</t>
  </si>
  <si>
    <t>RN 832434/21-22</t>
  </si>
  <si>
    <t>CL544196</t>
  </si>
  <si>
    <t>RN 832434/23-24</t>
  </si>
  <si>
    <t>CL544230</t>
  </si>
  <si>
    <t>RN 832434/25-26</t>
  </si>
  <si>
    <t>CL544244</t>
  </si>
  <si>
    <t>RN 832434/27-28</t>
  </si>
  <si>
    <t>CL544261</t>
  </si>
  <si>
    <t>RN 832434/29-30</t>
  </si>
  <si>
    <t>CL544278</t>
  </si>
  <si>
    <t>RN 832434/31-32</t>
  </si>
  <si>
    <t>CL544282</t>
  </si>
  <si>
    <t>RN 832434/33-34</t>
  </si>
  <si>
    <t>CL544353</t>
  </si>
  <si>
    <t>RN 832434/35-36</t>
  </si>
  <si>
    <t>CL544365</t>
  </si>
  <si>
    <t>RN 832434/37-38</t>
  </si>
  <si>
    <t>CL544386</t>
  </si>
  <si>
    <t>RN 832434/39-40</t>
  </si>
  <si>
    <t>CL544414</t>
  </si>
  <si>
    <t>RN 565846/1-2</t>
    <phoneticPr fontId="26" type="noConversion"/>
  </si>
  <si>
    <t>CL544439</t>
  </si>
  <si>
    <t>RN 565846/3-4</t>
  </si>
  <si>
    <t>CL544478</t>
  </si>
  <si>
    <t>RN 565846/5-6</t>
  </si>
  <si>
    <t>CL544486</t>
  </si>
  <si>
    <t>RN 565846/7-8</t>
  </si>
  <si>
    <t>CL544490</t>
  </si>
  <si>
    <t>RN 565846/9-10</t>
  </si>
  <si>
    <t>CL544518</t>
  </si>
  <si>
    <t>RN 565846/11-12</t>
  </si>
  <si>
    <t>CL554537</t>
  </si>
  <si>
    <t>RN 565846/13-14</t>
  </si>
  <si>
    <t>CL544538</t>
  </si>
  <si>
    <t>RN 565846/15-16</t>
  </si>
  <si>
    <t>CL544553</t>
  </si>
  <si>
    <t>RN 565846/17-18</t>
  </si>
  <si>
    <t>CL544557</t>
  </si>
  <si>
    <t>RN 565846/19-20</t>
  </si>
  <si>
    <t>CL544569</t>
  </si>
  <si>
    <t>RN 565846/21-22</t>
  </si>
  <si>
    <t>CL544589</t>
  </si>
  <si>
    <t>RN 565846/23-24</t>
  </si>
  <si>
    <t>CL544597</t>
  </si>
  <si>
    <t>RN 565846/25-26</t>
  </si>
  <si>
    <t>CL544610</t>
  </si>
  <si>
    <t>RN 565846/27-28</t>
  </si>
  <si>
    <t>CL544617</t>
  </si>
  <si>
    <t>RN 565846/29-30</t>
  </si>
  <si>
    <t>CL544641</t>
  </si>
  <si>
    <t>RN 565846/31-32</t>
  </si>
  <si>
    <t>CL544648</t>
  </si>
  <si>
    <t>RN 565846/33-34</t>
  </si>
  <si>
    <t>CL544673</t>
  </si>
  <si>
    <t>RN 565846/35-36</t>
  </si>
  <si>
    <t>CL544705</t>
  </si>
  <si>
    <t>RN 565846/37-38</t>
  </si>
  <si>
    <t>CL544729</t>
  </si>
  <si>
    <t>RN 565846/39-40</t>
  </si>
  <si>
    <t>CL544753</t>
  </si>
  <si>
    <t>RN 92971/1-2</t>
  </si>
  <si>
    <t>CL544757</t>
  </si>
  <si>
    <t>RN 92971/3-4</t>
  </si>
  <si>
    <t>CL544767</t>
  </si>
  <si>
    <t>RN 92971/5-6</t>
  </si>
  <si>
    <t>CL544807</t>
  </si>
  <si>
    <t>RN 92971/7-8</t>
  </si>
  <si>
    <t>CL544819</t>
  </si>
  <si>
    <t>RN 92971/9-10</t>
  </si>
  <si>
    <t>CL544839</t>
  </si>
  <si>
    <t>RN 92971/11-12</t>
  </si>
  <si>
    <t>CL544842</t>
  </si>
  <si>
    <t>RN 92971/13-14</t>
  </si>
  <si>
    <t>CL544874</t>
  </si>
  <si>
    <t>RN 92971/15-16</t>
  </si>
  <si>
    <t>CL544879</t>
  </si>
  <si>
    <t>RN 92971/17-18</t>
  </si>
  <si>
    <t>CL544885</t>
  </si>
  <si>
    <t>RN 92971/19-20</t>
  </si>
  <si>
    <t>CL544891</t>
  </si>
  <si>
    <t>RN 92971/21-22</t>
  </si>
  <si>
    <t>CL544901</t>
  </si>
  <si>
    <t>RN 92971/23-24</t>
  </si>
  <si>
    <t>CL544905</t>
  </si>
  <si>
    <t>RN 92971/25-26</t>
  </si>
  <si>
    <t>CL544910</t>
  </si>
  <si>
    <t>RN 92971/27-28</t>
  </si>
  <si>
    <t>CL544925</t>
  </si>
  <si>
    <t>RN 92971/29-30</t>
  </si>
  <si>
    <t>CL544942</t>
  </si>
  <si>
    <t>RN 92971/31-32</t>
  </si>
  <si>
    <t>CL544947</t>
  </si>
  <si>
    <t>RN 92971/33-34</t>
  </si>
  <si>
    <t>CL545009</t>
  </si>
  <si>
    <t>RN 92971/35-36</t>
  </si>
  <si>
    <t>CL545017</t>
  </si>
  <si>
    <t>RN 92971/37-38</t>
  </si>
  <si>
    <t>CL545021</t>
  </si>
  <si>
    <t>RN 92971/39-40</t>
  </si>
  <si>
    <t>CL545038</t>
  </si>
  <si>
    <t>RN 710400/1-2</t>
  </si>
  <si>
    <t>CL545059</t>
  </si>
  <si>
    <t>RN 710400/3-4</t>
  </si>
  <si>
    <t>CL545066</t>
  </si>
  <si>
    <t>RN 710400/5-6</t>
  </si>
  <si>
    <t>CL545080</t>
  </si>
  <si>
    <t>RN 710400/7-8</t>
  </si>
  <si>
    <t>CL545096</t>
  </si>
  <si>
    <t>RN 710400/9-10</t>
  </si>
  <si>
    <t>CL545107</t>
  </si>
  <si>
    <t>RN 710400/11-12</t>
  </si>
  <si>
    <t>CL545122</t>
  </si>
  <si>
    <t>RN 710400/13-14</t>
  </si>
  <si>
    <t>CL545145</t>
  </si>
  <si>
    <t>RN 710400/15-16</t>
  </si>
  <si>
    <t>CL545156</t>
  </si>
  <si>
    <t>RN 710400/17-18</t>
  </si>
  <si>
    <t>CL545169</t>
  </si>
  <si>
    <t>RN 710400/19-20</t>
  </si>
  <si>
    <t>CL545177</t>
  </si>
  <si>
    <t>RN 710400/21-22</t>
  </si>
  <si>
    <t>CL545190</t>
  </si>
  <si>
    <t>RN 710400/23-24</t>
  </si>
  <si>
    <t>CL545236</t>
  </si>
  <si>
    <t>RN 710400/25-26</t>
  </si>
  <si>
    <t>CL545253</t>
    <phoneticPr fontId="26" type="noConversion"/>
  </si>
  <si>
    <t>RN 395988/1-2</t>
    <phoneticPr fontId="26" type="noConversion"/>
  </si>
  <si>
    <t>CL545289</t>
  </si>
  <si>
    <t>RN 710400/31-32</t>
  </si>
  <si>
    <t>CL545329</t>
  </si>
  <si>
    <t>RN 710400/33-34</t>
  </si>
  <si>
    <t>CL545352</t>
  </si>
  <si>
    <t>RN 710400/37-38</t>
  </si>
  <si>
    <t>CL545356</t>
  </si>
  <si>
    <t>RN 710400/39-40</t>
  </si>
  <si>
    <t>CL545419</t>
  </si>
  <si>
    <t>RN 710400/43-44</t>
    <phoneticPr fontId="26" type="noConversion"/>
  </si>
  <si>
    <t>CL542749</t>
    <phoneticPr fontId="26" type="noConversion"/>
  </si>
  <si>
    <t>RN 710400/45-46</t>
    <phoneticPr fontId="26" type="noConversion"/>
  </si>
  <si>
    <t>CL545436</t>
  </si>
  <si>
    <t>RN 753744/1-2</t>
  </si>
  <si>
    <t>CL545483</t>
  </si>
  <si>
    <t>RN 753744/3-4</t>
  </si>
  <si>
    <t>CL545540</t>
  </si>
  <si>
    <t>RN 753744/5-6</t>
  </si>
  <si>
    <t>CL545568</t>
  </si>
  <si>
    <t>RN 753744/7-8</t>
  </si>
  <si>
    <t>CL545569</t>
  </si>
  <si>
    <t>RN 753744/9-10</t>
  </si>
  <si>
    <t>CL545586</t>
  </si>
  <si>
    <t>RN 753744/11-12</t>
  </si>
  <si>
    <t>CL545598</t>
  </si>
  <si>
    <t>RN 753744/13-14</t>
  </si>
  <si>
    <t>CL545624</t>
  </si>
  <si>
    <t>RN 753744/15-16</t>
  </si>
  <si>
    <t>CL545648</t>
  </si>
  <si>
    <t>RN 753744/17-18</t>
  </si>
  <si>
    <t>CL545699</t>
  </si>
  <si>
    <t>RN 753744/19-20</t>
  </si>
  <si>
    <t>CL545702</t>
  </si>
  <si>
    <t>RN 753744/21-22</t>
  </si>
  <si>
    <t>CL545721</t>
  </si>
  <si>
    <t>RN 753744/23-24</t>
  </si>
  <si>
    <t>CL545742</t>
  </si>
  <si>
    <t>RN 753744/25-26</t>
  </si>
  <si>
    <t>CL545771</t>
  </si>
  <si>
    <t>RN 753744/27-28</t>
  </si>
  <si>
    <t>CL543400</t>
    <phoneticPr fontId="26" type="noConversion"/>
  </si>
  <si>
    <t>RN 564076/1-2</t>
    <phoneticPr fontId="26" type="noConversion"/>
  </si>
  <si>
    <t>CL546169</t>
    <phoneticPr fontId="26" type="noConversion"/>
  </si>
  <si>
    <t>RN 564076/3-4</t>
    <phoneticPr fontId="26" type="noConversion"/>
  </si>
  <si>
    <t>CL545801</t>
  </si>
  <si>
    <t>RN 753744/29-30</t>
  </si>
  <si>
    <t>Pre-Pro</t>
    <phoneticPr fontId="26" type="noConversion"/>
  </si>
  <si>
    <t>Pre-Pro</t>
  </si>
  <si>
    <t>TBC</t>
    <phoneticPr fontId="26" type="noConversion"/>
  </si>
  <si>
    <t>361896966428</t>
    <phoneticPr fontId="26" type="noConversion"/>
  </si>
  <si>
    <t>575108939768</t>
    <phoneticPr fontId="26" type="noConversion"/>
  </si>
  <si>
    <t>908027418854</t>
    <phoneticPr fontId="26" type="noConversion"/>
  </si>
  <si>
    <t>881954757325</t>
    <phoneticPr fontId="26" type="noConversion"/>
  </si>
  <si>
    <t>956448765848</t>
    <phoneticPr fontId="26" type="noConversion"/>
  </si>
  <si>
    <t>002775170267</t>
    <phoneticPr fontId="26" type="noConversion"/>
  </si>
  <si>
    <t>260210619717</t>
    <phoneticPr fontId="26" type="noConversion"/>
  </si>
  <si>
    <t>237268432436</t>
    <phoneticPr fontId="26" type="noConversion"/>
  </si>
  <si>
    <t>676114046835</t>
    <phoneticPr fontId="26" type="noConversion"/>
  </si>
  <si>
    <t>532287183261</t>
    <phoneticPr fontId="26" type="noConversion"/>
  </si>
  <si>
    <t>339712878668</t>
    <phoneticPr fontId="26" type="noConversion"/>
  </si>
  <si>
    <t>461786164322</t>
    <phoneticPr fontId="26" type="noConversion"/>
  </si>
  <si>
    <t>481323062342</t>
    <phoneticPr fontId="26" type="noConversion"/>
  </si>
  <si>
    <t>380257588550</t>
    <phoneticPr fontId="26" type="noConversion"/>
  </si>
  <si>
    <t>186919233728</t>
    <phoneticPr fontId="26" type="noConversion"/>
  </si>
  <si>
    <t>041005992310</t>
    <phoneticPr fontId="26" type="noConversion"/>
  </si>
  <si>
    <t>707061976182</t>
    <phoneticPr fontId="26" type="noConversion"/>
  </si>
  <si>
    <t>242187228062</t>
    <phoneticPr fontId="26" type="noConversion"/>
  </si>
  <si>
    <t>330266437617</t>
    <phoneticPr fontId="26" type="noConversion"/>
  </si>
  <si>
    <t>243355322607</t>
    <phoneticPr fontId="26" type="noConversion"/>
  </si>
  <si>
    <t>822745877320</t>
    <phoneticPr fontId="26" type="noConversion"/>
  </si>
  <si>
    <t>854575157345</t>
    <phoneticPr fontId="26" type="noConversion"/>
  </si>
  <si>
    <t>663479916253</t>
    <phoneticPr fontId="26" type="noConversion"/>
  </si>
  <si>
    <t>863718308650</t>
    <phoneticPr fontId="26" type="noConversion"/>
  </si>
  <si>
    <t>057973380129</t>
    <phoneticPr fontId="26" type="noConversion"/>
  </si>
  <si>
    <t>896406199157</t>
    <phoneticPr fontId="26" type="noConversion"/>
  </si>
  <si>
    <t>791744716112</t>
    <phoneticPr fontId="26" type="noConversion"/>
  </si>
  <si>
    <t>066636665577</t>
    <phoneticPr fontId="26" type="noConversion"/>
  </si>
  <si>
    <t>367442066962</t>
    <phoneticPr fontId="26" type="noConversion"/>
  </si>
  <si>
    <t>412925406271</t>
    <phoneticPr fontId="26" type="noConversion"/>
  </si>
  <si>
    <t>116441480007</t>
    <phoneticPr fontId="26" type="noConversion"/>
  </si>
  <si>
    <t>715841323648</t>
    <phoneticPr fontId="26" type="noConversion"/>
  </si>
  <si>
    <t>442426893434</t>
    <phoneticPr fontId="26" type="noConversion"/>
  </si>
  <si>
    <t>471112869879</t>
    <phoneticPr fontId="26" type="noConversion"/>
  </si>
  <si>
    <t>891376952957</t>
    <phoneticPr fontId="26" type="noConversion"/>
  </si>
  <si>
    <t>510884920825</t>
    <phoneticPr fontId="26" type="noConversion"/>
  </si>
  <si>
    <t>928287611615</t>
    <phoneticPr fontId="26" type="noConversion"/>
  </si>
  <si>
    <t>900256211226</t>
    <phoneticPr fontId="26" type="noConversion"/>
  </si>
  <si>
    <t>842981418081</t>
    <phoneticPr fontId="26" type="noConversion"/>
  </si>
  <si>
    <t>299215650245</t>
    <phoneticPr fontId="26" type="noConversion"/>
  </si>
  <si>
    <t>101985833147</t>
    <phoneticPr fontId="26" type="noConversion"/>
  </si>
  <si>
    <t>905418094822</t>
    <phoneticPr fontId="26" type="noConversion"/>
  </si>
  <si>
    <t>730335328560</t>
    <phoneticPr fontId="26" type="noConversion"/>
  </si>
  <si>
    <t>058264422739</t>
    <phoneticPr fontId="26" type="noConversion"/>
  </si>
  <si>
    <t>342503623931</t>
    <phoneticPr fontId="26" type="noConversion"/>
  </si>
  <si>
    <t>992152886196</t>
    <phoneticPr fontId="26" type="noConversion"/>
  </si>
  <si>
    <t>637423615662</t>
    <phoneticPr fontId="26" type="noConversion"/>
  </si>
  <si>
    <t>484484082334</t>
    <phoneticPr fontId="26" type="noConversion"/>
  </si>
  <si>
    <t>060876577294</t>
    <phoneticPr fontId="26" type="noConversion"/>
  </si>
  <si>
    <t>261406693448</t>
    <phoneticPr fontId="26" type="noConversion"/>
  </si>
  <si>
    <t>802934554556</t>
    <phoneticPr fontId="26" type="noConversion"/>
  </si>
  <si>
    <t>666139673655</t>
    <phoneticPr fontId="26" type="noConversion"/>
  </si>
  <si>
    <t>262505692102</t>
    <phoneticPr fontId="26" type="noConversion"/>
  </si>
  <si>
    <t>863343293303</t>
    <phoneticPr fontId="26" type="noConversion"/>
  </si>
  <si>
    <t>790585878487</t>
    <phoneticPr fontId="26" type="noConversion"/>
  </si>
  <si>
    <t>210487801427</t>
    <phoneticPr fontId="26" type="noConversion"/>
  </si>
  <si>
    <t>226502818886</t>
    <phoneticPr fontId="26" type="noConversion"/>
  </si>
  <si>
    <t>273777866647</t>
    <phoneticPr fontId="26" type="noConversion"/>
  </si>
  <si>
    <t>600201146200</t>
    <phoneticPr fontId="26" type="noConversion"/>
  </si>
  <si>
    <t>438190899623</t>
    <phoneticPr fontId="26" type="noConversion"/>
  </si>
  <si>
    <t>015428814401</t>
    <phoneticPr fontId="26" type="noConversion"/>
  </si>
  <si>
    <t>745329338859</t>
    <phoneticPr fontId="26" type="noConversion"/>
  </si>
  <si>
    <t>390378707905</t>
    <phoneticPr fontId="26" type="noConversion"/>
  </si>
  <si>
    <t>856699698518</t>
    <phoneticPr fontId="26" type="noConversion"/>
  </si>
  <si>
    <t>435942178851</t>
    <phoneticPr fontId="26" type="noConversion"/>
  </si>
  <si>
    <t>621501706195</t>
    <phoneticPr fontId="26" type="noConversion"/>
  </si>
  <si>
    <t>256788310800</t>
    <phoneticPr fontId="26" type="noConversion"/>
  </si>
  <si>
    <t>553085098556</t>
    <phoneticPr fontId="26" type="noConversion"/>
  </si>
  <si>
    <t>674245802421</t>
    <phoneticPr fontId="26" type="noConversion"/>
  </si>
  <si>
    <t>805457379034</t>
    <phoneticPr fontId="26" type="noConversion"/>
  </si>
  <si>
    <t>265623039870</t>
    <phoneticPr fontId="26" type="noConversion"/>
  </si>
  <si>
    <t>237098269974</t>
    <phoneticPr fontId="26" type="noConversion"/>
  </si>
  <si>
    <t>992382841375</t>
    <phoneticPr fontId="26" type="noConversion"/>
  </si>
  <si>
    <t>381492025051</t>
    <phoneticPr fontId="26" type="noConversion"/>
  </si>
  <si>
    <t>339712754648</t>
    <phoneticPr fontId="26" type="noConversion"/>
  </si>
  <si>
    <t>846850656404</t>
    <phoneticPr fontId="26" type="noConversion"/>
  </si>
  <si>
    <t>159092667295</t>
    <phoneticPr fontId="26" type="noConversion"/>
  </si>
  <si>
    <t>466424646140</t>
    <phoneticPr fontId="26" type="noConversion"/>
  </si>
  <si>
    <t>691034704391</t>
    <phoneticPr fontId="26" type="noConversion"/>
  </si>
  <si>
    <t>157115797156</t>
    <phoneticPr fontId="26" type="noConversion"/>
  </si>
  <si>
    <t>855546030651</t>
    <phoneticPr fontId="26" type="noConversion"/>
  </si>
  <si>
    <t>730335276474</t>
    <phoneticPr fontId="26" type="noConversion"/>
  </si>
  <si>
    <t>926674141235</t>
    <phoneticPr fontId="26" type="noConversion"/>
  </si>
  <si>
    <t>443272593730</t>
    <phoneticPr fontId="26" type="noConversion"/>
  </si>
  <si>
    <t>092048603010</t>
    <phoneticPr fontId="26" type="noConversion"/>
  </si>
  <si>
    <t>560069019409</t>
    <phoneticPr fontId="26" type="noConversion"/>
  </si>
  <si>
    <t>629497447378</t>
    <phoneticPr fontId="26" type="noConversion"/>
  </si>
  <si>
    <t>537304743562</t>
    <phoneticPr fontId="26" type="noConversion"/>
  </si>
  <si>
    <t>455945952882</t>
    <phoneticPr fontId="26" type="noConversion"/>
  </si>
  <si>
    <t>246905018772</t>
    <phoneticPr fontId="26" type="noConversion"/>
  </si>
  <si>
    <t>376674417775</t>
    <phoneticPr fontId="26" type="noConversion"/>
  </si>
  <si>
    <t>394572243506</t>
    <phoneticPr fontId="26" type="noConversion"/>
  </si>
  <si>
    <t>339713073443</t>
    <phoneticPr fontId="26" type="noConversion"/>
  </si>
  <si>
    <t>992382828277</t>
    <phoneticPr fontId="26" type="noConversion"/>
  </si>
  <si>
    <t>567448487886</t>
    <phoneticPr fontId="26" type="noConversion"/>
  </si>
  <si>
    <t>592653933535</t>
    <phoneticPr fontId="26" type="noConversion"/>
  </si>
  <si>
    <t>516725542344</t>
    <phoneticPr fontId="26" type="noConversion"/>
  </si>
  <si>
    <t>247328584139</t>
    <phoneticPr fontId="26" type="noConversion"/>
  </si>
  <si>
    <t>637452052881</t>
    <phoneticPr fontId="26" type="noConversion"/>
  </si>
  <si>
    <t>AI applications POC</t>
    <phoneticPr fontId="26" type="noConversion"/>
  </si>
  <si>
    <t>aws_Starbucks_Partner_App</t>
    <phoneticPr fontId="26" type="noConversion"/>
  </si>
  <si>
    <t>aws_Starbucks_Partner_App_pro</t>
    <phoneticPr fontId="26" type="noConversion"/>
  </si>
  <si>
    <t>bp_pro_9511</t>
    <phoneticPr fontId="26" type="noConversion"/>
  </si>
  <si>
    <t>BP-Lava Pre-Order Project</t>
    <phoneticPr fontId="26" type="noConversion"/>
  </si>
  <si>
    <t>Brand Product COP - Production</t>
    <phoneticPr fontId="26" type="noConversion"/>
  </si>
  <si>
    <t>Brand Product COP - UAT</t>
    <phoneticPr fontId="26" type="noConversion"/>
  </si>
  <si>
    <t>CC - Starbucks Mobile Application - Production</t>
    <phoneticPr fontId="26" type="noConversion"/>
  </si>
  <si>
    <t>CCVN - Starbucks Mobile Application - Production</t>
    <phoneticPr fontId="26" type="noConversion"/>
  </si>
  <si>
    <t>CCVN &amp; CCC - Starbucks Mobile Application - UAT)</t>
    <phoneticPr fontId="26" type="noConversion"/>
  </si>
  <si>
    <t>Cheese Cake Factory Website - Production</t>
    <phoneticPr fontId="26" type="noConversion"/>
  </si>
  <si>
    <t>Cloud Promotion Engine - Production</t>
    <phoneticPr fontId="26" type="noConversion"/>
  </si>
  <si>
    <t>Cloud Promotion Engine - UAT</t>
    <phoneticPr fontId="26" type="noConversion"/>
  </si>
  <si>
    <t>Corporate and Build Sustainability Sites - PRO</t>
    <phoneticPr fontId="26" type="noConversion"/>
  </si>
  <si>
    <t>Corporate and Build Sustainability Sites - UAT</t>
    <phoneticPr fontId="26" type="noConversion"/>
  </si>
  <si>
    <t>COVA Cake Ordering Project - Production</t>
    <phoneticPr fontId="26" type="noConversion"/>
  </si>
  <si>
    <t>COVA Cake Ordering Project - UAT</t>
    <phoneticPr fontId="26" type="noConversion"/>
  </si>
  <si>
    <t>COVA CRM APP - Development</t>
    <phoneticPr fontId="26" type="noConversion"/>
  </si>
  <si>
    <t>COVA CRM APP - Production</t>
    <phoneticPr fontId="26" type="noConversion"/>
  </si>
  <si>
    <t>COVA CRM APP - UAT)</t>
    <phoneticPr fontId="26" type="noConversion"/>
  </si>
  <si>
    <t>dsc_pro_09122</t>
    <phoneticPr fontId="26" type="noConversion"/>
  </si>
  <si>
    <t>dsc_uat_09122</t>
    <phoneticPr fontId="26" type="noConversion"/>
  </si>
  <si>
    <t>E-Coupon App - UAT</t>
    <phoneticPr fontId="26" type="noConversion"/>
  </si>
  <si>
    <t>Eatizen Application - Production</t>
    <phoneticPr fontId="26" type="noConversion"/>
  </si>
  <si>
    <t>Eatizen Application - UAT</t>
    <phoneticPr fontId="26" type="noConversion"/>
  </si>
  <si>
    <t>F5 Shape Security</t>
    <phoneticPr fontId="26" type="noConversion"/>
  </si>
  <si>
    <t>Genki KDS Time Interval Setting - Development</t>
    <phoneticPr fontId="26" type="noConversion"/>
  </si>
  <si>
    <t>Genki KDS Time Interval Setting - Production</t>
    <phoneticPr fontId="26" type="noConversion"/>
  </si>
  <si>
    <t>Genki KDS Time Interval Setting - UAT</t>
    <phoneticPr fontId="26" type="noConversion"/>
  </si>
  <si>
    <t>Genki Online Ordering - Web &amp; App - Prod (new)</t>
    <phoneticPr fontId="26" type="noConversion"/>
  </si>
  <si>
    <t>Genki Online Ordering - Web &amp; App - UAT (new)</t>
    <phoneticPr fontId="26" type="noConversion"/>
  </si>
  <si>
    <t>Genki Sushi Thailand Brand Website - Production</t>
    <phoneticPr fontId="26" type="noConversion"/>
  </si>
  <si>
    <t>Genki Sushi Thailand Brand Website - UAT</t>
    <phoneticPr fontId="26" type="noConversion"/>
  </si>
  <si>
    <t>Genki Web &amp; App - Development</t>
    <phoneticPr fontId="26" type="noConversion"/>
  </si>
  <si>
    <t>Internal Audit Sandbox</t>
    <phoneticPr fontId="26" type="noConversion"/>
  </si>
  <si>
    <t>it_infra_marketplace_9127</t>
    <phoneticPr fontId="26" type="noConversion"/>
  </si>
  <si>
    <t>Landing Zone - IAM</t>
    <phoneticPr fontId="26" type="noConversion"/>
  </si>
  <si>
    <t>Landing Zone - Log</t>
    <phoneticPr fontId="26" type="noConversion"/>
  </si>
  <si>
    <t>Landing Zone - Security</t>
    <phoneticPr fontId="26" type="noConversion"/>
  </si>
  <si>
    <t>Landing Zone - Shared Service</t>
    <phoneticPr fontId="26" type="noConversion"/>
  </si>
  <si>
    <t>Landing Zone - Workload Production</t>
    <phoneticPr fontId="26" type="noConversion"/>
  </si>
  <si>
    <t>Lawrys website - Production</t>
    <phoneticPr fontId="26" type="noConversion"/>
  </si>
  <si>
    <t>Maxconcepts website - Production</t>
    <phoneticPr fontId="26" type="noConversion"/>
  </si>
  <si>
    <t>Maxconcepts website - UAT</t>
    <phoneticPr fontId="26" type="noConversion"/>
  </si>
  <si>
    <t>Maxim Shakeshack</t>
    <phoneticPr fontId="26" type="noConversion"/>
  </si>
  <si>
    <t>Maxim's - Galamax</t>
    <phoneticPr fontId="26" type="noConversion"/>
  </si>
  <si>
    <t>Maxim's Catering Services Website - Production</t>
    <phoneticPr fontId="26" type="noConversion"/>
  </si>
  <si>
    <t>Maxims Cake Affiliate Brands Web-Production</t>
    <phoneticPr fontId="26" type="noConversion"/>
  </si>
  <si>
    <t>Maxims Chinese (CRD)</t>
    <phoneticPr fontId="26" type="noConversion"/>
  </si>
  <si>
    <t>Maxims Digital Team</t>
    <phoneticPr fontId="26" type="noConversion"/>
  </si>
  <si>
    <t>Maxims Infra</t>
    <phoneticPr fontId="26" type="noConversion"/>
  </si>
  <si>
    <t>Maxims Online Order (BP Mooncake)</t>
    <phoneticPr fontId="26" type="noConversion"/>
  </si>
  <si>
    <t>Maxims QSR BYOD</t>
    <phoneticPr fontId="26" type="noConversion"/>
  </si>
  <si>
    <t>Maxims QSR Website</t>
    <phoneticPr fontId="26" type="noConversion"/>
  </si>
  <si>
    <t>MX JCR</t>
    <phoneticPr fontId="26" type="noConversion"/>
  </si>
  <si>
    <t>MX_Cop*</t>
    <phoneticPr fontId="26" type="noConversion"/>
  </si>
  <si>
    <t>mx_eatizen_9166</t>
    <phoneticPr fontId="26" type="noConversion"/>
  </si>
  <si>
    <t>MX_GSCDMS9128</t>
    <phoneticPr fontId="26" type="noConversion"/>
  </si>
  <si>
    <t>mx_yummyhuts_9189</t>
    <phoneticPr fontId="26" type="noConversion"/>
  </si>
  <si>
    <t>Queuing Reservation System 2.0 &amp; 3.0 - DevOps</t>
    <phoneticPr fontId="26" type="noConversion"/>
  </si>
  <si>
    <t>Queuing Reservation System 2.0 &amp; 3.0 - Production</t>
    <phoneticPr fontId="26" type="noConversion"/>
  </si>
  <si>
    <t>Queuing Reservation System 2.0 &amp; 3.0 - UAT</t>
    <phoneticPr fontId="26" type="noConversion"/>
  </si>
  <si>
    <t>SEA Starbucks One App - Development</t>
    <phoneticPr fontId="26" type="noConversion"/>
  </si>
  <si>
    <t>SEA Starbucks One App - UAT</t>
    <phoneticPr fontId="26" type="noConversion"/>
  </si>
  <si>
    <t>Sen-ryo Revamp Web &amp; App - Development</t>
    <phoneticPr fontId="26" type="noConversion"/>
  </si>
  <si>
    <t>Sen-ryo Revamp Web &amp; App - Pre-Production</t>
    <phoneticPr fontId="26" type="noConversion"/>
  </si>
  <si>
    <t>Sen-ryo Revamp Web &amp; App - Production</t>
    <phoneticPr fontId="26" type="noConversion"/>
  </si>
  <si>
    <t>Sen-ryo Revamp Web &amp; App - SIT</t>
    <phoneticPr fontId="26" type="noConversion"/>
  </si>
  <si>
    <t>Sen-ryo Revamp Web &amp; App - UAT</t>
    <phoneticPr fontId="26" type="noConversion"/>
  </si>
  <si>
    <t>Shake Shack Thailand Brand Website &amp; CMS - Develop</t>
    <phoneticPr fontId="26" type="noConversion"/>
  </si>
  <si>
    <t>Shake Shack Thailand Brand Website &amp; CMS - Product</t>
    <phoneticPr fontId="26" type="noConversion"/>
  </si>
  <si>
    <t>Shake Shack Thailand Brand Website &amp; CMS - UAT</t>
    <phoneticPr fontId="26" type="noConversion"/>
  </si>
  <si>
    <t>Shake Shack Website Revamp - Production</t>
    <phoneticPr fontId="26" type="noConversion"/>
  </si>
  <si>
    <t>Shake Shack Website Revamp - UAT</t>
    <phoneticPr fontId="26" type="noConversion"/>
  </si>
  <si>
    <t>SimplyLife website - Production</t>
    <phoneticPr fontId="26" type="noConversion"/>
  </si>
  <si>
    <t>Starbucks - HK/MO Web &amp; Application - UAT (new)</t>
    <phoneticPr fontId="26" type="noConversion"/>
  </si>
  <si>
    <t>Starbucks Coffee Singapore</t>
    <phoneticPr fontId="26" type="noConversion"/>
  </si>
  <si>
    <t>Starbucks HK/MO - Web &amp; App - PPE (new)</t>
    <phoneticPr fontId="26" type="noConversion"/>
  </si>
  <si>
    <t>Starbucks HK/MO - Web &amp; App - Production (new)</t>
    <phoneticPr fontId="26" type="noConversion"/>
  </si>
  <si>
    <t>Starbucks SG</t>
    <phoneticPr fontId="26" type="noConversion"/>
  </si>
  <si>
    <t>Starbucks Thailand Mobile App - Development</t>
    <phoneticPr fontId="26" type="noConversion"/>
  </si>
  <si>
    <t>Starbucks Thailand Mobile Application - Pre-Prod</t>
    <phoneticPr fontId="26" type="noConversion"/>
  </si>
  <si>
    <t>Starbucks Thailand Mobile Application - Production</t>
    <phoneticPr fontId="26" type="noConversion"/>
  </si>
  <si>
    <t>Starbucks Thailand Mobile Application - UAT</t>
    <phoneticPr fontId="26" type="noConversion"/>
  </si>
  <si>
    <t>Starbucks Thailand Web - Development</t>
    <phoneticPr fontId="26" type="noConversion"/>
  </si>
  <si>
    <t>Starbucks Thailand Web - Pro</t>
    <phoneticPr fontId="26" type="noConversion"/>
  </si>
  <si>
    <t>Starbucks Thailand Web - UAT</t>
    <phoneticPr fontId="26" type="noConversion"/>
  </si>
  <si>
    <t>Unified Payment Gateway - DevOps</t>
    <phoneticPr fontId="26" type="noConversion"/>
  </si>
  <si>
    <t>Unified Payment Gateway - Preproduction</t>
    <phoneticPr fontId="26" type="noConversion"/>
  </si>
  <si>
    <t>Unified Payment Gateway - Production</t>
    <phoneticPr fontId="26" type="noConversion"/>
  </si>
  <si>
    <t>Unified Payment Gateway - UAT</t>
    <phoneticPr fontId="26" type="noConversion"/>
  </si>
  <si>
    <t>Unified Payment Service - Development</t>
    <phoneticPr fontId="26" type="noConversion"/>
  </si>
  <si>
    <t>Warehouse Management System - Production</t>
    <phoneticPr fontId="26" type="noConversion"/>
  </si>
  <si>
    <t>Warehouse Management System - UAT</t>
    <phoneticPr fontId="26" type="noConversion"/>
  </si>
  <si>
    <t>M.A.X Concepts Website - Production</t>
    <phoneticPr fontId="26" type="noConversion"/>
  </si>
  <si>
    <t>M.A.X Concepts Website - UAT</t>
    <phoneticPr fontId="26" type="noConversion"/>
  </si>
  <si>
    <t>Maxims Master</t>
    <phoneticPr fontId="26" type="noConversion"/>
  </si>
  <si>
    <t>Starbucks One App - Production</t>
    <phoneticPr fontId="26" type="noConversion"/>
  </si>
  <si>
    <t>Starbucks One App - Pre-Production</t>
    <phoneticPr fontId="26" type="noConversion"/>
  </si>
  <si>
    <t>aipoc_dev@maxims.com.hk (0)</t>
  </si>
  <si>
    <t>aws_Starbucks_Partner_App@maxims.com.hk</t>
  </si>
  <si>
    <t>aws_Starbucks_Partner_App_pro@maxims.com.hk</t>
  </si>
  <si>
    <t>bp_pro_9511@maxims.com.hk</t>
  </si>
  <si>
    <t>mx_lava_09511@maxims.com.hk</t>
  </si>
  <si>
    <t>bpcop_pro_9511@maxims.com.hk</t>
  </si>
  <si>
    <t>bpcop_uat_9511@maxims.com.hk</t>
  </si>
  <si>
    <t>sbkh_app_pro_4588@maxims.com.hk</t>
    <phoneticPr fontId="26" type="noConversion"/>
  </si>
  <si>
    <t>sbvn_app_pro_16499@maxims.com.hk</t>
  </si>
  <si>
    <t>sbvnkh_app_uat_16499_4588@maxims.com.hk</t>
  </si>
  <si>
    <t>ckf_pro_01893@maxims.com.hk</t>
  </si>
  <si>
    <t>cpe_pro_9122@maxims.com.hk</t>
  </si>
  <si>
    <t>cpe_uat_9122@maxims.com.hk</t>
  </si>
  <si>
    <t>corp_web_pro_9141@maxims.com.hk</t>
  </si>
  <si>
    <t>corp_web_uat_9141@maxims.com.hk</t>
  </si>
  <si>
    <t>mx_cova3099@maxims.com.hk</t>
  </si>
  <si>
    <t>cova_uat_3099@maxims.com.hk</t>
  </si>
  <si>
    <t>cca_dev_3099@maxims.com.hk</t>
  </si>
  <si>
    <t>cca_pro_3099@maxims.com.hk</t>
  </si>
  <si>
    <t>cca_uat_3099@maxims.com.hk</t>
  </si>
  <si>
    <t>dsc_pro_09122@maxims.com.hk</t>
  </si>
  <si>
    <t>dsc_uat_09122@maxims.com.hk</t>
  </si>
  <si>
    <t>ecp_uat_9122@maxims.com.hk</t>
  </si>
  <si>
    <t>eatizen_pro_2_9166@maxims.com.hk</t>
  </si>
  <si>
    <t>eatizen_uat_2_9166@maxims.com.hk</t>
  </si>
  <si>
    <t>f5_shape_04588_04692_12060_14999_16499@maxims.com.hk</t>
  </si>
  <si>
    <t>genki_kds_cms_dev_5185@maxims.com.hk</t>
  </si>
  <si>
    <t>genki_kds_cms_pro_5185@maxims.com.hk</t>
  </si>
  <si>
    <t>genki_kds_cms_uat_5185@maxims.com.hk</t>
  </si>
  <si>
    <t>mx_genki_web_app_pro_5185@maxims.com.hk</t>
  </si>
  <si>
    <t>mx_genki_web_app_5185@maxims.com.hk</t>
  </si>
  <si>
    <t>gs_th_web_pro_15231@maxims.com.hk</t>
  </si>
  <si>
    <t>gs_th_web_uat_15231@maxims.com.hk</t>
  </si>
  <si>
    <t>genki_web_app_dev_5185@maxims.com.hk</t>
  </si>
  <si>
    <t>ia_sandbox_9122@maxims.com.hk</t>
  </si>
  <si>
    <t>it_infra_marketplace_9127@maxims.com.hk</t>
  </si>
  <si>
    <t>lz_iam_9122@maxims.com.hk</t>
  </si>
  <si>
    <t>lz_log_9122@maxims.com.hk</t>
  </si>
  <si>
    <t>lz_security_9122@maxims.com.hk</t>
  </si>
  <si>
    <t>lz_shared_9122@maxims.com.hk</t>
  </si>
  <si>
    <t>lz_workload_pro_9122@maxims.com.hk</t>
  </si>
  <si>
    <t>lawrys_web_pro_09146@maxims.com.hk</t>
  </si>
  <si>
    <t>maxconcepts_web_pro_09136@maxims.com.hk</t>
  </si>
  <si>
    <t>maxconcepts_web_uat_09136@maxims.com.hk</t>
  </si>
  <si>
    <t>mxshakeshack_10900@maxims.com.hk</t>
  </si>
  <si>
    <t>mx_galamax_2898@maxims.com.hk</t>
  </si>
  <si>
    <t>csd_pro_02910@maxims.com.hk</t>
  </si>
  <si>
    <t>mca_pro_9138@maxims.com.hk</t>
  </si>
  <si>
    <t>mx_crd9139@maxims.com.hk</t>
  </si>
  <si>
    <t>mx_digital_9122@maxims.com.hk</t>
  </si>
  <si>
    <t>iapps@maxims.com.hk</t>
  </si>
  <si>
    <t>mx_bp_9511@maxims.com.hk</t>
  </si>
  <si>
    <t>mx_qsrbyod@maxims.com.hk</t>
  </si>
  <si>
    <t>mx_qsr9137@maxims.com.hk</t>
  </si>
  <si>
    <t>MX_JCR_5185@maxims.com.hk</t>
  </si>
  <si>
    <t>mx_cop_3908_5590@maxims.com.hk</t>
  </si>
  <si>
    <t>mx_eatizen_9166@maxims.com.hk</t>
  </si>
  <si>
    <t>MX_GSCDMS9128@maxims.com.hk</t>
  </si>
  <si>
    <t>mx_yummyhuts_9189@maxims.com.hk</t>
  </si>
  <si>
    <t>groupqrs2_devops_9122@maxims.com.hk</t>
  </si>
  <si>
    <t>groupqrs2_pro_9122@maxims.com.hk</t>
  </si>
  <si>
    <t>groupqrs2_uat_9122@maxims.com.hk</t>
  </si>
  <si>
    <t>sboa_dev@maxims.com.hk</t>
  </si>
  <si>
    <t>sboa_uat@maxims.com.hk</t>
  </si>
  <si>
    <t>sr_web_app_dev_5185@maxims.com.hk</t>
  </si>
  <si>
    <t>sr_web_app_prepro_5185@maxims.com.hk</t>
  </si>
  <si>
    <t>sr_web_app_pro_5185@maxims.com.hk</t>
  </si>
  <si>
    <t>sr_web_app_sit_5185@maxims.com.hk</t>
  </si>
  <si>
    <t>sr_web_app_uat_5185@maxims.com.hk</t>
  </si>
  <si>
    <t>ssweb_th_dev_16649@maxims.com.hk</t>
  </si>
  <si>
    <t>ssweb_th_pro_16649@maxims.com.hk</t>
  </si>
  <si>
    <t>ssweb_th_uat_16649@maxims.com.hk</t>
  </si>
  <si>
    <t>ssw_pro_10900@maxims.com.hk</t>
  </si>
  <si>
    <t>ssw_uat_10900@maxims.com.hk</t>
  </si>
  <si>
    <t>simplylife_web_pro_9136@maxims.com.hk</t>
  </si>
  <si>
    <t>sb_web_app_uat_4692@maxims.com.hk</t>
  </si>
  <si>
    <t>it@starbucks.com.sg</t>
  </si>
  <si>
    <t>mx_sb_web_app_4692@maxims.com.hk</t>
  </si>
  <si>
    <t>mx_sb_web_app_pro_4692@maxims.com.h</t>
  </si>
  <si>
    <t>mx_sbsg_12060@maxims.com.hk</t>
  </si>
  <si>
    <t>sb_th_app_dev_14999@maxims.com.hk</t>
  </si>
  <si>
    <t>sb_th_app_ppro_14999@maxims.com.hk</t>
  </si>
  <si>
    <t>sb_th_app_pro_14999@maxims.com.hk</t>
  </si>
  <si>
    <t>sb_th_app_uat_14999@maxims.com.hk</t>
  </si>
  <si>
    <t>sb_th_web_dev_14999@maxims.com.hk</t>
  </si>
  <si>
    <t>sb_th_web_pro_14999@maxims.com.hk</t>
  </si>
  <si>
    <t>sb_th_web_uat_14999@maxims.com.hk</t>
  </si>
  <si>
    <t>upg_devops_9127@maxims.com.hk</t>
  </si>
  <si>
    <t>upg_prepro_9127@maxims.com.hk</t>
  </si>
  <si>
    <t>upg_pro_9127@maxims.com.hk</t>
  </si>
  <si>
    <t>upg_uat_9127@maxims.com.hk</t>
  </si>
  <si>
    <t>upg_dev_9127@maxims.com.hk</t>
  </si>
  <si>
    <t>wms_pro_09804@maxims.com.hk</t>
  </si>
  <si>
    <t>wms_uat_09804@maxims.com.hk</t>
  </si>
  <si>
    <t>maxconcepts_web_pro_16751@maxims.com.hk</t>
    <phoneticPr fontId="26" type="noConversion"/>
  </si>
  <si>
    <t>maxconcepts_web_uat_16751@maxims.com.hk</t>
    <phoneticPr fontId="26" type="noConversion"/>
  </si>
  <si>
    <t>awspayerid048@hkbn.com.hk</t>
    <phoneticPr fontId="26" type="noConversion"/>
  </si>
  <si>
    <t>sboa@maxims.com.hk</t>
    <phoneticPr fontId="26" type="noConversion"/>
  </si>
  <si>
    <t>sboa_prepro@maxims.com.hk</t>
    <phoneticPr fontId="26" type="noConversion"/>
  </si>
  <si>
    <t>SD11812022</t>
    <phoneticPr fontId="26" type="noConversion"/>
  </si>
  <si>
    <t>SD11805727</t>
    <phoneticPr fontId="26" type="noConversion"/>
  </si>
  <si>
    <t>SD11837300</t>
    <phoneticPr fontId="26" type="noConversion"/>
  </si>
  <si>
    <t>SD11841149</t>
    <phoneticPr fontId="26" type="noConversion"/>
  </si>
  <si>
    <t>MAXIM'S CATERERS LTD.</t>
  </si>
  <si>
    <t>Allen Cheung</t>
  </si>
  <si>
    <t>UE25-00005240\1(OM)</t>
  </si>
  <si>
    <t>http://10.10.10.209/OASIS_FILE_MANAGER/zip_files_download.php?qid=1527300&amp;serialno=UE25-00005240&amp;itemno=1&amp;token=09d9886beec4eac749bc3afe3b2c0da9</t>
  </si>
  <si>
    <t>Tencent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</si>
</sst>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0_);[Red]\(0\)"/>
    <numFmt numFmtId="166" formatCode="0.00_);[Red]\(0.00\)"/>
    <numFmt numFmtId="167" formatCode="000#########"/>
    <numFmt numFmtId="168" formatCode="[$-409]d\-mmm\-yy;@"/>
    <numFmt numFmtId="169" formatCode="0_ "/>
  </numFmts>
  <fonts count="110">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2"/>
      <color theme="1"/>
      <name val="Yu Gothic UI"/>
      <family val="2"/>
      <charset val="128"/>
    </font>
    <font>
      <sz val="11"/>
      <color rgb="FF000000"/>
      <name val="Aptos Narrow"/>
      <family val="2"/>
      <scheme val="minor"/>
    </font>
    <font>
      <b/>
      <sz val="11"/>
      <color rgb="FFFF0000"/>
      <name val="Aptos Narrow"/>
      <family val="2"/>
      <scheme val="minor"/>
    </font>
    <font>
      <sz val="11"/>
      <color rgb="FFFF0000"/>
      <name val="Aptos Narrow"/>
      <family val="1"/>
      <charset val="136"/>
      <scheme val="minor"/>
    </font>
    <font>
      <sz val="11"/>
      <color theme="1"/>
      <name val="Aptos Narrow"/>
      <family val="1"/>
      <scheme val="minor"/>
    </font>
    <font>
      <strike/>
      <sz val="11"/>
      <color theme="1"/>
      <name val="Aptos Narrow"/>
      <family val="1"/>
      <scheme val="minor"/>
    </font>
    <font>
      <sz val="11"/>
      <name val="Aptos Narrow"/>
      <family val="1"/>
      <charset val="136"/>
      <scheme val="minor"/>
    </font>
    <font>
      <b/>
      <sz val="11"/>
      <color theme="1"/>
      <name val="Aptos Narrow"/>
      <family val="1"/>
      <scheme val="minor"/>
    </font>
    <font>
      <sz val="11"/>
      <color rgb="FFFF0000"/>
      <name val="Calibri"/>
      <family val="2"/>
    </font>
    <font>
      <sz val="11"/>
      <color theme="1"/>
      <name val="Aptos Narrow"/>
      <family val="2"/>
    </font>
    <font>
      <sz val="11"/>
      <color theme="1"/>
      <name val="Aptos Display"/>
      <family val="1"/>
      <charset val="136"/>
      <scheme val="major"/>
    </font>
    <font>
      <u/>
      <sz val="11"/>
      <color theme="10"/>
      <name val="Aptos Narrow"/>
      <family val="2"/>
      <scheme val="minor"/>
    </font>
    <font>
      <sz val="11"/>
      <color theme="1"/>
      <name val="Aptos Narrow"/>
      <family val="1"/>
      <charset val="136"/>
      <scheme val="minor"/>
    </font>
    <font>
      <b/>
      <sz val="12"/>
      <color theme="1"/>
      <name val="Yu Gothic UI"/>
      <family val="2"/>
      <charset val="128"/>
    </font>
    <font>
      <sz val="12"/>
      <color rgb="FFFF0000"/>
      <name val="Yu Gothic UI"/>
      <family val="2"/>
      <charset val="128"/>
    </font>
    <font>
      <b/>
      <sz val="11"/>
      <color theme="1"/>
      <name val="Aptos Narrow"/>
      <family val="1"/>
      <charset val="136"/>
      <scheme val="minor"/>
    </font>
    <font>
      <sz val="9"/>
      <color theme="1"/>
      <name val="Arial Unicode MS"/>
      <family val="2"/>
      <charset val="136"/>
    </font>
    <font>
      <sz val="11"/>
      <color rgb="FF000000"/>
      <name val="Calibri"/>
      <family val="2"/>
    </font>
    <font>
      <b/>
      <sz val="11"/>
      <name val="Aptos Narrow"/>
      <family val="1"/>
      <charset val="136"/>
      <scheme val="minor"/>
    </font>
    <font>
      <b/>
      <sz val="11"/>
      <color rgb="FFFF0000"/>
      <name val="Aptos Narrow"/>
      <family val="1"/>
      <charset val="136"/>
      <scheme val="minor"/>
    </font>
    <font>
      <sz val="11"/>
      <name val="Aptos Narrow"/>
      <family val="2"/>
      <scheme val="minor"/>
    </font>
    <font>
      <sz val="10"/>
      <color rgb="FF000000"/>
      <name val="Arial"/>
      <family val="2"/>
    </font>
    <font>
      <sz val="12"/>
      <color rgb="FF002060"/>
      <name val="Aptos Narrow"/>
      <family val="2"/>
      <scheme val="minor"/>
    </font>
    <font>
      <sz val="11"/>
      <color rgb="FF000000"/>
      <name val="Aptos Narrow"/>
      <family val="1"/>
      <charset val="136"/>
      <scheme val="minor"/>
    </font>
    <font>
      <sz val="11"/>
      <color rgb="FF51585D"/>
      <name val="Arial"/>
      <family val="2"/>
    </font>
    <font>
      <sz val="11"/>
      <color rgb="FF444444"/>
      <name val="Calibri"/>
      <family val="2"/>
    </font>
    <font>
      <sz val="11"/>
      <color rgb="FFFF0000"/>
      <name val="Aptos Narrow"/>
      <family val="1"/>
      <scheme val="minor"/>
    </font>
    <font>
      <b/>
      <sz val="11"/>
      <color rgb="FF000000"/>
      <name val="Aptos Narrow"/>
      <family val="2"/>
      <scheme val="minor"/>
    </font>
    <font>
      <sz val="11"/>
      <name val="Aptos Narrow"/>
      <family val="1"/>
      <scheme val="minor"/>
    </font>
    <font>
      <b/>
      <sz val="11"/>
      <color theme="1"/>
      <name val="Calibri"/>
      <family val="2"/>
    </font>
    <font>
      <strike/>
      <sz val="11"/>
      <color theme="1"/>
      <name val="Aptos Narrow"/>
      <family val="1"/>
      <charset val="136"/>
      <scheme val="minor"/>
    </font>
    <font>
      <b/>
      <sz val="11"/>
      <color rgb="FF0070C0"/>
      <name val="Aptos Narrow"/>
      <family val="2"/>
      <scheme val="minor"/>
    </font>
    <font>
      <b/>
      <u/>
      <sz val="11"/>
      <color rgb="FF000000"/>
      <name val="Calibri"/>
      <family val="2"/>
    </font>
    <font>
      <sz val="11"/>
      <color theme="1"/>
      <name val="Calibri"/>
      <family val="2"/>
    </font>
    <font>
      <b/>
      <sz val="11"/>
      <color rgb="FF0070C0"/>
      <name val="Calibri"/>
      <family val="2"/>
    </font>
    <font>
      <b/>
      <sz val="11"/>
      <color rgb="FF000000"/>
      <name val="Calibri"/>
      <family val="2"/>
    </font>
    <font>
      <b/>
      <sz val="11"/>
      <color rgb="FF2F75B5"/>
      <name val="Calibri"/>
      <family val="2"/>
    </font>
    <font>
      <b/>
      <sz val="11"/>
      <color rgb="FF2F75B5"/>
      <name val="Aptos Narrow"/>
      <family val="2"/>
      <scheme val="minor"/>
    </font>
    <font>
      <strike/>
      <sz val="11"/>
      <color rgb="FF000000"/>
      <name val="Aptos Narrow"/>
      <family val="2"/>
      <scheme val="minor"/>
    </font>
    <font>
      <b/>
      <sz val="11"/>
      <color theme="1"/>
      <name val="新細明體"/>
      <family val="1"/>
      <charset val="136"/>
    </font>
    <font>
      <b/>
      <sz val="11"/>
      <name val="新細明體"/>
      <family val="1"/>
      <charset val="136"/>
    </font>
    <font>
      <sz val="11"/>
      <name val="新細明體"/>
      <family val="1"/>
      <charset val="136"/>
    </font>
    <font>
      <sz val="11"/>
      <color rgb="FF000000"/>
      <name val="新細明體"/>
      <family val="1"/>
      <charset val="136"/>
    </font>
    <font>
      <b/>
      <sz val="11"/>
      <color rgb="FF000000"/>
      <name val="Aptos Narrow"/>
      <family val="1"/>
      <charset val="136"/>
      <scheme val="minor"/>
    </font>
    <font>
      <b/>
      <strike/>
      <sz val="11"/>
      <color rgb="FF000000"/>
      <name val="Aptos Narrow"/>
      <family val="2"/>
      <scheme val="minor"/>
    </font>
    <font>
      <b/>
      <i/>
      <sz val="11"/>
      <color rgb="FFFF0000"/>
      <name val="Aptos Narrow"/>
      <family val="2"/>
      <scheme val="minor"/>
    </font>
    <font>
      <sz val="11"/>
      <color theme="1"/>
      <name val="Aptos Narrow"/>
      <family val="2"/>
      <charset val="136"/>
      <scheme val="minor"/>
    </font>
    <font>
      <sz val="11"/>
      <color rgb="FFFF0000"/>
      <name val="新細明體"/>
      <family val="1"/>
      <charset val="136"/>
    </font>
    <font>
      <sz val="11"/>
      <name val="Aptos Narrow"/>
      <family val="2"/>
      <charset val="136"/>
      <scheme val="minor"/>
    </font>
    <font>
      <b/>
      <sz val="11"/>
      <name val="Calibri"/>
      <family val="2"/>
    </font>
    <font>
      <sz val="11"/>
      <name val="Calibri"/>
      <family val="2"/>
    </font>
    <font>
      <sz val="10"/>
      <name val="Aptos Narrow"/>
      <family val="1"/>
      <charset val="136"/>
      <scheme val="minor"/>
    </font>
    <font>
      <b/>
      <sz val="11"/>
      <name val="Aptos Narrow"/>
      <family val="2"/>
      <scheme val="minor"/>
    </font>
    <font>
      <sz val="12"/>
      <name val="Aptos Narrow"/>
      <family val="1"/>
      <charset val="136"/>
      <scheme val="minor"/>
    </font>
    <font>
      <sz val="10"/>
      <name val="Aptos Narrow"/>
      <family val="2"/>
      <scheme val="minor"/>
    </font>
    <font>
      <sz val="11"/>
      <color theme="1"/>
      <name val="Tahoma"/>
      <family val="2"/>
      <charset val="1"/>
    </font>
    <font>
      <strike/>
      <sz val="11"/>
      <color theme="1"/>
      <name val="Aptos Narrow"/>
      <family val="2"/>
      <scheme val="minor"/>
    </font>
    <font>
      <sz val="10"/>
      <color theme="1"/>
      <name val="Aptos Narrow"/>
      <family val="2"/>
      <charset val="136"/>
      <scheme val="minor"/>
    </font>
    <font>
      <sz val="11"/>
      <color theme="1"/>
      <name val="Calibri"/>
      <family val="1"/>
      <charset val="136"/>
    </font>
    <font>
      <b/>
      <sz val="11"/>
      <color rgb="FFFF0000"/>
      <name val="Calibri"/>
      <family val="2"/>
    </font>
    <font>
      <sz val="11"/>
      <color rgb="FF000000"/>
      <name val="Times New Roman"/>
      <family val="1"/>
    </font>
    <font>
      <sz val="11"/>
      <color rgb="FF000000"/>
      <name val="PMingLiU"/>
      <family val="1"/>
      <charset val="136"/>
    </font>
    <font>
      <sz val="11"/>
      <color theme="1"/>
      <name val="Times New Roman"/>
      <family val="1"/>
      <charset val="1"/>
    </font>
    <font>
      <sz val="11"/>
      <color theme="1"/>
      <name val="PMingLiU"/>
      <family val="1"/>
      <charset val="136"/>
    </font>
    <font>
      <sz val="11"/>
      <name val="Calibri"/>
      <family val="1"/>
      <charset val="136"/>
    </font>
    <font>
      <sz val="11"/>
      <color theme="1"/>
      <name val="新細明體"/>
      <family val="2"/>
    </font>
    <font>
      <b/>
      <sz val="11"/>
      <color theme="1"/>
      <name val="新細明體"/>
      <family val="2"/>
    </font>
    <font>
      <sz val="11"/>
      <color theme="1"/>
      <name val="Arial Unicode MS"/>
      <family val="2"/>
      <charset val="136"/>
    </font>
    <font>
      <sz val="11"/>
      <name val="新細明體"/>
      <family val="2"/>
    </font>
    <font>
      <sz val="11"/>
      <color theme="1"/>
      <name val="新細明體"/>
      <family val="1"/>
      <charset val="136"/>
    </font>
    <font>
      <b/>
      <strike/>
      <sz val="11"/>
      <color theme="1"/>
      <name val="Aptos Narrow"/>
      <family val="2"/>
      <scheme val="minor"/>
    </font>
    <font>
      <strike/>
      <sz val="11"/>
      <name val="Aptos Narrow"/>
      <family val="1"/>
      <charset val="136"/>
      <scheme val="minor"/>
    </font>
    <font>
      <strike/>
      <sz val="11"/>
      <color rgb="FF000000"/>
      <name val="Calibri"/>
      <family val="2"/>
    </font>
    <font>
      <strike/>
      <u/>
      <sz val="11"/>
      <color theme="10"/>
      <name val="Aptos Narrow"/>
      <family val="2"/>
      <scheme val="minor"/>
    </font>
    <font>
      <b/>
      <strike/>
      <sz val="11"/>
      <name val="Aptos Narrow"/>
      <family val="2"/>
      <scheme val="minor"/>
    </font>
    <font>
      <b/>
      <strike/>
      <sz val="11"/>
      <color rgb="FFFF0000"/>
      <name val="Aptos Narrow"/>
      <family val="2"/>
      <scheme val="minor"/>
    </font>
    <font>
      <b/>
      <strike/>
      <sz val="11"/>
      <name val="Aptos Narrow"/>
      <family val="1"/>
      <charset val="136"/>
      <scheme val="minor"/>
    </font>
    <font>
      <sz val="10"/>
      <name val="Aptos Narrow"/>
      <family val="2"/>
      <charset val="136"/>
      <scheme val="minor"/>
    </font>
    <font>
      <b/>
      <sz val="10"/>
      <color theme="1"/>
      <name val="Aptos Narrow"/>
      <family val="1"/>
      <charset val="136"/>
      <scheme val="minor"/>
    </font>
    <font>
      <u/>
      <sz val="11"/>
      <color theme="10"/>
      <name val="Aptos Narrow"/>
      <family val="1"/>
      <charset val="136"/>
      <scheme val="minor"/>
    </font>
    <font>
      <sz val="11"/>
      <color rgb="FF323130"/>
      <name val="Segoe UI"/>
      <family val="2"/>
    </font>
    <font>
      <u/>
      <sz val="11"/>
      <color rgb="FF0563C1"/>
      <name val="新細明體"/>
      <family val="1"/>
      <charset val="136"/>
    </font>
    <font>
      <u/>
      <sz val="11"/>
      <color theme="1"/>
      <name val="Aptos Narrow"/>
      <family val="1"/>
      <charset val="136"/>
      <scheme val="minor"/>
    </font>
    <font>
      <u/>
      <sz val="11"/>
      <color theme="1"/>
      <name val="Aptos Narrow"/>
      <family val="2"/>
      <scheme val="minor"/>
    </font>
    <font>
      <b/>
      <sz val="11"/>
      <color rgb="FF00B050"/>
      <name val="Aptos Narrow"/>
      <family val="2"/>
      <scheme val="minor"/>
    </font>
    <font>
      <b/>
      <sz val="11"/>
      <color theme="1"/>
      <name val="Aptos Display"/>
      <family val="1"/>
      <charset val="136"/>
      <scheme val="major"/>
    </font>
    <font>
      <u/>
      <sz val="11"/>
      <color rgb="FF0563C1"/>
      <name val="Aptos Narrow"/>
      <family val="2"/>
      <scheme val="minor"/>
    </font>
    <font>
      <b/>
      <u/>
      <sz val="11"/>
      <color theme="10"/>
      <name val="Aptos Narrow"/>
      <family val="2"/>
      <scheme val="minor"/>
    </font>
    <font>
      <b/>
      <u/>
      <sz val="11"/>
      <color rgb="FF000000"/>
      <name val="Aptos Narrow"/>
      <family val="2"/>
      <scheme val="minor"/>
    </font>
    <font>
      <b/>
      <sz val="12"/>
      <color theme="1"/>
      <name val="Aptos Narrow"/>
      <family val="2"/>
      <scheme val="minor"/>
    </font>
    <font>
      <b/>
      <sz val="11"/>
      <color rgb="FF000000"/>
      <name val="新細明體"/>
      <family val="1"/>
      <charset val="136"/>
    </font>
    <font>
      <sz val="11"/>
      <color theme="1"/>
      <name val="Segoe UI"/>
      <family val="2"/>
    </font>
    <font>
      <sz val="12"/>
      <color rgb="FF333333"/>
      <name val="Aptos Narrow"/>
      <family val="2"/>
      <scheme val="minor"/>
    </font>
    <font>
      <sz val="10"/>
      <color rgb="FF000000"/>
      <name val="新細明體"/>
      <family val="1"/>
      <charset val="136"/>
    </font>
    <font>
      <sz val="9"/>
      <color rgb="FF000000"/>
      <name val="Arial"/>
      <family val="2"/>
    </font>
    <font>
      <sz val="11"/>
      <color rgb="FF242424"/>
      <name val="Aptos Narrow"/>
      <family val="2"/>
    </font>
    <font>
      <sz val="11"/>
      <color theme="1"/>
      <name val="Calibri"/>
      <family val="2"/>
      <charset val="1"/>
    </font>
    <font>
      <sz val="11"/>
      <color rgb="FF000000"/>
      <name val="Arial"/>
      <family val="2"/>
    </font>
    <font>
      <sz val="12"/>
      <color theme="1"/>
      <name val="Calibri"/>
      <family val="2"/>
      <charset val="1"/>
    </font>
    <font>
      <sz val="12"/>
      <color theme="1"/>
      <name val="Calibri"/>
      <family val="2"/>
    </font>
    <font>
      <strike/>
      <sz val="11"/>
      <color rgb="FFFF0000"/>
      <name val="Aptos Narrow"/>
      <family val="2"/>
      <scheme val="minor"/>
    </font>
    <font>
      <sz val="11"/>
      <color theme="1"/>
      <name val="Aptos"/>
      <family val="2"/>
      <charset val="1"/>
    </font>
    <font>
      <b/>
      <sz val="11"/>
      <color theme="1"/>
      <name val="Aptos"/>
      <family val="2"/>
    </font>
    <font>
      <b/>
      <sz val="12"/>
      <color theme="1"/>
      <name val="Aptos"/>
      <family val="2"/>
    </font>
    <font>
      <sz val="11"/>
      <color rgb="FF000000"/>
      <name val="Aptos Narrow"/>
      <family val="2"/>
    </font>
    <font>
      <sz val="11"/>
      <color theme="1"/>
      <name val="Arial"/>
      <family val="2"/>
    </font>
  </fonts>
  <fills count="24">
    <fill>
      <patternFill patternType="none"/>
    </fill>
    <fill>
      <patternFill patternType="gray125"/>
    </fill>
    <fill>
      <gradientFill degree="270">
        <stop position="0">
          <color theme="0"/>
        </stop>
        <stop position="1">
          <color theme="9" tint="0.40000610370189521"/>
        </stop>
      </gradientFill>
    </fill>
    <fill>
      <gradientFill degree="270">
        <stop position="0">
          <color theme="0"/>
        </stop>
        <stop position="1">
          <color rgb="FFFFCDB9"/>
        </stop>
      </gradientFill>
    </fill>
    <fill>
      <gradientFill degree="270">
        <stop position="0">
          <color theme="0"/>
        </stop>
        <stop position="1">
          <color rgb="FFFF9797"/>
        </stop>
      </gradientFill>
    </fill>
    <fill>
      <gradientFill degree="270">
        <stop position="0">
          <color theme="0"/>
        </stop>
        <stop position="1">
          <color rgb="FF7CB2EE"/>
        </stop>
      </gradientFill>
    </fill>
    <fill>
      <gradientFill degree="270">
        <stop position="0">
          <color theme="0"/>
        </stop>
        <stop position="1">
          <color rgb="FFFFFF99"/>
        </stop>
      </gradientFill>
    </fill>
    <fill>
      <gradientFill degree="270">
        <stop position="0">
          <color theme="0"/>
        </stop>
        <stop position="1">
          <color theme="8"/>
        </stop>
      </gradientFill>
    </fill>
    <fill>
      <gradientFill degree="270">
        <stop position="0">
          <color theme="0"/>
        </stop>
        <stop position="1">
          <color rgb="FFB3FFB3"/>
        </stop>
      </gradientFill>
    </fill>
    <fill>
      <gradientFill degree="270">
        <stop position="0">
          <color theme="0"/>
        </stop>
        <stop position="1">
          <color rgb="FF666699"/>
        </stop>
      </gradientFill>
    </fill>
    <fill>
      <patternFill patternType="solid">
        <fgColor rgb="FFEADAEA"/>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FF"/>
        <bgColor indexed="64"/>
      </patternFill>
    </fill>
    <fill>
      <patternFill patternType="solid">
        <fgColor rgb="FFEDEDED"/>
        <bgColor rgb="FFEDEDED"/>
      </patternFill>
    </fill>
    <fill>
      <patternFill patternType="solid">
        <fgColor rgb="FF92D050"/>
        <bgColor indexed="64"/>
      </patternFill>
    </fill>
    <fill>
      <patternFill patternType="solid">
        <fgColor rgb="FF7CB2EE"/>
        <bgColor indexed="64"/>
      </patternFill>
    </fill>
    <fill>
      <patternFill patternType="solid">
        <fgColor rgb="FFFFFFFF"/>
        <bgColor rgb="FF000000"/>
      </patternFill>
    </fill>
    <fill>
      <patternFill patternType="solid">
        <fgColor theme="9" tint="0.39997558519241921"/>
        <bgColor indexed="64"/>
      </patternFill>
    </fill>
    <fill>
      <patternFill patternType="solid">
        <fgColor theme="6" tint="0.79998168889431442"/>
        <bgColor theme="6" tint="0.79998168889431442"/>
      </patternFill>
    </fill>
    <fill>
      <patternFill patternType="solid">
        <fgColor theme="0"/>
        <bgColor indexed="64"/>
      </patternFill>
    </fill>
  </fills>
  <borders count="15">
    <border>
      <left/>
      <right/>
      <top/>
      <bottom/>
      <diagonal/>
    </border>
    <border>
      <left/>
      <right style="thin">
        <color rgb="FFF05252"/>
      </right>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rgb="FF7CB2EE"/>
      </right>
      <top style="thin">
        <color indexed="64"/>
      </top>
      <bottom/>
      <diagonal/>
    </border>
    <border>
      <left/>
      <right/>
      <top style="thin">
        <color indexed="64"/>
      </top>
      <bottom/>
      <diagonal/>
    </border>
    <border>
      <left style="thin">
        <color indexed="64"/>
      </left>
      <right style="thin">
        <color rgb="FFFFFF99"/>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164" fontId="1" fillId="0" borderId="0"/>
    <xf numFmtId="0" fontId="15" fillId="0" borderId="0" applyNumberFormat="0" applyFill="0" applyBorder="0" applyAlignment="0" applyProtection="0"/>
    <xf numFmtId="0" fontId="50" fillId="0" borderId="0"/>
  </cellStyleXfs>
  <cellXfs count="545">
    <xf numFmtId="0" fontId="0" fillId="0" borderId="0" xfId="0"/>
    <xf numFmtId="164" fontId="4" fillId="2" borderId="1" xfId="1" applyFont="1" applyFill="1" applyBorder="1" applyAlignment="1">
      <alignment horizontal="center" vertical="center" wrapText="1"/>
    </xf>
    <xf numFmtId="0" fontId="3" fillId="0" borderId="0" xfId="0" applyFont="1"/>
    <xf numFmtId="164" fontId="1" fillId="0" borderId="0" xfId="1"/>
    <xf numFmtId="164" fontId="0" fillId="0" borderId="0" xfId="1" applyFont="1" applyAlignment="1">
      <alignment horizontal="left"/>
    </xf>
    <xf numFmtId="164" fontId="0" fillId="0" borderId="0" xfId="1" applyFont="1"/>
    <xf numFmtId="0" fontId="1" fillId="0" borderId="0" xfId="1" applyNumberFormat="1" applyAlignment="1">
      <alignment horizontal="left"/>
    </xf>
    <xf numFmtId="164" fontId="1" fillId="0" borderId="0" xfId="1" applyAlignment="1">
      <alignment horizontal="left" wrapText="1"/>
    </xf>
    <xf numFmtId="164" fontId="1" fillId="0" borderId="0" xfId="1" applyAlignment="1">
      <alignment horizontal="left"/>
    </xf>
    <xf numFmtId="164" fontId="0" fillId="0" borderId="0" xfId="1" applyFont="1" applyAlignment="1">
      <alignment horizontal="left" wrapText="1"/>
    </xf>
    <xf numFmtId="0" fontId="0" fillId="0" borderId="0" xfId="0" applyAlignment="1">
      <alignment wrapText="1"/>
    </xf>
    <xf numFmtId="164" fontId="1" fillId="0" borderId="0" xfId="1" applyAlignment="1">
      <alignment wrapText="1"/>
    </xf>
    <xf numFmtId="164" fontId="7" fillId="0" borderId="0" xfId="1" applyFont="1" applyAlignment="1">
      <alignment horizontal="left"/>
    </xf>
    <xf numFmtId="164" fontId="10" fillId="0" borderId="0" xfId="1" applyFont="1"/>
    <xf numFmtId="164" fontId="8" fillId="0" borderId="0" xfId="1" applyFont="1"/>
    <xf numFmtId="164" fontId="0" fillId="0" borderId="0" xfId="1" applyFont="1" applyAlignment="1">
      <alignment wrapText="1"/>
    </xf>
    <xf numFmtId="164" fontId="0" fillId="0" borderId="0" xfId="0" applyNumberFormat="1" applyAlignment="1">
      <alignment wrapText="1"/>
    </xf>
    <xf numFmtId="164" fontId="8" fillId="0" borderId="0" xfId="1" applyFont="1" applyAlignment="1">
      <alignment horizontal="left" wrapText="1"/>
    </xf>
    <xf numFmtId="164" fontId="8" fillId="0" borderId="0" xfId="1" applyFont="1" applyAlignment="1">
      <alignment wrapText="1"/>
    </xf>
    <xf numFmtId="49" fontId="1" fillId="0" borderId="0" xfId="1" applyNumberFormat="1" applyAlignment="1">
      <alignment horizontal="left"/>
    </xf>
    <xf numFmtId="164" fontId="5" fillId="0" borderId="0" xfId="0" applyNumberFormat="1" applyFont="1" applyAlignment="1">
      <alignment horizontal="left" wrapText="1"/>
    </xf>
    <xf numFmtId="0" fontId="13" fillId="0" borderId="0" xfId="0" applyFont="1"/>
    <xf numFmtId="0" fontId="14" fillId="0" borderId="0" xfId="0" applyFont="1"/>
    <xf numFmtId="0" fontId="16" fillId="0" borderId="0" xfId="2" applyFont="1" applyBorder="1" applyAlignment="1"/>
    <xf numFmtId="164" fontId="4" fillId="3" borderId="2" xfId="1" applyFont="1" applyFill="1" applyBorder="1" applyAlignment="1">
      <alignment horizontal="center" wrapText="1"/>
    </xf>
    <xf numFmtId="164" fontId="4" fillId="3" borderId="3" xfId="1" applyFont="1" applyFill="1" applyBorder="1" applyAlignment="1">
      <alignment horizontal="center" wrapText="1"/>
    </xf>
    <xf numFmtId="164" fontId="4" fillId="3" borderId="4" xfId="1" applyFont="1" applyFill="1" applyBorder="1" applyAlignment="1">
      <alignment horizontal="center" wrapText="1"/>
    </xf>
    <xf numFmtId="164" fontId="4" fillId="2" borderId="5" xfId="1" applyFont="1" applyFill="1" applyBorder="1" applyAlignment="1">
      <alignment horizontal="centerContinuous" wrapText="1"/>
    </xf>
    <xf numFmtId="164" fontId="4" fillId="2" borderId="5" xfId="1" applyFont="1" applyFill="1" applyBorder="1" applyAlignment="1">
      <alignment horizontal="left" vertical="center" wrapText="1"/>
    </xf>
    <xf numFmtId="164" fontId="4" fillId="2" borderId="0" xfId="1" applyFont="1" applyFill="1" applyAlignment="1">
      <alignment horizontal="center" vertical="center" wrapText="1"/>
    </xf>
    <xf numFmtId="164" fontId="4" fillId="4" borderId="3" xfId="1" applyFont="1" applyFill="1" applyBorder="1" applyAlignment="1">
      <alignment horizontal="center" wrapText="1"/>
    </xf>
    <xf numFmtId="49" fontId="4" fillId="4" borderId="3" xfId="1" applyNumberFormat="1" applyFont="1" applyFill="1" applyBorder="1" applyAlignment="1">
      <alignment horizontal="left" wrapText="1"/>
    </xf>
    <xf numFmtId="164" fontId="4" fillId="4" borderId="3" xfId="1" applyFont="1" applyFill="1" applyBorder="1" applyAlignment="1">
      <alignment horizontal="left" wrapText="1"/>
    </xf>
    <xf numFmtId="164" fontId="4" fillId="4" borderId="6" xfId="1" applyFont="1" applyFill="1" applyBorder="1" applyAlignment="1">
      <alignment horizontal="center" wrapText="1"/>
    </xf>
    <xf numFmtId="0" fontId="4" fillId="5" borderId="7" xfId="0" applyFont="1" applyFill="1" applyBorder="1" applyAlignment="1">
      <alignment horizontal="center"/>
    </xf>
    <xf numFmtId="0" fontId="4" fillId="5" borderId="3" xfId="0" applyFont="1" applyFill="1" applyBorder="1" applyAlignment="1">
      <alignment horizontal="left" wrapText="1"/>
    </xf>
    <xf numFmtId="164" fontId="4" fillId="5" borderId="8" xfId="1" applyFont="1" applyFill="1" applyBorder="1" applyAlignment="1">
      <alignment horizontal="left" wrapText="1"/>
    </xf>
    <xf numFmtId="0" fontId="4" fillId="6" borderId="7" xfId="0" applyFont="1" applyFill="1" applyBorder="1" applyAlignment="1">
      <alignment horizontal="center"/>
    </xf>
    <xf numFmtId="0" fontId="4" fillId="6" borderId="9" xfId="0" applyFont="1" applyFill="1" applyBorder="1" applyAlignment="1">
      <alignment horizontal="center"/>
    </xf>
    <xf numFmtId="0" fontId="4" fillId="6" borderId="10" xfId="0" applyFont="1" applyFill="1" applyBorder="1" applyAlignment="1">
      <alignment horizontal="left" wrapText="1"/>
    </xf>
    <xf numFmtId="164" fontId="17" fillId="7" borderId="11" xfId="1" applyFont="1" applyFill="1" applyBorder="1" applyAlignment="1">
      <alignment horizontal="center" wrapText="1"/>
    </xf>
    <xf numFmtId="0" fontId="4" fillId="8" borderId="12" xfId="1" applyNumberFormat="1" applyFont="1" applyFill="1" applyBorder="1" applyAlignment="1">
      <alignment horizontal="center" wrapText="1"/>
    </xf>
    <xf numFmtId="0" fontId="18" fillId="9" borderId="3" xfId="1" applyNumberFormat="1" applyFont="1" applyFill="1" applyBorder="1" applyAlignment="1">
      <alignment horizontal="center" wrapText="1"/>
    </xf>
    <xf numFmtId="0" fontId="4" fillId="9" borderId="12" xfId="1" applyNumberFormat="1" applyFont="1" applyFill="1" applyBorder="1" applyAlignment="1">
      <alignment horizontal="center" wrapText="1"/>
    </xf>
    <xf numFmtId="164" fontId="4" fillId="10" borderId="3" xfId="1" applyFont="1" applyFill="1" applyBorder="1" applyAlignment="1">
      <alignment horizontal="center" wrapText="1"/>
    </xf>
    <xf numFmtId="164" fontId="4" fillId="11" borderId="0" xfId="1" applyFont="1" applyFill="1" applyAlignment="1">
      <alignment horizontal="center"/>
    </xf>
    <xf numFmtId="0" fontId="3" fillId="0" borderId="0" xfId="1" applyNumberFormat="1" applyFont="1" applyAlignment="1">
      <alignment horizontal="centerContinuous"/>
    </xf>
    <xf numFmtId="0" fontId="1" fillId="0" borderId="0" xfId="1" applyNumberFormat="1"/>
    <xf numFmtId="49" fontId="1" fillId="0" borderId="0" xfId="1" applyNumberFormat="1" applyAlignment="1">
      <alignment horizontal="left" wrapText="1"/>
    </xf>
    <xf numFmtId="164" fontId="10" fillId="0" borderId="0" xfId="1" applyFont="1" applyAlignment="1">
      <alignment horizontal="left"/>
    </xf>
    <xf numFmtId="165" fontId="1" fillId="0" borderId="0" xfId="1" applyNumberFormat="1"/>
    <xf numFmtId="166" fontId="0" fillId="0" borderId="0" xfId="1" applyNumberFormat="1" applyFont="1" applyAlignment="1">
      <alignment wrapText="1"/>
    </xf>
    <xf numFmtId="49" fontId="0" fillId="0" borderId="0" xfId="1" applyNumberFormat="1" applyFont="1" applyAlignment="1">
      <alignment horizontal="left"/>
    </xf>
    <xf numFmtId="165" fontId="1" fillId="0" borderId="0" xfId="1" applyNumberFormat="1" applyAlignment="1">
      <alignment horizontal="left"/>
    </xf>
    <xf numFmtId="164" fontId="20" fillId="0" borderId="0" xfId="1" applyFont="1" applyAlignment="1">
      <alignment horizontal="left"/>
    </xf>
    <xf numFmtId="164" fontId="15" fillId="0" borderId="0" xfId="2" applyNumberFormat="1" applyBorder="1" applyAlignment="1">
      <alignment horizontal="left" wrapText="1"/>
    </xf>
    <xf numFmtId="164" fontId="16" fillId="0" borderId="0" xfId="1" applyFont="1" applyAlignment="1">
      <alignment horizontal="left" wrapText="1"/>
    </xf>
    <xf numFmtId="0" fontId="0" fillId="0" borderId="0" xfId="1" applyNumberFormat="1" applyFont="1"/>
    <xf numFmtId="0" fontId="0" fillId="0" borderId="0" xfId="1" applyNumberFormat="1" applyFont="1" applyAlignment="1">
      <alignment horizontal="left"/>
    </xf>
    <xf numFmtId="0" fontId="8" fillId="0" borderId="0" xfId="1" applyNumberFormat="1" applyFont="1" applyAlignment="1">
      <alignment horizontal="left"/>
    </xf>
    <xf numFmtId="0" fontId="8" fillId="0" borderId="0" xfId="1" applyNumberFormat="1" applyFont="1"/>
    <xf numFmtId="49" fontId="8" fillId="0" borderId="0" xfId="1" applyNumberFormat="1" applyFont="1" applyAlignment="1">
      <alignment horizontal="left" wrapText="1"/>
    </xf>
    <xf numFmtId="49" fontId="21" fillId="0" borderId="0" xfId="0" applyNumberFormat="1" applyFont="1" applyAlignment="1">
      <alignment horizontal="left"/>
    </xf>
    <xf numFmtId="0" fontId="8" fillId="0" borderId="0" xfId="1" applyNumberFormat="1" applyFont="1" applyAlignment="1">
      <alignment horizontal="left" wrapText="1"/>
    </xf>
    <xf numFmtId="164" fontId="8" fillId="0" borderId="0" xfId="1" applyFont="1" applyAlignment="1">
      <alignment horizontal="left"/>
    </xf>
    <xf numFmtId="0" fontId="9" fillId="0" borderId="0" xfId="1" applyNumberFormat="1" applyFont="1" applyAlignment="1">
      <alignment horizontal="left"/>
    </xf>
    <xf numFmtId="15" fontId="0" fillId="0" borderId="0" xfId="1" applyNumberFormat="1" applyFont="1" applyAlignment="1">
      <alignment horizontal="left"/>
    </xf>
    <xf numFmtId="0" fontId="0" fillId="0" borderId="0" xfId="1" applyNumberFormat="1" applyFont="1" applyAlignment="1">
      <alignment horizontal="left" wrapText="1"/>
    </xf>
    <xf numFmtId="0" fontId="0" fillId="0" borderId="0" xfId="1" applyNumberFormat="1" applyFont="1" applyAlignment="1">
      <alignment wrapText="1"/>
    </xf>
    <xf numFmtId="164" fontId="16" fillId="0" borderId="0" xfId="1" applyFont="1" applyAlignment="1">
      <alignment horizontal="left"/>
    </xf>
    <xf numFmtId="165" fontId="0" fillId="0" borderId="0" xfId="1" applyNumberFormat="1" applyFont="1" applyAlignment="1">
      <alignment horizontal="left"/>
    </xf>
    <xf numFmtId="49" fontId="0" fillId="0" borderId="0" xfId="0" applyNumberFormat="1" applyAlignment="1">
      <alignment horizontal="left" wrapText="1"/>
    </xf>
    <xf numFmtId="164" fontId="24" fillId="0" borderId="0" xfId="1" applyFont="1" applyAlignment="1">
      <alignment horizontal="left" wrapText="1"/>
    </xf>
    <xf numFmtId="164" fontId="24" fillId="0" borderId="0" xfId="1" applyFont="1" applyAlignment="1">
      <alignment horizontal="left"/>
    </xf>
    <xf numFmtId="0" fontId="15" fillId="0" borderId="0" xfId="2" applyNumberFormat="1" applyBorder="1"/>
    <xf numFmtId="49" fontId="24" fillId="0" borderId="0" xfId="1" applyNumberFormat="1" applyFont="1" applyAlignment="1">
      <alignment horizontal="left" wrapText="1"/>
    </xf>
    <xf numFmtId="0" fontId="15" fillId="0" borderId="0" xfId="2" applyBorder="1" applyAlignment="1"/>
    <xf numFmtId="49" fontId="0" fillId="0" borderId="0" xfId="1" applyNumberFormat="1" applyFont="1" applyAlignment="1">
      <alignment horizontal="left" wrapText="1"/>
    </xf>
    <xf numFmtId="0" fontId="25" fillId="0" borderId="0" xfId="0" applyFont="1"/>
    <xf numFmtId="49" fontId="16" fillId="0" borderId="0" xfId="1" applyNumberFormat="1" applyFont="1" applyAlignment="1">
      <alignment horizontal="left" wrapText="1"/>
    </xf>
    <xf numFmtId="0" fontId="26" fillId="0" borderId="0" xfId="0" applyFont="1"/>
    <xf numFmtId="0" fontId="20" fillId="12" borderId="0" xfId="1" applyNumberFormat="1" applyFont="1" applyFill="1" applyAlignment="1">
      <alignment horizontal="left"/>
    </xf>
    <xf numFmtId="0" fontId="15" fillId="0" borderId="0" xfId="2" applyNumberFormat="1" applyBorder="1" applyAlignment="1"/>
    <xf numFmtId="49" fontId="10" fillId="0" borderId="0" xfId="1" applyNumberFormat="1" applyFont="1" applyAlignment="1">
      <alignment horizontal="left" wrapText="1"/>
    </xf>
    <xf numFmtId="0" fontId="21" fillId="0" borderId="0" xfId="0" applyFont="1" applyAlignment="1">
      <alignment horizontal="left"/>
    </xf>
    <xf numFmtId="164" fontId="16" fillId="0" borderId="0" xfId="1" applyFont="1"/>
    <xf numFmtId="164" fontId="10" fillId="0" borderId="0" xfId="1" applyFont="1" applyAlignment="1">
      <alignment wrapText="1"/>
    </xf>
    <xf numFmtId="164" fontId="2" fillId="0" borderId="0" xfId="1" applyFont="1" applyAlignment="1">
      <alignment horizontal="left" wrapText="1"/>
    </xf>
    <xf numFmtId="0" fontId="1" fillId="0" borderId="0" xfId="0" applyFont="1"/>
    <xf numFmtId="164" fontId="2" fillId="0" borderId="0" xfId="1" applyFont="1" applyAlignment="1">
      <alignment horizontal="left"/>
    </xf>
    <xf numFmtId="164" fontId="10" fillId="0" borderId="0" xfId="1" applyFont="1" applyAlignment="1">
      <alignment horizontal="left" wrapText="1"/>
    </xf>
    <xf numFmtId="15" fontId="5" fillId="0" borderId="0" xfId="0" applyNumberFormat="1" applyFont="1" applyAlignment="1">
      <alignment horizontal="left"/>
    </xf>
    <xf numFmtId="0" fontId="19" fillId="0" borderId="0" xfId="1" applyNumberFormat="1" applyFont="1" applyAlignment="1">
      <alignment horizontal="centerContinuous"/>
    </xf>
    <xf numFmtId="0" fontId="16" fillId="0" borderId="0" xfId="1" applyNumberFormat="1" applyFont="1" applyAlignment="1">
      <alignment horizontal="left"/>
    </xf>
    <xf numFmtId="0" fontId="16" fillId="0" borderId="0" xfId="1" applyNumberFormat="1" applyFont="1"/>
    <xf numFmtId="164" fontId="16" fillId="0" borderId="0" xfId="1" applyFont="1" applyAlignment="1">
      <alignment wrapText="1"/>
    </xf>
    <xf numFmtId="15" fontId="27" fillId="0" borderId="0" xfId="0" applyNumberFormat="1" applyFont="1" applyAlignment="1">
      <alignment horizontal="left"/>
    </xf>
    <xf numFmtId="49" fontId="16" fillId="0" borderId="0" xfId="1" applyNumberFormat="1" applyFont="1" applyAlignment="1">
      <alignment horizontal="left"/>
    </xf>
    <xf numFmtId="165" fontId="16" fillId="0" borderId="0" xfId="1" applyNumberFormat="1" applyFont="1" applyAlignment="1">
      <alignment horizontal="left"/>
    </xf>
    <xf numFmtId="0" fontId="21" fillId="0" borderId="0" xfId="0" applyFont="1"/>
    <xf numFmtId="49" fontId="28" fillId="0" borderId="0" xfId="0" applyNumberFormat="1" applyFont="1" applyAlignment="1">
      <alignment horizontal="left"/>
    </xf>
    <xf numFmtId="49" fontId="2" fillId="0" borderId="0" xfId="1" applyNumberFormat="1" applyFont="1" applyAlignment="1">
      <alignment horizontal="left" wrapText="1"/>
    </xf>
    <xf numFmtId="164" fontId="2" fillId="0" borderId="0" xfId="1" applyFont="1" applyAlignment="1">
      <alignment wrapText="1"/>
    </xf>
    <xf numFmtId="164" fontId="2" fillId="0" borderId="0" xfId="1" applyFont="1"/>
    <xf numFmtId="0" fontId="1" fillId="0" borderId="0" xfId="1" quotePrefix="1" applyNumberFormat="1" applyAlignment="1">
      <alignment horizontal="left" wrapText="1"/>
    </xf>
    <xf numFmtId="0" fontId="1" fillId="0" borderId="0" xfId="1" quotePrefix="1" applyNumberFormat="1" applyAlignment="1">
      <alignment wrapText="1"/>
    </xf>
    <xf numFmtId="0" fontId="1" fillId="0" borderId="0" xfId="1" applyNumberFormat="1" applyAlignment="1">
      <alignment horizontal="left" wrapText="1"/>
    </xf>
    <xf numFmtId="0" fontId="1" fillId="0" borderId="0" xfId="1" applyNumberFormat="1" applyAlignment="1">
      <alignment wrapText="1"/>
    </xf>
    <xf numFmtId="164" fontId="20" fillId="0" borderId="0" xfId="1" applyFont="1"/>
    <xf numFmtId="49" fontId="0" fillId="0" borderId="0" xfId="0" applyNumberFormat="1" applyAlignment="1">
      <alignment horizontal="left"/>
    </xf>
    <xf numFmtId="0" fontId="15" fillId="0" borderId="0" xfId="2" applyBorder="1"/>
    <xf numFmtId="164" fontId="24" fillId="0" borderId="0" xfId="1" applyFont="1" applyAlignment="1">
      <alignment wrapText="1"/>
    </xf>
    <xf numFmtId="164" fontId="7" fillId="0" borderId="0" xfId="1" applyFont="1" applyAlignment="1">
      <alignment horizontal="left" wrapText="1"/>
    </xf>
    <xf numFmtId="165" fontId="2" fillId="0" borderId="0" xfId="1" applyNumberFormat="1" applyFont="1"/>
    <xf numFmtId="165" fontId="16" fillId="0" borderId="0" xfId="1" applyNumberFormat="1" applyFont="1"/>
    <xf numFmtId="164" fontId="7" fillId="12" borderId="0" xfId="1" applyFont="1" applyFill="1"/>
    <xf numFmtId="164" fontId="2" fillId="12" borderId="0" xfId="1" applyFont="1" applyFill="1"/>
    <xf numFmtId="49" fontId="7" fillId="12" borderId="0" xfId="1" applyNumberFormat="1" applyFont="1" applyFill="1" applyAlignment="1">
      <alignment horizontal="left"/>
    </xf>
    <xf numFmtId="49" fontId="29" fillId="0" borderId="0" xfId="0" applyNumberFormat="1" applyFont="1" applyAlignment="1">
      <alignment horizontal="left"/>
    </xf>
    <xf numFmtId="49" fontId="8" fillId="0" borderId="0" xfId="1" applyNumberFormat="1" applyFont="1" applyAlignment="1">
      <alignment horizontal="left"/>
    </xf>
    <xf numFmtId="0" fontId="3" fillId="0" borderId="0" xfId="1" applyNumberFormat="1" applyFont="1" applyAlignment="1">
      <alignment horizontal="left"/>
    </xf>
    <xf numFmtId="1" fontId="0" fillId="0" borderId="0" xfId="1" applyNumberFormat="1" applyFont="1" applyAlignment="1">
      <alignment horizontal="left" wrapText="1"/>
    </xf>
    <xf numFmtId="1" fontId="16" fillId="0" borderId="0" xfId="1" applyNumberFormat="1" applyFont="1" applyAlignment="1">
      <alignment horizontal="left" wrapText="1"/>
    </xf>
    <xf numFmtId="1" fontId="29" fillId="0" borderId="0" xfId="0" applyNumberFormat="1" applyFont="1" applyAlignment="1">
      <alignment horizontal="left"/>
    </xf>
    <xf numFmtId="164" fontId="5" fillId="0" borderId="0" xfId="1" applyFont="1" applyAlignment="1">
      <alignment wrapText="1"/>
    </xf>
    <xf numFmtId="1" fontId="21" fillId="0" borderId="0" xfId="0" applyNumberFormat="1" applyFont="1" applyAlignment="1">
      <alignment horizontal="left"/>
    </xf>
    <xf numFmtId="1" fontId="0" fillId="0" borderId="0" xfId="0" applyNumberFormat="1" applyAlignment="1">
      <alignment horizontal="left"/>
    </xf>
    <xf numFmtId="16" fontId="0" fillId="0" borderId="0" xfId="1" applyNumberFormat="1" applyFont="1" applyAlignment="1">
      <alignment horizontal="left"/>
    </xf>
    <xf numFmtId="164" fontId="0" fillId="12" borderId="0" xfId="1" applyFont="1" applyFill="1" applyAlignment="1">
      <alignment horizontal="left"/>
    </xf>
    <xf numFmtId="49" fontId="32" fillId="0" borderId="0" xfId="1" applyNumberFormat="1" applyFont="1" applyAlignment="1">
      <alignment horizontal="left" wrapText="1"/>
    </xf>
    <xf numFmtId="0" fontId="32" fillId="0" borderId="0" xfId="1" applyNumberFormat="1" applyFont="1" applyAlignment="1">
      <alignment horizontal="left"/>
    </xf>
    <xf numFmtId="164" fontId="32" fillId="0" borderId="0" xfId="1" applyFont="1" applyAlignment="1">
      <alignment wrapText="1"/>
    </xf>
    <xf numFmtId="165" fontId="8" fillId="0" borderId="0" xfId="1" applyNumberFormat="1" applyFont="1" applyAlignment="1">
      <alignment horizontal="left"/>
    </xf>
    <xf numFmtId="164" fontId="15" fillId="0" borderId="0" xfId="2" applyNumberFormat="1" applyBorder="1" applyAlignment="1"/>
    <xf numFmtId="49" fontId="16" fillId="0" borderId="0" xfId="0" applyNumberFormat="1" applyFont="1" applyAlignment="1">
      <alignment horizontal="left"/>
    </xf>
    <xf numFmtId="0" fontId="19" fillId="0" borderId="0" xfId="1" applyNumberFormat="1" applyFont="1" applyAlignment="1">
      <alignment horizontal="left"/>
    </xf>
    <xf numFmtId="164" fontId="7" fillId="12" borderId="0" xfId="1" applyFont="1" applyFill="1" applyAlignment="1">
      <alignment horizontal="left" wrapText="1"/>
    </xf>
    <xf numFmtId="49" fontId="7" fillId="0" borderId="0" xfId="1" applyNumberFormat="1" applyFont="1" applyAlignment="1">
      <alignment horizontal="left"/>
    </xf>
    <xf numFmtId="164" fontId="7" fillId="12" borderId="0" xfId="1" applyFont="1" applyFill="1" applyAlignment="1">
      <alignment horizontal="left"/>
    </xf>
    <xf numFmtId="49" fontId="7" fillId="0" borderId="0" xfId="1" applyNumberFormat="1" applyFont="1" applyAlignment="1">
      <alignment horizontal="left" wrapText="1"/>
    </xf>
    <xf numFmtId="164" fontId="7" fillId="0" borderId="0" xfId="1" applyFont="1" applyAlignment="1">
      <alignment wrapText="1"/>
    </xf>
    <xf numFmtId="0" fontId="0" fillId="0" borderId="0" xfId="0" applyAlignment="1">
      <alignment horizontal="left"/>
    </xf>
    <xf numFmtId="0" fontId="3" fillId="0" borderId="0" xfId="1" applyNumberFormat="1" applyFont="1" applyAlignment="1">
      <alignment horizontal="left" wrapText="1"/>
    </xf>
    <xf numFmtId="0" fontId="15" fillId="0" borderId="0" xfId="2" applyNumberFormat="1" applyBorder="1" applyAlignment="1">
      <alignment wrapText="1"/>
    </xf>
    <xf numFmtId="164" fontId="19" fillId="0" borderId="0" xfId="1" applyFont="1" applyAlignment="1">
      <alignment wrapText="1"/>
    </xf>
    <xf numFmtId="49" fontId="21" fillId="0" borderId="0" xfId="0" applyNumberFormat="1" applyFont="1"/>
    <xf numFmtId="49" fontId="2" fillId="0" borderId="0" xfId="1" applyNumberFormat="1" applyFont="1" applyAlignment="1">
      <alignment horizontal="left"/>
    </xf>
    <xf numFmtId="49" fontId="10" fillId="0" borderId="0" xfId="1" applyNumberFormat="1" applyFont="1" applyAlignment="1">
      <alignment horizontal="left"/>
    </xf>
    <xf numFmtId="164" fontId="22" fillId="0" borderId="0" xfId="1" applyFont="1" applyAlignment="1">
      <alignment wrapText="1"/>
    </xf>
    <xf numFmtId="15" fontId="25" fillId="0" borderId="0" xfId="0" applyNumberFormat="1" applyFont="1" applyAlignment="1">
      <alignment horizontal="left"/>
    </xf>
    <xf numFmtId="0" fontId="10" fillId="0" borderId="0" xfId="1" applyNumberFormat="1" applyFont="1" applyAlignment="1">
      <alignment horizontal="left"/>
    </xf>
    <xf numFmtId="49" fontId="0" fillId="0" borderId="0" xfId="0" applyNumberFormat="1"/>
    <xf numFmtId="164" fontId="10" fillId="0" borderId="0" xfId="1" quotePrefix="1" applyFont="1" applyAlignment="1">
      <alignment horizontal="left"/>
    </xf>
    <xf numFmtId="164" fontId="24" fillId="0" borderId="0" xfId="1" applyFont="1"/>
    <xf numFmtId="164" fontId="1" fillId="0" borderId="0" xfId="1" applyAlignment="1">
      <alignment horizontal="right" wrapText="1"/>
    </xf>
    <xf numFmtId="164" fontId="1" fillId="0" borderId="0" xfId="1" applyAlignment="1">
      <alignment horizontal="right"/>
    </xf>
    <xf numFmtId="166" fontId="16" fillId="0" borderId="0" xfId="1" applyNumberFormat="1" applyFont="1" applyAlignment="1">
      <alignment horizontal="left" wrapText="1"/>
    </xf>
    <xf numFmtId="164" fontId="1" fillId="12" borderId="0" xfId="1" applyFill="1" applyAlignment="1">
      <alignment horizontal="left" wrapText="1"/>
    </xf>
    <xf numFmtId="165" fontId="1" fillId="12" borderId="0" xfId="1" applyNumberFormat="1" applyFill="1" applyAlignment="1">
      <alignment horizontal="left"/>
    </xf>
    <xf numFmtId="164" fontId="1" fillId="12" borderId="0" xfId="1" applyFill="1" applyAlignment="1">
      <alignment horizontal="left"/>
    </xf>
    <xf numFmtId="164" fontId="1" fillId="13" borderId="0" xfId="1" applyFill="1"/>
    <xf numFmtId="0" fontId="3" fillId="13" borderId="0" xfId="1" applyNumberFormat="1" applyFont="1" applyFill="1" applyAlignment="1">
      <alignment horizontal="centerContinuous"/>
    </xf>
    <xf numFmtId="164" fontId="10" fillId="13" borderId="0" xfId="1" applyFont="1" applyFill="1"/>
    <xf numFmtId="0" fontId="1" fillId="13" borderId="0" xfId="1" applyNumberFormat="1" applyFill="1" applyAlignment="1">
      <alignment horizontal="left"/>
    </xf>
    <xf numFmtId="49" fontId="0" fillId="13" borderId="0" xfId="0" applyNumberFormat="1" applyFill="1" applyAlignment="1">
      <alignment horizontal="left"/>
    </xf>
    <xf numFmtId="49" fontId="21" fillId="13" borderId="0" xfId="0" applyNumberFormat="1" applyFont="1" applyFill="1" applyAlignment="1">
      <alignment horizontal="left"/>
    </xf>
    <xf numFmtId="1" fontId="0" fillId="13" borderId="0" xfId="0" applyNumberFormat="1" applyFill="1" applyAlignment="1">
      <alignment horizontal="left"/>
    </xf>
    <xf numFmtId="164" fontId="16" fillId="13" borderId="0" xfId="1" applyFont="1" applyFill="1" applyAlignment="1">
      <alignment wrapText="1"/>
    </xf>
    <xf numFmtId="49" fontId="24" fillId="13" borderId="0" xfId="1" applyNumberFormat="1" applyFont="1" applyFill="1"/>
    <xf numFmtId="49" fontId="10" fillId="13" borderId="0" xfId="1" applyNumberFormat="1" applyFont="1" applyFill="1" applyAlignment="1">
      <alignment horizontal="left"/>
    </xf>
    <xf numFmtId="164" fontId="0" fillId="13" borderId="0" xfId="1" applyFont="1" applyFill="1" applyAlignment="1">
      <alignment horizontal="left"/>
    </xf>
    <xf numFmtId="164" fontId="7" fillId="13" borderId="0" xfId="1" applyFont="1" applyFill="1" applyAlignment="1">
      <alignment wrapText="1"/>
    </xf>
    <xf numFmtId="165" fontId="1" fillId="13" borderId="0" xfId="1" applyNumberFormat="1" applyFill="1" applyAlignment="1">
      <alignment horizontal="left"/>
    </xf>
    <xf numFmtId="164" fontId="1" fillId="13" borderId="0" xfId="1" applyFill="1" applyAlignment="1">
      <alignment horizontal="left" wrapText="1"/>
    </xf>
    <xf numFmtId="164" fontId="15" fillId="13" borderId="0" xfId="2" applyNumberFormat="1" applyFill="1" applyBorder="1" applyAlignment="1"/>
    <xf numFmtId="49" fontId="10" fillId="0" borderId="0" xfId="1" applyNumberFormat="1" applyFont="1"/>
    <xf numFmtId="49" fontId="10" fillId="0" borderId="0" xfId="1" quotePrefix="1" applyNumberFormat="1" applyFont="1" applyAlignment="1">
      <alignment horizontal="left"/>
    </xf>
    <xf numFmtId="164" fontId="25" fillId="0" borderId="0" xfId="1" applyFont="1"/>
    <xf numFmtId="0" fontId="0" fillId="0" borderId="0" xfId="0" applyAlignment="1">
      <alignment horizontal="left" wrapText="1"/>
    </xf>
    <xf numFmtId="164" fontId="21" fillId="0" borderId="0" xfId="1" applyFont="1" applyAlignment="1">
      <alignment wrapText="1"/>
    </xf>
    <xf numFmtId="164" fontId="37" fillId="0" borderId="0" xfId="1" applyFont="1" applyAlignment="1">
      <alignment wrapText="1"/>
    </xf>
    <xf numFmtId="0" fontId="24" fillId="0" borderId="0" xfId="1" applyNumberFormat="1" applyFont="1" applyAlignment="1">
      <alignment horizontal="left"/>
    </xf>
    <xf numFmtId="0" fontId="24" fillId="0" borderId="0" xfId="1" applyNumberFormat="1" applyFont="1"/>
    <xf numFmtId="0" fontId="46" fillId="0" borderId="0" xfId="0" applyFont="1"/>
    <xf numFmtId="0" fontId="1" fillId="0" borderId="0" xfId="0" applyFont="1" applyAlignment="1">
      <alignment wrapText="1"/>
    </xf>
    <xf numFmtId="164" fontId="3" fillId="0" borderId="0" xfId="1" applyFont="1" applyAlignment="1">
      <alignment wrapText="1"/>
    </xf>
    <xf numFmtId="164" fontId="23" fillId="0" borderId="0" xfId="1" applyFont="1" applyAlignment="1">
      <alignment wrapText="1"/>
    </xf>
    <xf numFmtId="164" fontId="0" fillId="0" borderId="0" xfId="0" applyNumberFormat="1"/>
    <xf numFmtId="49" fontId="5" fillId="0" borderId="0" xfId="1" applyNumberFormat="1" applyFont="1" applyAlignment="1">
      <alignment horizontal="left" wrapText="1"/>
    </xf>
    <xf numFmtId="0" fontId="39" fillId="0" borderId="0" xfId="0" applyFont="1"/>
    <xf numFmtId="164" fontId="47" fillId="0" borderId="0" xfId="1" applyFont="1" applyAlignment="1">
      <alignment wrapText="1"/>
    </xf>
    <xf numFmtId="15" fontId="1" fillId="0" borderId="0" xfId="1" applyNumberFormat="1" applyAlignment="1">
      <alignment horizontal="left"/>
    </xf>
    <xf numFmtId="164" fontId="15" fillId="0" borderId="0" xfId="2" applyNumberFormat="1" applyAlignment="1">
      <alignment wrapText="1"/>
    </xf>
    <xf numFmtId="0" fontId="15" fillId="0" borderId="0" xfId="2"/>
    <xf numFmtId="0" fontId="8" fillId="0" borderId="0" xfId="1" applyNumberFormat="1" applyFont="1" applyAlignment="1">
      <alignment wrapText="1"/>
    </xf>
    <xf numFmtId="164" fontId="7" fillId="0" borderId="0" xfId="1" applyFont="1"/>
    <xf numFmtId="49" fontId="1" fillId="12" borderId="0" xfId="1" applyNumberFormat="1" applyFill="1" applyAlignment="1">
      <alignment horizontal="left" wrapText="1"/>
    </xf>
    <xf numFmtId="164" fontId="0" fillId="12" borderId="0" xfId="1" applyFont="1" applyFill="1" applyAlignment="1">
      <alignment horizontal="left" wrapText="1"/>
    </xf>
    <xf numFmtId="49" fontId="16" fillId="12" borderId="0" xfId="1" applyNumberFormat="1" applyFont="1" applyFill="1" applyAlignment="1">
      <alignment horizontal="left" wrapText="1"/>
    </xf>
    <xf numFmtId="164" fontId="22" fillId="0" borderId="0" xfId="1" applyFont="1"/>
    <xf numFmtId="164" fontId="1" fillId="0" borderId="0" xfId="1" quotePrefix="1" applyAlignment="1">
      <alignment horizontal="left"/>
    </xf>
    <xf numFmtId="164" fontId="1" fillId="0" borderId="0" xfId="1" quotePrefix="1"/>
    <xf numFmtId="164" fontId="15" fillId="0" borderId="0" xfId="2" applyNumberFormat="1" applyBorder="1" applyAlignment="1">
      <alignment wrapText="1"/>
    </xf>
    <xf numFmtId="164" fontId="5" fillId="0" borderId="0" xfId="1" applyFont="1" applyAlignment="1">
      <alignment horizontal="left" wrapText="1"/>
    </xf>
    <xf numFmtId="164" fontId="1" fillId="0" borderId="0" xfId="2" applyNumberFormat="1" applyFont="1" applyBorder="1" applyAlignment="1">
      <alignment wrapText="1"/>
    </xf>
    <xf numFmtId="164" fontId="31" fillId="0" borderId="0" xfId="1" applyFont="1" applyAlignment="1">
      <alignment wrapText="1"/>
    </xf>
    <xf numFmtId="164" fontId="1" fillId="13" borderId="0" xfId="1" applyFill="1" applyAlignment="1">
      <alignment horizontal="left"/>
    </xf>
    <xf numFmtId="49" fontId="1" fillId="13" borderId="0" xfId="1" applyNumberFormat="1" applyFill="1" applyAlignment="1">
      <alignment horizontal="left"/>
    </xf>
    <xf numFmtId="1" fontId="1" fillId="13" borderId="0" xfId="1" applyNumberFormat="1" applyFill="1" applyAlignment="1">
      <alignment horizontal="left" wrapText="1"/>
    </xf>
    <xf numFmtId="164" fontId="1" fillId="13" borderId="0" xfId="1" applyFill="1" applyAlignment="1">
      <alignment wrapText="1"/>
    </xf>
    <xf numFmtId="49" fontId="1" fillId="13" borderId="0" xfId="1" applyNumberFormat="1" applyFill="1" applyAlignment="1">
      <alignment horizontal="left" wrapText="1"/>
    </xf>
    <xf numFmtId="164" fontId="0" fillId="13" borderId="0" xfId="1" applyFont="1" applyFill="1"/>
    <xf numFmtId="164" fontId="0" fillId="13" borderId="0" xfId="1" applyFont="1" applyFill="1" applyAlignment="1">
      <alignment wrapText="1"/>
    </xf>
    <xf numFmtId="1" fontId="0" fillId="13" borderId="0" xfId="1" applyNumberFormat="1" applyFont="1" applyFill="1" applyAlignment="1">
      <alignment horizontal="left" wrapText="1"/>
    </xf>
    <xf numFmtId="164" fontId="1" fillId="14" borderId="0" xfId="1" applyFill="1"/>
    <xf numFmtId="164" fontId="1" fillId="14" borderId="0" xfId="1" applyFill="1" applyAlignment="1">
      <alignment horizontal="left"/>
    </xf>
    <xf numFmtId="164" fontId="0" fillId="14" borderId="0" xfId="1" applyFont="1" applyFill="1" applyAlignment="1">
      <alignment horizontal="left"/>
    </xf>
    <xf numFmtId="164" fontId="0" fillId="14" borderId="0" xfId="1" applyFont="1" applyFill="1"/>
    <xf numFmtId="164" fontId="1" fillId="14" borderId="0" xfId="1" applyFill="1" applyAlignment="1">
      <alignment horizontal="left" wrapText="1"/>
    </xf>
    <xf numFmtId="164" fontId="50" fillId="0" borderId="0" xfId="1" applyFont="1" applyAlignment="1">
      <alignment horizontal="left"/>
    </xf>
    <xf numFmtId="164" fontId="50" fillId="13" borderId="0" xfId="1" applyFont="1" applyFill="1"/>
    <xf numFmtId="164" fontId="0" fillId="13" borderId="0" xfId="1" applyFont="1" applyFill="1" applyAlignment="1">
      <alignment horizontal="left" wrapText="1"/>
    </xf>
    <xf numFmtId="1" fontId="50" fillId="13" borderId="0" xfId="1" applyNumberFormat="1" applyFont="1" applyFill="1" applyAlignment="1">
      <alignment horizontal="left" wrapText="1"/>
    </xf>
    <xf numFmtId="164" fontId="8" fillId="13" borderId="0" xfId="1" applyFont="1" applyFill="1" applyAlignment="1">
      <alignment horizontal="left" wrapText="1"/>
    </xf>
    <xf numFmtId="164" fontId="50" fillId="13" borderId="0" xfId="1" applyFont="1" applyFill="1" applyAlignment="1">
      <alignment wrapText="1"/>
    </xf>
    <xf numFmtId="0" fontId="46" fillId="13" borderId="0" xfId="0" applyFont="1" applyFill="1"/>
    <xf numFmtId="0" fontId="51" fillId="13" borderId="0" xfId="0" applyFont="1" applyFill="1"/>
    <xf numFmtId="164" fontId="16" fillId="13" borderId="0" xfId="1" applyFont="1" applyFill="1" applyAlignment="1">
      <alignment horizontal="left"/>
    </xf>
    <xf numFmtId="164" fontId="1" fillId="15" borderId="0" xfId="1" applyFill="1"/>
    <xf numFmtId="0" fontId="3" fillId="15" borderId="0" xfId="1" applyNumberFormat="1" applyFont="1" applyFill="1" applyAlignment="1">
      <alignment horizontal="centerContinuous"/>
    </xf>
    <xf numFmtId="164" fontId="1" fillId="15" borderId="0" xfId="1" applyFill="1" applyAlignment="1">
      <alignment horizontal="left"/>
    </xf>
    <xf numFmtId="0" fontId="1" fillId="15" borderId="0" xfId="1" applyNumberFormat="1" applyFill="1" applyAlignment="1">
      <alignment horizontal="left"/>
    </xf>
    <xf numFmtId="49" fontId="0" fillId="15" borderId="0" xfId="0" applyNumberFormat="1" applyFill="1" applyAlignment="1">
      <alignment horizontal="left"/>
    </xf>
    <xf numFmtId="49" fontId="1" fillId="15" borderId="0" xfId="1" applyNumberFormat="1" applyFill="1" applyAlignment="1">
      <alignment horizontal="left" wrapText="1"/>
    </xf>
    <xf numFmtId="0" fontId="21" fillId="15" borderId="0" xfId="0" applyFont="1" applyFill="1" applyAlignment="1">
      <alignment horizontal="left"/>
    </xf>
    <xf numFmtId="164" fontId="1" fillId="15" borderId="0" xfId="1" applyFill="1" applyAlignment="1">
      <alignment wrapText="1"/>
    </xf>
    <xf numFmtId="164" fontId="1" fillId="15" borderId="0" xfId="1" applyFill="1" applyAlignment="1">
      <alignment horizontal="left" wrapText="1"/>
    </xf>
    <xf numFmtId="49" fontId="1" fillId="15" borderId="0" xfId="1" applyNumberFormat="1" applyFill="1" applyAlignment="1">
      <alignment horizontal="left"/>
    </xf>
    <xf numFmtId="165" fontId="1" fillId="15" borderId="0" xfId="1" applyNumberFormat="1" applyFill="1" applyAlignment="1">
      <alignment horizontal="left"/>
    </xf>
    <xf numFmtId="164" fontId="10" fillId="15" borderId="0" xfId="1" applyFont="1" applyFill="1"/>
    <xf numFmtId="0" fontId="46" fillId="16" borderId="0" xfId="0" applyFont="1" applyFill="1"/>
    <xf numFmtId="164" fontId="5" fillId="0" borderId="0" xfId="0" applyNumberFormat="1" applyFont="1" applyAlignment="1">
      <alignment horizontal="left"/>
    </xf>
    <xf numFmtId="49" fontId="5" fillId="0" borderId="0" xfId="0" applyNumberFormat="1" applyFont="1" applyAlignment="1">
      <alignment horizontal="left"/>
    </xf>
    <xf numFmtId="164" fontId="5" fillId="17" borderId="0" xfId="0" applyNumberFormat="1" applyFont="1" applyFill="1" applyAlignment="1">
      <alignment horizontal="left"/>
    </xf>
    <xf numFmtId="49" fontId="5" fillId="17" borderId="0" xfId="0" applyNumberFormat="1" applyFont="1" applyFill="1" applyAlignment="1">
      <alignment horizontal="left"/>
    </xf>
    <xf numFmtId="165" fontId="10" fillId="0" borderId="0" xfId="1" applyNumberFormat="1" applyFont="1" applyAlignment="1">
      <alignment horizontal="left"/>
    </xf>
    <xf numFmtId="0" fontId="1" fillId="15" borderId="0" xfId="1" applyNumberFormat="1" applyFill="1"/>
    <xf numFmtId="49" fontId="52" fillId="15" borderId="0" xfId="1" applyNumberFormat="1" applyFont="1" applyFill="1" applyAlignment="1">
      <alignment horizontal="left" wrapText="1"/>
    </xf>
    <xf numFmtId="164" fontId="52" fillId="15" borderId="0" xfId="1" applyFont="1" applyFill="1" applyAlignment="1">
      <alignment horizontal="left" wrapText="1"/>
    </xf>
    <xf numFmtId="164" fontId="10" fillId="15" borderId="0" xfId="1" applyFont="1" applyFill="1" applyAlignment="1">
      <alignment horizontal="left"/>
    </xf>
    <xf numFmtId="164" fontId="52" fillId="15" borderId="0" xfId="1" applyFont="1" applyFill="1" applyAlignment="1">
      <alignment wrapText="1"/>
    </xf>
    <xf numFmtId="165" fontId="1" fillId="15" borderId="0" xfId="1" applyNumberFormat="1" applyFill="1"/>
    <xf numFmtId="49" fontId="24" fillId="15" borderId="0" xfId="1" applyNumberFormat="1" applyFont="1" applyFill="1" applyAlignment="1">
      <alignment horizontal="left" wrapText="1"/>
    </xf>
    <xf numFmtId="164" fontId="24" fillId="15" borderId="0" xfId="1" applyFont="1" applyFill="1" applyAlignment="1">
      <alignment horizontal="left" wrapText="1"/>
    </xf>
    <xf numFmtId="164" fontId="16" fillId="15" borderId="0" xfId="1" applyFont="1" applyFill="1"/>
    <xf numFmtId="164" fontId="55" fillId="15" borderId="0" xfId="1" applyFont="1" applyFill="1" applyAlignment="1">
      <alignment horizontal="left"/>
    </xf>
    <xf numFmtId="164" fontId="24" fillId="15" borderId="0" xfId="1" applyFont="1" applyFill="1" applyAlignment="1">
      <alignment wrapText="1"/>
    </xf>
    <xf numFmtId="49" fontId="24" fillId="18" borderId="0" xfId="1" applyNumberFormat="1" applyFont="1" applyFill="1" applyAlignment="1">
      <alignment horizontal="left" wrapText="1"/>
    </xf>
    <xf numFmtId="164" fontId="24" fillId="18" borderId="0" xfId="1" applyFont="1" applyFill="1" applyAlignment="1">
      <alignment horizontal="left" wrapText="1"/>
    </xf>
    <xf numFmtId="49" fontId="1" fillId="0" borderId="0" xfId="1" quotePrefix="1" applyNumberFormat="1" applyAlignment="1">
      <alignment horizontal="left"/>
    </xf>
    <xf numFmtId="164" fontId="1" fillId="14" borderId="0" xfId="1" applyFill="1" applyAlignment="1">
      <alignment wrapText="1"/>
    </xf>
    <xf numFmtId="0" fontId="0" fillId="14" borderId="0" xfId="0" applyFill="1" applyAlignment="1">
      <alignment horizontal="left"/>
    </xf>
    <xf numFmtId="0" fontId="1" fillId="0" borderId="0" xfId="1" quotePrefix="1" applyNumberFormat="1"/>
    <xf numFmtId="164" fontId="21" fillId="0" borderId="0" xfId="1" applyFont="1" applyAlignment="1">
      <alignment horizontal="left" wrapText="1"/>
    </xf>
    <xf numFmtId="49" fontId="24" fillId="0" borderId="0" xfId="1" quotePrefix="1" applyNumberFormat="1" applyFont="1" applyAlignment="1">
      <alignment horizontal="left"/>
    </xf>
    <xf numFmtId="164" fontId="57" fillId="0" borderId="0" xfId="1" applyFont="1" applyAlignment="1">
      <alignment horizontal="left"/>
    </xf>
    <xf numFmtId="49" fontId="58" fillId="0" borderId="0" xfId="3" quotePrefix="1" applyNumberFormat="1" applyFont="1"/>
    <xf numFmtId="49" fontId="1" fillId="0" borderId="0" xfId="1" applyNumberFormat="1"/>
    <xf numFmtId="165" fontId="10" fillId="0" borderId="0" xfId="1" applyNumberFormat="1" applyFont="1"/>
    <xf numFmtId="0" fontId="10" fillId="0" borderId="0" xfId="1" applyNumberFormat="1" applyFont="1"/>
    <xf numFmtId="0" fontId="60" fillId="0" borderId="0" xfId="1" applyNumberFormat="1" applyFont="1" applyAlignment="1">
      <alignment horizontal="left"/>
    </xf>
    <xf numFmtId="0" fontId="61" fillId="0" borderId="0" xfId="3" applyFont="1"/>
    <xf numFmtId="164" fontId="62" fillId="0" borderId="0" xfId="1" applyFont="1" applyAlignment="1">
      <alignment wrapText="1"/>
    </xf>
    <xf numFmtId="0" fontId="20" fillId="0" borderId="0" xfId="1" applyNumberFormat="1" applyFont="1" applyAlignment="1">
      <alignment horizontal="left"/>
    </xf>
    <xf numFmtId="49" fontId="37" fillId="0" borderId="0" xfId="1" applyNumberFormat="1" applyFont="1" applyAlignment="1">
      <alignment horizontal="left" wrapText="1"/>
    </xf>
    <xf numFmtId="164" fontId="37" fillId="0" borderId="0" xfId="1" applyFont="1" applyAlignment="1">
      <alignment horizontal="left" wrapText="1"/>
    </xf>
    <xf numFmtId="164" fontId="0" fillId="15" borderId="0" xfId="1" applyFont="1" applyFill="1" applyAlignment="1">
      <alignment horizontal="left" wrapText="1"/>
    </xf>
    <xf numFmtId="164" fontId="0" fillId="15" borderId="0" xfId="1" applyFont="1" applyFill="1" applyAlignment="1">
      <alignment wrapText="1"/>
    </xf>
    <xf numFmtId="1" fontId="24" fillId="0" borderId="0" xfId="1" applyNumberFormat="1" applyFont="1" applyAlignment="1">
      <alignment horizontal="left" wrapText="1"/>
    </xf>
    <xf numFmtId="164" fontId="5" fillId="17" borderId="0" xfId="0" applyNumberFormat="1" applyFont="1" applyFill="1" applyAlignment="1">
      <alignment horizontal="left" wrapText="1"/>
    </xf>
    <xf numFmtId="49" fontId="54" fillId="0" borderId="0" xfId="1" applyNumberFormat="1" applyFont="1" applyAlignment="1">
      <alignment horizontal="left" wrapText="1"/>
    </xf>
    <xf numFmtId="164" fontId="54" fillId="0" borderId="0" xfId="1" applyFont="1" applyAlignment="1">
      <alignment horizontal="left" wrapText="1"/>
    </xf>
    <xf numFmtId="164" fontId="54" fillId="0" borderId="0" xfId="1" applyFont="1" applyAlignment="1">
      <alignment wrapText="1"/>
    </xf>
    <xf numFmtId="49" fontId="52" fillId="0" borderId="0" xfId="1" applyNumberFormat="1" applyFont="1" applyAlignment="1">
      <alignment horizontal="left" wrapText="1"/>
    </xf>
    <xf numFmtId="164" fontId="52" fillId="0" borderId="0" xfId="1" applyFont="1" applyAlignment="1">
      <alignment horizontal="left" wrapText="1"/>
    </xf>
    <xf numFmtId="164" fontId="69" fillId="0" borderId="0" xfId="1" applyFont="1" applyAlignment="1">
      <alignment wrapText="1"/>
    </xf>
    <xf numFmtId="49" fontId="71" fillId="0" borderId="0" xfId="1" applyNumberFormat="1" applyFont="1" applyAlignment="1">
      <alignment horizontal="left"/>
    </xf>
    <xf numFmtId="164" fontId="45" fillId="0" borderId="0" xfId="1" applyFont="1" applyAlignment="1">
      <alignment horizontal="left" wrapText="1"/>
    </xf>
    <xf numFmtId="164" fontId="1" fillId="12" borderId="0" xfId="1" applyFill="1"/>
    <xf numFmtId="164" fontId="3" fillId="0" borderId="0" xfId="1" applyFont="1" applyAlignment="1">
      <alignment horizontal="left" wrapText="1"/>
    </xf>
    <xf numFmtId="0" fontId="15" fillId="0" borderId="0" xfId="2" applyNumberFormat="1" applyBorder="1" applyAlignment="1">
      <alignment horizontal="left"/>
    </xf>
    <xf numFmtId="165" fontId="2" fillId="0" borderId="0" xfId="1" applyNumberFormat="1" applyFont="1" applyAlignment="1">
      <alignment horizontal="left"/>
    </xf>
    <xf numFmtId="164" fontId="19" fillId="0" borderId="0" xfId="1" applyFont="1" applyAlignment="1">
      <alignment horizontal="left" wrapText="1"/>
    </xf>
    <xf numFmtId="164" fontId="60" fillId="0" borderId="0" xfId="1" applyFont="1" applyAlignment="1">
      <alignment horizontal="left"/>
    </xf>
    <xf numFmtId="0" fontId="74" fillId="0" borderId="0" xfId="1" applyNumberFormat="1" applyFont="1" applyAlignment="1">
      <alignment horizontal="centerContinuous"/>
    </xf>
    <xf numFmtId="49" fontId="60" fillId="0" borderId="0" xfId="1" applyNumberFormat="1" applyFont="1" applyAlignment="1">
      <alignment horizontal="left"/>
    </xf>
    <xf numFmtId="49" fontId="60" fillId="0" borderId="0" xfId="0" applyNumberFormat="1" applyFont="1" applyAlignment="1">
      <alignment horizontal="left"/>
    </xf>
    <xf numFmtId="49" fontId="75" fillId="0" borderId="0" xfId="1" applyNumberFormat="1" applyFont="1" applyAlignment="1">
      <alignment horizontal="left" wrapText="1"/>
    </xf>
    <xf numFmtId="0" fontId="76" fillId="0" borderId="0" xfId="0" applyFont="1"/>
    <xf numFmtId="164" fontId="77" fillId="0" borderId="0" xfId="2" applyNumberFormat="1" applyFont="1" applyBorder="1" applyAlignment="1">
      <alignment wrapText="1"/>
    </xf>
    <xf numFmtId="164" fontId="60" fillId="0" borderId="0" xfId="1" applyFont="1" applyAlignment="1">
      <alignment wrapText="1"/>
    </xf>
    <xf numFmtId="164" fontId="60" fillId="0" borderId="0" xfId="1" applyFont="1" applyAlignment="1">
      <alignment horizontal="left" wrapText="1"/>
    </xf>
    <xf numFmtId="164" fontId="34" fillId="0" borderId="0" xfId="1" applyFont="1" applyAlignment="1">
      <alignment horizontal="left"/>
    </xf>
    <xf numFmtId="164" fontId="78" fillId="0" borderId="0" xfId="1" applyFont="1" applyAlignment="1">
      <alignment horizontal="left" wrapText="1"/>
    </xf>
    <xf numFmtId="165" fontId="60" fillId="0" borderId="0" xfId="1" applyNumberFormat="1" applyFont="1" applyAlignment="1">
      <alignment horizontal="left"/>
    </xf>
    <xf numFmtId="164" fontId="60" fillId="0" borderId="0" xfId="1" applyFont="1"/>
    <xf numFmtId="164" fontId="80" fillId="0" borderId="0" xfId="1" applyFont="1" applyAlignment="1">
      <alignment horizontal="left" wrapText="1"/>
    </xf>
    <xf numFmtId="164" fontId="22" fillId="0" borderId="0" xfId="1" applyFont="1" applyAlignment="1">
      <alignment horizontal="left" wrapText="1"/>
    </xf>
    <xf numFmtId="49" fontId="81" fillId="0" borderId="0" xfId="3" quotePrefix="1" applyNumberFormat="1" applyFont="1"/>
    <xf numFmtId="0" fontId="81" fillId="0" borderId="0" xfId="3" applyFont="1"/>
    <xf numFmtId="164" fontId="0" fillId="0" borderId="0" xfId="0" applyNumberFormat="1" applyAlignment="1">
      <alignment horizontal="left"/>
    </xf>
    <xf numFmtId="164" fontId="1" fillId="19" borderId="0" xfId="1" applyFill="1"/>
    <xf numFmtId="164" fontId="1" fillId="19" borderId="0" xfId="1" applyFill="1" applyAlignment="1">
      <alignment horizontal="left"/>
    </xf>
    <xf numFmtId="49" fontId="16" fillId="19" borderId="0" xfId="1" quotePrefix="1" applyNumberFormat="1" applyFont="1" applyFill="1" applyAlignment="1">
      <alignment horizontal="left" wrapText="1"/>
    </xf>
    <xf numFmtId="164" fontId="16" fillId="19" borderId="0" xfId="1" applyFont="1" applyFill="1" applyAlignment="1">
      <alignment horizontal="left" wrapText="1"/>
    </xf>
    <xf numFmtId="164" fontId="0" fillId="19" borderId="0" xfId="1" applyFont="1" applyFill="1" applyAlignment="1">
      <alignment wrapText="1"/>
    </xf>
    <xf numFmtId="164" fontId="1" fillId="19" borderId="0" xfId="1" applyFill="1" applyAlignment="1">
      <alignment wrapText="1"/>
    </xf>
    <xf numFmtId="164" fontId="1" fillId="19" borderId="0" xfId="1" applyFill="1" applyAlignment="1">
      <alignment horizontal="left" wrapText="1"/>
    </xf>
    <xf numFmtId="49" fontId="0" fillId="19" borderId="0" xfId="1" applyNumberFormat="1" applyFont="1" applyFill="1" applyAlignment="1">
      <alignment horizontal="left"/>
    </xf>
    <xf numFmtId="164" fontId="0" fillId="19" borderId="0" xfId="1" applyFont="1" applyFill="1" applyAlignment="1">
      <alignment horizontal="left"/>
    </xf>
    <xf numFmtId="164" fontId="16" fillId="19" borderId="0" xfId="1" applyFont="1" applyFill="1" applyAlignment="1">
      <alignment wrapText="1"/>
    </xf>
    <xf numFmtId="165" fontId="1" fillId="19" borderId="0" xfId="1" applyNumberFormat="1" applyFill="1" applyAlignment="1">
      <alignment horizontal="left"/>
    </xf>
    <xf numFmtId="164" fontId="15" fillId="19" borderId="0" xfId="2" applyNumberFormat="1" applyFill="1" applyBorder="1" applyAlignment="1"/>
    <xf numFmtId="164" fontId="0" fillId="19" borderId="0" xfId="1" applyFont="1" applyFill="1"/>
    <xf numFmtId="0" fontId="24" fillId="0" borderId="0" xfId="2" applyNumberFormat="1" applyFont="1" applyBorder="1" applyAlignment="1">
      <alignment horizontal="left"/>
    </xf>
    <xf numFmtId="49" fontId="1" fillId="19" borderId="0" xfId="1" applyNumberFormat="1" applyFill="1" applyAlignment="1">
      <alignment horizontal="left" wrapText="1"/>
    </xf>
    <xf numFmtId="164" fontId="19" fillId="19" borderId="0" xfId="1" applyFont="1" applyFill="1" applyAlignment="1">
      <alignment horizontal="left" wrapText="1"/>
    </xf>
    <xf numFmtId="164" fontId="16" fillId="19" borderId="0" xfId="1" applyFont="1" applyFill="1" applyAlignment="1">
      <alignment horizontal="left"/>
    </xf>
    <xf numFmtId="164" fontId="19" fillId="19" borderId="0" xfId="1" applyFont="1" applyFill="1" applyAlignment="1">
      <alignment wrapText="1"/>
    </xf>
    <xf numFmtId="0" fontId="5" fillId="0" borderId="0" xfId="0" applyFont="1" applyAlignment="1">
      <alignment horizontal="left"/>
    </xf>
    <xf numFmtId="165" fontId="5" fillId="0" borderId="0" xfId="0" applyNumberFormat="1" applyFont="1" applyAlignment="1">
      <alignment horizontal="left" wrapText="1"/>
    </xf>
    <xf numFmtId="165" fontId="5" fillId="0" borderId="0" xfId="0" applyNumberFormat="1" applyFont="1" applyAlignment="1">
      <alignment wrapText="1"/>
    </xf>
    <xf numFmtId="0" fontId="50" fillId="0" borderId="0" xfId="0" applyFont="1" applyAlignment="1">
      <alignment wrapText="1"/>
    </xf>
    <xf numFmtId="14" fontId="0" fillId="0" borderId="0" xfId="0" applyNumberFormat="1" applyAlignment="1">
      <alignment horizontal="left"/>
    </xf>
    <xf numFmtId="0" fontId="16" fillId="0" borderId="0" xfId="0" applyFont="1"/>
    <xf numFmtId="164" fontId="45" fillId="0" borderId="0" xfId="1" applyFont="1" applyAlignment="1">
      <alignment wrapText="1"/>
    </xf>
    <xf numFmtId="165" fontId="50" fillId="0" borderId="0" xfId="0" applyNumberFormat="1" applyFont="1" applyAlignment="1">
      <alignment horizontal="left"/>
    </xf>
    <xf numFmtId="0" fontId="50" fillId="0" borderId="0" xfId="0" applyFont="1"/>
    <xf numFmtId="1" fontId="0" fillId="0" borderId="0" xfId="0" applyNumberFormat="1"/>
    <xf numFmtId="0" fontId="19" fillId="0" borderId="0" xfId="0" applyFont="1" applyAlignment="1">
      <alignment wrapText="1"/>
    </xf>
    <xf numFmtId="49" fontId="0" fillId="19" borderId="0" xfId="0" applyNumberFormat="1" applyFill="1" applyAlignment="1">
      <alignment horizontal="left"/>
    </xf>
    <xf numFmtId="0" fontId="0" fillId="19" borderId="0" xfId="0" applyFill="1" applyAlignment="1">
      <alignment horizontal="left"/>
    </xf>
    <xf numFmtId="0" fontId="0" fillId="19" borderId="0" xfId="0" applyFill="1" applyAlignment="1">
      <alignment wrapText="1"/>
    </xf>
    <xf numFmtId="0" fontId="0" fillId="19" borderId="0" xfId="0" applyFill="1"/>
    <xf numFmtId="49" fontId="1" fillId="19" borderId="0" xfId="1" applyNumberFormat="1" applyFill="1" applyAlignment="1">
      <alignment horizontal="left"/>
    </xf>
    <xf numFmtId="164" fontId="31" fillId="19" borderId="0" xfId="1" applyFont="1" applyFill="1" applyAlignment="1">
      <alignment wrapText="1"/>
    </xf>
    <xf numFmtId="0" fontId="15" fillId="0" borderId="0" xfId="2" applyBorder="1" applyAlignment="1">
      <alignment horizontal="left"/>
    </xf>
    <xf numFmtId="0" fontId="15" fillId="0" borderId="0" xfId="2" applyBorder="1" applyAlignment="1">
      <alignment wrapText="1"/>
    </xf>
    <xf numFmtId="1" fontId="3" fillId="0" borderId="0" xfId="1" applyNumberFormat="1" applyFont="1" applyAlignment="1">
      <alignment horizontal="left"/>
    </xf>
    <xf numFmtId="0" fontId="82" fillId="0" borderId="0" xfId="3" applyFont="1"/>
    <xf numFmtId="1" fontId="5" fillId="0" borderId="0" xfId="0" applyNumberFormat="1" applyFont="1" applyAlignment="1">
      <alignment wrapText="1"/>
    </xf>
    <xf numFmtId="0" fontId="60" fillId="0" borderId="0" xfId="0" applyFont="1"/>
    <xf numFmtId="0" fontId="60" fillId="0" borderId="0" xfId="0" applyFont="1" applyAlignment="1">
      <alignment horizontal="left"/>
    </xf>
    <xf numFmtId="1" fontId="42" fillId="0" borderId="0" xfId="0" applyNumberFormat="1" applyFont="1" applyAlignment="1">
      <alignment wrapText="1"/>
    </xf>
    <xf numFmtId="0" fontId="83" fillId="0" borderId="0" xfId="2" applyFont="1" applyBorder="1" applyAlignment="1"/>
    <xf numFmtId="0" fontId="19" fillId="0" borderId="0" xfId="0" applyFont="1" applyAlignment="1">
      <alignment horizontal="left"/>
    </xf>
    <xf numFmtId="0" fontId="58" fillId="0" borderId="0" xfId="0" applyFont="1" applyAlignment="1">
      <alignment wrapText="1"/>
    </xf>
    <xf numFmtId="0" fontId="0" fillId="0" borderId="0" xfId="0" applyAlignment="1">
      <alignment vertical="center" wrapText="1"/>
    </xf>
    <xf numFmtId="1" fontId="15" fillId="0" borderId="0" xfId="2" applyNumberFormat="1" applyBorder="1" applyAlignment="1">
      <alignment horizontal="left"/>
    </xf>
    <xf numFmtId="0" fontId="1" fillId="19" borderId="0" xfId="1" applyNumberFormat="1" applyFill="1" applyAlignment="1">
      <alignment horizontal="left"/>
    </xf>
    <xf numFmtId="0" fontId="3" fillId="19" borderId="0" xfId="1" applyNumberFormat="1" applyFont="1" applyFill="1" applyAlignment="1">
      <alignment horizontal="left"/>
    </xf>
    <xf numFmtId="1" fontId="15" fillId="19" borderId="0" xfId="2" applyNumberFormat="1" applyFill="1" applyBorder="1" applyAlignment="1">
      <alignment horizontal="left"/>
    </xf>
    <xf numFmtId="0" fontId="3" fillId="19" borderId="0" xfId="1" applyNumberFormat="1" applyFont="1" applyFill="1" applyAlignment="1">
      <alignment horizontal="left" wrapText="1"/>
    </xf>
    <xf numFmtId="164" fontId="0" fillId="19" borderId="0" xfId="1" applyFont="1" applyFill="1" applyAlignment="1">
      <alignment horizontal="left" wrapText="1"/>
    </xf>
    <xf numFmtId="49" fontId="84" fillId="0" borderId="0" xfId="0" applyNumberFormat="1" applyFont="1" applyAlignment="1">
      <alignment horizontal="left"/>
    </xf>
    <xf numFmtId="1" fontId="3" fillId="19" borderId="0" xfId="1" applyNumberFormat="1" applyFont="1" applyFill="1" applyAlignment="1">
      <alignment horizontal="left"/>
    </xf>
    <xf numFmtId="0" fontId="85" fillId="0" borderId="0" xfId="0" applyFont="1"/>
    <xf numFmtId="1" fontId="15" fillId="0" borderId="0" xfId="2" applyNumberFormat="1" applyFill="1" applyBorder="1" applyAlignment="1">
      <alignment horizontal="left"/>
    </xf>
    <xf numFmtId="0" fontId="83" fillId="0" borderId="0" xfId="2" applyFont="1" applyBorder="1" applyAlignment="1">
      <alignment wrapText="1"/>
    </xf>
    <xf numFmtId="1" fontId="1" fillId="0" borderId="0" xfId="1" applyNumberFormat="1" applyAlignment="1">
      <alignment horizontal="left"/>
    </xf>
    <xf numFmtId="0" fontId="2" fillId="0" borderId="0" xfId="0" applyFont="1"/>
    <xf numFmtId="167" fontId="1" fillId="0" borderId="0" xfId="1" applyNumberFormat="1" applyAlignment="1">
      <alignment horizontal="left"/>
    </xf>
    <xf numFmtId="0" fontId="43" fillId="0" borderId="0" xfId="1" applyNumberFormat="1" applyFont="1" applyAlignment="1">
      <alignment horizontal="left"/>
    </xf>
    <xf numFmtId="164" fontId="3" fillId="11" borderId="0" xfId="1" applyFont="1" applyFill="1"/>
    <xf numFmtId="0" fontId="3" fillId="11" borderId="0" xfId="1" applyNumberFormat="1" applyFont="1" applyFill="1" applyAlignment="1">
      <alignment horizontal="centerContinuous"/>
    </xf>
    <xf numFmtId="0" fontId="3" fillId="11" borderId="0" xfId="0" applyFont="1" applyFill="1"/>
    <xf numFmtId="0" fontId="3" fillId="11" borderId="0" xfId="0" applyFont="1" applyFill="1" applyAlignment="1">
      <alignment horizontal="left"/>
    </xf>
    <xf numFmtId="0" fontId="1" fillId="11" borderId="0" xfId="1" applyNumberFormat="1" applyFill="1" applyAlignment="1">
      <alignment horizontal="left"/>
    </xf>
    <xf numFmtId="49" fontId="0" fillId="11" borderId="0" xfId="0" applyNumberFormat="1" applyFill="1" applyAlignment="1">
      <alignment horizontal="left"/>
    </xf>
    <xf numFmtId="49" fontId="1" fillId="11" borderId="0" xfId="1" applyNumberFormat="1" applyFill="1" applyAlignment="1">
      <alignment horizontal="left"/>
    </xf>
    <xf numFmtId="49" fontId="43" fillId="11" borderId="0" xfId="1" applyNumberFormat="1" applyFont="1" applyFill="1" applyAlignment="1">
      <alignment horizontal="left"/>
    </xf>
    <xf numFmtId="1" fontId="3" fillId="11" borderId="0" xfId="1" applyNumberFormat="1" applyFont="1" applyFill="1" applyAlignment="1">
      <alignment horizontal="left"/>
    </xf>
    <xf numFmtId="0" fontId="3" fillId="11" borderId="0" xfId="1" applyNumberFormat="1" applyFont="1" applyFill="1" applyAlignment="1">
      <alignment horizontal="left"/>
    </xf>
    <xf numFmtId="0" fontId="3" fillId="11" borderId="0" xfId="1" applyNumberFormat="1" applyFont="1" applyFill="1" applyAlignment="1">
      <alignment horizontal="left" wrapText="1"/>
    </xf>
    <xf numFmtId="164" fontId="3" fillId="11" borderId="0" xfId="1" applyFont="1" applyFill="1" applyAlignment="1">
      <alignment horizontal="left"/>
    </xf>
    <xf numFmtId="164" fontId="3" fillId="11" borderId="0" xfId="1" applyFont="1" applyFill="1" applyAlignment="1">
      <alignment horizontal="left" wrapText="1"/>
    </xf>
    <xf numFmtId="1" fontId="3" fillId="11" borderId="0" xfId="0" applyNumberFormat="1" applyFont="1" applyFill="1" applyAlignment="1">
      <alignment horizontal="left"/>
    </xf>
    <xf numFmtId="0" fontId="86" fillId="0" borderId="0" xfId="2" applyFont="1" applyBorder="1" applyAlignment="1"/>
    <xf numFmtId="0" fontId="0" fillId="0" borderId="0" xfId="2" applyNumberFormat="1" applyFont="1" applyBorder="1" applyAlignment="1">
      <alignment horizontal="left"/>
    </xf>
    <xf numFmtId="164" fontId="13" fillId="0" borderId="0" xfId="1" applyFont="1" applyAlignment="1">
      <alignment horizontal="left" wrapText="1"/>
    </xf>
    <xf numFmtId="0" fontId="13" fillId="0" borderId="0" xfId="0" applyFont="1" applyAlignment="1">
      <alignment horizontal="left"/>
    </xf>
    <xf numFmtId="0" fontId="13" fillId="0" borderId="0" xfId="1" applyNumberFormat="1" applyFont="1" applyAlignment="1">
      <alignment horizontal="left" wrapText="1"/>
    </xf>
    <xf numFmtId="164" fontId="13" fillId="0" borderId="0" xfId="1" applyFont="1" applyAlignment="1">
      <alignment horizontal="left"/>
    </xf>
    <xf numFmtId="0" fontId="16" fillId="0" borderId="0" xfId="0" applyFont="1" applyAlignment="1">
      <alignment horizontal="left"/>
    </xf>
    <xf numFmtId="0" fontId="86" fillId="0" borderId="0" xfId="2" applyFont="1" applyBorder="1"/>
    <xf numFmtId="49" fontId="24" fillId="0" borderId="0" xfId="1" applyNumberFormat="1" applyFont="1"/>
    <xf numFmtId="0" fontId="83" fillId="0" borderId="0" xfId="2" applyFont="1" applyBorder="1"/>
    <xf numFmtId="49" fontId="24" fillId="0" borderId="0" xfId="1" applyNumberFormat="1" applyFont="1" applyAlignment="1">
      <alignment horizontal="left"/>
    </xf>
    <xf numFmtId="164" fontId="83" fillId="0" borderId="0" xfId="2" applyNumberFormat="1" applyFont="1" applyBorder="1" applyAlignment="1"/>
    <xf numFmtId="0" fontId="87" fillId="0" borderId="0" xfId="2" applyFont="1" applyBorder="1"/>
    <xf numFmtId="0" fontId="5" fillId="0" borderId="0" xfId="0" applyFont="1"/>
    <xf numFmtId="164" fontId="5" fillId="0" borderId="0" xfId="0" applyNumberFormat="1" applyFont="1"/>
    <xf numFmtId="164" fontId="15" fillId="0" borderId="0" xfId="2" applyNumberFormat="1" applyBorder="1" applyAlignment="1">
      <alignment horizontal="left"/>
    </xf>
    <xf numFmtId="0" fontId="1" fillId="0" borderId="0" xfId="2" applyFont="1" applyBorder="1"/>
    <xf numFmtId="49" fontId="22" fillId="0" borderId="0" xfId="1" applyNumberFormat="1" applyFont="1" applyAlignment="1">
      <alignment horizontal="left"/>
    </xf>
    <xf numFmtId="165" fontId="19" fillId="0" borderId="0" xfId="1" applyNumberFormat="1" applyFont="1" applyAlignment="1">
      <alignment horizontal="left" wrapText="1"/>
    </xf>
    <xf numFmtId="0" fontId="0" fillId="0" borderId="0" xfId="2" applyFont="1" applyBorder="1"/>
    <xf numFmtId="168" fontId="16" fillId="0" borderId="0" xfId="1" applyNumberFormat="1" applyFont="1" applyAlignment="1">
      <alignment wrapText="1"/>
    </xf>
    <xf numFmtId="164" fontId="5" fillId="17" borderId="0" xfId="0" applyNumberFormat="1" applyFont="1" applyFill="1"/>
    <xf numFmtId="0" fontId="5" fillId="0" borderId="0" xfId="1" applyNumberFormat="1" applyFont="1" applyAlignment="1">
      <alignment horizontal="left"/>
    </xf>
    <xf numFmtId="0" fontId="14" fillId="0" borderId="0" xfId="0" applyFont="1" applyAlignment="1">
      <alignment horizontal="left"/>
    </xf>
    <xf numFmtId="0" fontId="43" fillId="0" borderId="0" xfId="1" applyNumberFormat="1" applyFont="1" applyAlignment="1">
      <alignment horizontal="left" wrapText="1"/>
    </xf>
    <xf numFmtId="164" fontId="14" fillId="0" borderId="0" xfId="1" applyFont="1" applyAlignment="1">
      <alignment horizontal="left" wrapText="1"/>
    </xf>
    <xf numFmtId="0" fontId="5" fillId="17" borderId="0" xfId="0" applyFont="1" applyFill="1" applyAlignment="1">
      <alignment horizontal="left"/>
    </xf>
    <xf numFmtId="0" fontId="90" fillId="20" borderId="0" xfId="0" applyFont="1" applyFill="1"/>
    <xf numFmtId="0" fontId="19" fillId="0" borderId="0" xfId="0" applyFont="1" applyAlignment="1">
      <alignment vertical="center"/>
    </xf>
    <xf numFmtId="1" fontId="83" fillId="0" borderId="0" xfId="2" applyNumberFormat="1" applyFont="1" applyBorder="1" applyAlignment="1">
      <alignment horizontal="left"/>
    </xf>
    <xf numFmtId="164" fontId="1" fillId="21" borderId="0" xfId="1" applyFill="1"/>
    <xf numFmtId="0" fontId="3" fillId="21" borderId="0" xfId="1" applyNumberFormat="1" applyFont="1" applyFill="1" applyAlignment="1">
      <alignment horizontal="centerContinuous"/>
    </xf>
    <xf numFmtId="0" fontId="0" fillId="21" borderId="0" xfId="0" applyFill="1" applyAlignment="1">
      <alignment horizontal="left"/>
    </xf>
    <xf numFmtId="0" fontId="0" fillId="21" borderId="0" xfId="0" applyFill="1" applyAlignment="1">
      <alignment wrapText="1"/>
    </xf>
    <xf numFmtId="0" fontId="0" fillId="21" borderId="0" xfId="0" applyFill="1"/>
    <xf numFmtId="0" fontId="1" fillId="21" borderId="0" xfId="1" applyNumberFormat="1" applyFill="1" applyAlignment="1">
      <alignment horizontal="left"/>
    </xf>
    <xf numFmtId="49" fontId="1" fillId="21" borderId="0" xfId="1" applyNumberFormat="1" applyFill="1" applyAlignment="1">
      <alignment horizontal="left"/>
    </xf>
    <xf numFmtId="0" fontId="3" fillId="21" borderId="0" xfId="1" applyNumberFormat="1" applyFont="1" applyFill="1" applyAlignment="1">
      <alignment horizontal="left"/>
    </xf>
    <xf numFmtId="1" fontId="15" fillId="21" borderId="0" xfId="2" applyNumberFormat="1" applyFill="1" applyBorder="1" applyAlignment="1">
      <alignment horizontal="left"/>
    </xf>
    <xf numFmtId="164" fontId="1" fillId="21" borderId="0" xfId="1" applyFill="1" applyAlignment="1">
      <alignment horizontal="left"/>
    </xf>
    <xf numFmtId="164" fontId="0" fillId="21" borderId="0" xfId="1" applyFont="1" applyFill="1" applyAlignment="1">
      <alignment horizontal="left" wrapText="1"/>
    </xf>
    <xf numFmtId="0" fontId="15" fillId="21" borderId="0" xfId="2" applyFill="1" applyBorder="1" applyAlignment="1"/>
    <xf numFmtId="164" fontId="3" fillId="0" borderId="0" xfId="1" applyFont="1"/>
    <xf numFmtId="0" fontId="3" fillId="0" borderId="0" xfId="0" applyFont="1" applyAlignment="1">
      <alignment horizontal="left"/>
    </xf>
    <xf numFmtId="0" fontId="91" fillId="0" borderId="0" xfId="2" applyFont="1" applyBorder="1"/>
    <xf numFmtId="49" fontId="3" fillId="0" borderId="0" xfId="1" applyNumberFormat="1" applyFont="1" applyAlignment="1">
      <alignment horizontal="left"/>
    </xf>
    <xf numFmtId="164" fontId="3" fillId="0" borderId="0" xfId="1" applyFont="1" applyAlignment="1">
      <alignment horizontal="left"/>
    </xf>
    <xf numFmtId="0" fontId="91" fillId="0" borderId="0" xfId="2" applyFont="1" applyBorder="1" applyAlignment="1"/>
    <xf numFmtId="164" fontId="31" fillId="0" borderId="0" xfId="1" applyFont="1" applyAlignment="1">
      <alignment horizontal="left"/>
    </xf>
    <xf numFmtId="0" fontId="15" fillId="0" borderId="0" xfId="2" applyBorder="1" applyAlignment="1">
      <alignment vertical="center" wrapText="1"/>
    </xf>
    <xf numFmtId="0" fontId="93" fillId="0" borderId="0" xfId="0" applyFont="1"/>
    <xf numFmtId="0" fontId="94" fillId="0" borderId="0" xfId="0" applyFont="1"/>
    <xf numFmtId="0" fontId="31" fillId="0" borderId="0" xfId="2" applyNumberFormat="1" applyFont="1" applyBorder="1" applyAlignment="1">
      <alignment horizontal="left"/>
    </xf>
    <xf numFmtId="0" fontId="95" fillId="0" borderId="0" xfId="0" applyFont="1"/>
    <xf numFmtId="0" fontId="31" fillId="17" borderId="0" xfId="0" applyFont="1" applyFill="1" applyAlignment="1">
      <alignment horizontal="centerContinuous"/>
    </xf>
    <xf numFmtId="1" fontId="5" fillId="0" borderId="0" xfId="0" applyNumberFormat="1" applyFont="1"/>
    <xf numFmtId="14" fontId="5" fillId="0" borderId="0" xfId="0" applyNumberFormat="1" applyFont="1" applyAlignment="1">
      <alignment horizontal="left"/>
    </xf>
    <xf numFmtId="0" fontId="5" fillId="0" borderId="0" xfId="0" applyFont="1" applyAlignment="1">
      <alignment wrapText="1"/>
    </xf>
    <xf numFmtId="0" fontId="96" fillId="0" borderId="0" xfId="0" applyFont="1"/>
    <xf numFmtId="0" fontId="5" fillId="0" borderId="0" xfId="1" applyNumberFormat="1" applyFont="1" applyAlignment="1">
      <alignment horizontal="left" wrapText="1"/>
    </xf>
    <xf numFmtId="0" fontId="97" fillId="0" borderId="0" xfId="0" applyFont="1"/>
    <xf numFmtId="1" fontId="0" fillId="0" borderId="0" xfId="1" applyNumberFormat="1" applyFont="1" applyAlignment="1">
      <alignment horizontal="left"/>
    </xf>
    <xf numFmtId="0" fontId="5" fillId="0" borderId="0" xfId="2" applyNumberFormat="1" applyFont="1" applyBorder="1" applyAlignment="1">
      <alignment horizontal="left"/>
    </xf>
    <xf numFmtId="1" fontId="0" fillId="0" borderId="0" xfId="2" applyNumberFormat="1" applyFont="1" applyBorder="1" applyAlignment="1">
      <alignment horizontal="left"/>
    </xf>
    <xf numFmtId="0" fontId="1" fillId="0" borderId="0" xfId="2" applyNumberFormat="1" applyFont="1" applyBorder="1" applyAlignment="1">
      <alignment horizontal="left" wrapText="1"/>
    </xf>
    <xf numFmtId="0" fontId="74" fillId="0" borderId="0" xfId="1" applyNumberFormat="1" applyFont="1" applyAlignment="1">
      <alignment horizontal="left"/>
    </xf>
    <xf numFmtId="1" fontId="74" fillId="0" borderId="0" xfId="1" applyNumberFormat="1" applyFont="1" applyAlignment="1">
      <alignment horizontal="left"/>
    </xf>
    <xf numFmtId="0" fontId="74" fillId="0" borderId="0" xfId="1" applyNumberFormat="1" applyFont="1" applyAlignment="1">
      <alignment horizontal="left" wrapText="1"/>
    </xf>
    <xf numFmtId="167" fontId="15" fillId="0" borderId="0" xfId="2" applyNumberFormat="1" applyBorder="1" applyAlignment="1">
      <alignment horizontal="left"/>
    </xf>
    <xf numFmtId="0" fontId="27" fillId="0" borderId="0" xfId="1" applyNumberFormat="1" applyFont="1" applyAlignment="1">
      <alignment horizontal="left"/>
    </xf>
    <xf numFmtId="1" fontId="16" fillId="0" borderId="0" xfId="2" applyNumberFormat="1" applyFont="1" applyBorder="1" applyAlignment="1">
      <alignment horizontal="left"/>
    </xf>
    <xf numFmtId="0" fontId="98" fillId="20" borderId="0" xfId="0" applyFont="1" applyFill="1" applyAlignment="1">
      <alignment horizontal="left"/>
    </xf>
    <xf numFmtId="0" fontId="15" fillId="20" borderId="0" xfId="2" applyFill="1" applyBorder="1" applyAlignment="1"/>
    <xf numFmtId="0" fontId="98" fillId="20" borderId="0" xfId="0" applyFont="1" applyFill="1"/>
    <xf numFmtId="164" fontId="98" fillId="20" borderId="0" xfId="0" applyNumberFormat="1" applyFont="1" applyFill="1" applyAlignment="1">
      <alignment horizontal="left"/>
    </xf>
    <xf numFmtId="0" fontId="21" fillId="0" borderId="0" xfId="0" applyFont="1" applyAlignment="1">
      <alignment wrapText="1"/>
    </xf>
    <xf numFmtId="0" fontId="46" fillId="0" borderId="0" xfId="0" applyFont="1" applyAlignment="1">
      <alignment horizontal="left"/>
    </xf>
    <xf numFmtId="0" fontId="99" fillId="0" borderId="0" xfId="0" applyFont="1"/>
    <xf numFmtId="0" fontId="83" fillId="0" borderId="0" xfId="2" applyFont="1"/>
    <xf numFmtId="49" fontId="27" fillId="0" borderId="0" xfId="0" applyNumberFormat="1" applyFont="1"/>
    <xf numFmtId="0" fontId="33" fillId="0" borderId="0" xfId="0" applyFont="1"/>
    <xf numFmtId="0" fontId="100" fillId="0" borderId="0" xfId="0" applyFont="1" applyAlignment="1">
      <alignment wrapText="1"/>
    </xf>
    <xf numFmtId="0" fontId="5" fillId="20" borderId="0" xfId="0" applyFont="1" applyFill="1"/>
    <xf numFmtId="49" fontId="98" fillId="20" borderId="0" xfId="0" applyNumberFormat="1" applyFont="1" applyFill="1"/>
    <xf numFmtId="0" fontId="0" fillId="0" borderId="0" xfId="2" applyFont="1" applyBorder="1" applyAlignment="1"/>
    <xf numFmtId="14" fontId="21" fillId="20" borderId="0" xfId="0" applyNumberFormat="1" applyFont="1" applyFill="1" applyAlignment="1">
      <alignment horizontal="left"/>
    </xf>
    <xf numFmtId="14" fontId="101" fillId="20" borderId="0" xfId="0" applyNumberFormat="1" applyFont="1" applyFill="1" applyAlignment="1">
      <alignment horizontal="left"/>
    </xf>
    <xf numFmtId="0" fontId="0" fillId="0" borderId="0" xfId="2" applyFont="1" applyBorder="1" applyAlignment="1">
      <alignment wrapText="1"/>
    </xf>
    <xf numFmtId="0" fontId="27" fillId="20" borderId="0" xfId="0" applyFont="1" applyFill="1" applyAlignment="1">
      <alignment horizontal="left"/>
    </xf>
    <xf numFmtId="0" fontId="102" fillId="0" borderId="0" xfId="0" applyFont="1"/>
    <xf numFmtId="1" fontId="1" fillId="0" borderId="0" xfId="1" applyNumberFormat="1" applyAlignment="1">
      <alignment horizontal="left" wrapText="1"/>
    </xf>
    <xf numFmtId="0" fontId="3" fillId="0" borderId="0" xfId="1" applyNumberFormat="1" applyFont="1" applyAlignment="1">
      <alignment horizontal="center"/>
    </xf>
    <xf numFmtId="0" fontId="103" fillId="0" borderId="0" xfId="0" applyFont="1"/>
    <xf numFmtId="0" fontId="77" fillId="0" borderId="0" xfId="2" applyFont="1" applyBorder="1"/>
    <xf numFmtId="0" fontId="77" fillId="0" borderId="0" xfId="2" applyFont="1" applyBorder="1" applyAlignment="1"/>
    <xf numFmtId="15" fontId="0" fillId="0" borderId="0" xfId="0" applyNumberFormat="1" applyAlignment="1">
      <alignment horizontal="left"/>
    </xf>
    <xf numFmtId="0" fontId="15" fillId="20" borderId="0" xfId="2" applyFill="1" applyBorder="1"/>
    <xf numFmtId="0" fontId="0" fillId="22" borderId="0" xfId="0" applyFill="1"/>
    <xf numFmtId="0" fontId="0" fillId="22" borderId="0" xfId="0" applyFill="1" applyAlignment="1">
      <alignment horizontal="left"/>
    </xf>
    <xf numFmtId="0" fontId="16" fillId="0" borderId="0" xfId="2" applyFont="1" applyBorder="1" applyAlignment="1">
      <alignment wrapText="1"/>
    </xf>
    <xf numFmtId="0" fontId="46" fillId="0" borderId="0" xfId="0" applyFont="1" applyAlignment="1">
      <alignment wrapText="1"/>
    </xf>
    <xf numFmtId="1" fontId="83" fillId="0" borderId="0" xfId="2" applyNumberFormat="1" applyFont="1" applyAlignment="1">
      <alignment horizontal="left"/>
    </xf>
    <xf numFmtId="0" fontId="24" fillId="0" borderId="0" xfId="2" applyFont="1" applyBorder="1"/>
    <xf numFmtId="1" fontId="105" fillId="0" borderId="0" xfId="0" applyNumberFormat="1" applyFont="1" applyAlignment="1">
      <alignment horizontal="left"/>
    </xf>
    <xf numFmtId="0" fontId="105" fillId="0" borderId="0" xfId="0" applyFont="1"/>
    <xf numFmtId="0" fontId="106" fillId="0" borderId="0" xfId="0" applyFont="1"/>
    <xf numFmtId="0" fontId="106" fillId="0" borderId="0" xfId="0" applyFont="1" applyAlignment="1">
      <alignment wrapText="1"/>
    </xf>
    <xf numFmtId="0" fontId="15" fillId="0" borderId="0" xfId="2" applyNumberFormat="1" applyAlignment="1">
      <alignment horizontal="left" wrapText="1"/>
    </xf>
    <xf numFmtId="1" fontId="3" fillId="0" borderId="0" xfId="1" applyNumberFormat="1" applyFont="1" applyAlignment="1">
      <alignment horizontal="left" wrapText="1"/>
    </xf>
    <xf numFmtId="0" fontId="15" fillId="0" borderId="0" xfId="2" applyAlignment="1"/>
    <xf numFmtId="169" fontId="16" fillId="0" borderId="13" xfId="0" applyNumberFormat="1" applyFont="1" applyBorder="1" applyAlignment="1">
      <alignment horizontal="left"/>
    </xf>
    <xf numFmtId="0" fontId="15" fillId="0" borderId="0" xfId="2" applyNumberFormat="1" applyAlignment="1">
      <alignment horizontal="left"/>
    </xf>
    <xf numFmtId="169" fontId="16" fillId="0" borderId="0" xfId="0" applyNumberFormat="1" applyFont="1" applyAlignment="1">
      <alignment horizontal="left"/>
    </xf>
    <xf numFmtId="0" fontId="1" fillId="0" borderId="0" xfId="2" applyFont="1"/>
    <xf numFmtId="0" fontId="107" fillId="0" borderId="0" xfId="0" applyFont="1"/>
    <xf numFmtId="1" fontId="15" fillId="0" borderId="0" xfId="2" applyNumberFormat="1" applyAlignment="1">
      <alignment horizontal="left"/>
    </xf>
    <xf numFmtId="0" fontId="1" fillId="0" borderId="0" xfId="2" applyFont="1" applyAlignment="1"/>
    <xf numFmtId="1" fontId="15" fillId="0" borderId="0" xfId="2" applyNumberFormat="1" applyFill="1" applyAlignment="1">
      <alignment horizontal="left"/>
    </xf>
    <xf numFmtId="0" fontId="0" fillId="0" borderId="0" xfId="2" applyFont="1" applyAlignment="1"/>
    <xf numFmtId="0" fontId="83" fillId="0" borderId="0" xfId="2" applyFont="1" applyAlignment="1"/>
    <xf numFmtId="0" fontId="16" fillId="0" borderId="0" xfId="1" applyNumberFormat="1" applyFont="1" applyAlignment="1">
      <alignment horizontal="left" wrapText="1"/>
    </xf>
    <xf numFmtId="0" fontId="15" fillId="0" borderId="0" xfId="2" applyAlignment="1">
      <alignment wrapText="1"/>
    </xf>
    <xf numFmtId="49" fontId="1" fillId="0" borderId="0" xfId="2" applyNumberFormat="1" applyFont="1" applyAlignment="1">
      <alignment horizontal="left" wrapText="1"/>
    </xf>
    <xf numFmtId="0" fontId="15" fillId="0" borderId="0" xfId="2" applyNumberFormat="1" applyFill="1" applyAlignment="1">
      <alignment horizontal="left"/>
    </xf>
    <xf numFmtId="1" fontId="64" fillId="0" borderId="0" xfId="0" applyNumberFormat="1" applyFont="1" applyAlignment="1">
      <alignment horizontal="left"/>
    </xf>
    <xf numFmtId="1" fontId="28" fillId="0" borderId="0" xfId="0" applyNumberFormat="1" applyFont="1" applyAlignment="1">
      <alignment horizontal="left"/>
    </xf>
    <xf numFmtId="0" fontId="15" fillId="0" borderId="0" xfId="2" applyNumberFormat="1"/>
    <xf numFmtId="0" fontId="15" fillId="0" borderId="0" xfId="2" applyNumberFormat="1" applyAlignment="1"/>
    <xf numFmtId="0" fontId="108" fillId="0" borderId="0" xfId="0" applyFont="1"/>
    <xf numFmtId="0" fontId="15" fillId="23" borderId="14" xfId="2" applyFill="1" applyBorder="1"/>
    <xf numFmtId="0" fontId="109" fillId="23" borderId="14" xfId="0" applyFont="1" applyFill="1" applyBorder="1" applyAlignment="1">
      <alignment horizontal="center"/>
    </xf>
    <xf numFmtId="0" fontId="19" fillId="0" borderId="0" xfId="0" applyFont="1"/>
    <xf numFmtId="0" fontId="0" fillId="0" borderId="0" xfId="2" applyFont="1"/>
    <xf numFmtId="0" fontId="15" fillId="0" borderId="0" xfId="2" applyAlignment="1">
      <alignment horizontal="left"/>
    </xf>
    <xf numFmtId="0" fontId="16" fillId="0" borderId="0" xfId="2" applyFont="1" applyAlignment="1">
      <alignment horizontal="left"/>
    </xf>
    <xf numFmtId="1" fontId="15" fillId="0" borderId="0" xfId="2" applyNumberFormat="1" applyAlignment="1">
      <alignment horizontal="left" wrapText="1"/>
    </xf>
    <xf numFmtId="0" fontId="83" fillId="0" borderId="0" xfId="2" applyFont="1" applyAlignment="1">
      <alignment horizontal="left"/>
    </xf>
    <xf numFmtId="1" fontId="83" fillId="0" borderId="0" xfId="2" applyNumberFormat="1" applyFont="1" applyAlignment="1">
      <alignment horizontal="left" wrapText="1"/>
    </xf>
    <xf numFmtId="0" fontId="1" fillId="0" borderId="0" xfId="2" applyNumberFormat="1" applyFont="1" applyBorder="1" applyAlignment="1">
      <alignment horizontal="left"/>
    </xf>
    <xf numFmtId="0" fontId="16" fillId="0" borderId="0" xfId="2" applyFont="1"/>
    <xf numFmtId="0" fontId="16" fillId="0" borderId="0" xfId="2" applyFont="1" applyAlignment="1"/>
    <xf numFmtId="0" fontId="109" fillId="23" borderId="14" xfId="0" applyFont="1" applyFill="1" applyBorder="1" applyAlignment="1" applyProtection="1">
      <alignment horizontal="center"/>
      <protection locked="0"/>
    </xf>
    <xf numFmtId="0" fontId="15" fillId="23" borderId="14" xfId="2" applyFill="1" applyBorder="1" applyAlignment="1" applyProtection="1">
      <alignment horizontal="left"/>
      <protection locked="0"/>
    </xf>
    <xf numFmtId="0" fontId="109" fillId="23" borderId="0" xfId="0" applyFont="1" applyFill="1" applyAlignment="1" applyProtection="1">
      <alignment horizontal="center"/>
      <protection locked="0"/>
    </xf>
    <xf numFmtId="1" fontId="19" fillId="0" borderId="0" xfId="1" applyNumberFormat="1" applyFont="1" applyAlignment="1">
      <alignment horizontal="left"/>
    </xf>
    <xf numFmtId="0" fontId="1" fillId="0" borderId="0" xfId="1" applyNumberFormat="1" applyAlignment="1">
      <alignment horizontal="centerContinuous"/>
    </xf>
    <xf numFmtId="0" fontId="19" fillId="0" borderId="0" xfId="1" applyNumberFormat="1" applyFont="1" applyAlignment="1">
      <alignment horizontal="left" wrapText="1"/>
    </xf>
    <xf numFmtId="164" fontId="1" fillId="0" borderId="0" xfId="1" applyFill="1" applyAlignment="1"/>
    <xf numFmtId="0" fontId="3" fillId="0" borderId="0" xfId="1" applyNumberFormat="1" applyFont="1" applyFill="1" applyAlignment="1">
      <alignment horizontal="centerContinuous"/>
    </xf>
    <xf numFmtId="0" fontId="0" fillId="0" borderId="0" xfId="0" applyAlignment="1"/>
    <xf numFmtId="0" fontId="0" fillId="0" borderId="0" xfId="1" applyNumberFormat="1" applyFont="1" applyFill="1" applyAlignment="1">
      <alignment horizontal="left"/>
    </xf>
    <xf numFmtId="0" fontId="3" fillId="0" borderId="0" xfId="1" applyNumberFormat="1" applyFont="1" applyFill="1" applyAlignment="1">
      <alignment horizontal="left"/>
    </xf>
    <xf numFmtId="0" fontId="3" fillId="0" borderId="0" xfId="1" applyNumberFormat="1" applyFont="1" applyFill="1" applyAlignment="1">
      <alignment horizontal="left" wrapText="1"/>
    </xf>
    <xf numFmtId="164" fontId="1" fillId="0" borderId="0" xfId="1" applyFill="1" applyAlignment="1">
      <alignment horizontal="left"/>
    </xf>
    <xf numFmtId="164" fontId="1" fillId="0" borderId="0" xfId="1" applyFill="1" applyAlignment="1">
      <alignment horizontal="left" wrapText="1"/>
    </xf>
    <xf numFmtId="1" fontId="16" fillId="0" borderId="0" xfId="0" applyNumberFormat="1" applyFont="1" applyAlignment="1">
      <alignment horizontal="left"/>
    </xf>
    <xf numFmtId="1" fontId="16" fillId="0" borderId="0" xfId="2" applyNumberFormat="1" applyFont="1" applyAlignment="1">
      <alignment horizontal="left"/>
    </xf>
    <xf numFmtId="1" fontId="1" fillId="0" borderId="0" xfId="2" applyNumberFormat="1" applyFont="1" applyAlignment="1">
      <alignment horizontal="left"/>
    </xf>
  </cellXfs>
  <cellStyles count="4">
    <cellStyle name="Hyperlink" xfId="2" xr:uid="{96CAA655-8A71-4606-AC48-6AE47863B8A6}"/>
    <cellStyle name="Normal" xfId="0" builtinId="0"/>
    <cellStyle name="Normal 2" xfId="1" xr:uid="{4F0BBF26-7E8E-4A1E-8042-6E745919A518}"/>
    <cellStyle name="Normal 3" xfId="3" xr:uid="{8126A314-BA30-4024-AC18-1701B0876517}"/>
  </cellStyles>
  <dxfs count="35">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vertical="bottom"/>
    </dxf>
    <dxf>
      <alignment vertical="bottom"/>
    </dxf>
    <dxf>
      <alignment vertical="bottom"/>
    </dxf>
    <dxf>
      <alignment vertical="bottom"/>
    </dxf>
    <dxf>
      <alignment vertical="bottom"/>
    </dxf>
    <dxf>
      <alignment horizontal="left" vertical="bottom" textRotation="0" wrapText="1" indent="0" justifyLastLine="0" shrinkToFit="0" readingOrder="0"/>
    </dxf>
    <dxf>
      <alignment vertical="bottom"/>
    </dxf>
    <dxf>
      <alignment horizontal="left" vertical="bottom" textRotation="0" wrapText="0" indent="0" justifyLastLine="0" shrinkToFit="0" readingOrder="0"/>
    </dxf>
    <dxf>
      <alignment horizontal="left" vertical="bottom" textRotation="0" wrapText="0" indent="0" justifyLastLine="0" shrinkToFit="0" readingOrder="0"/>
    </dxf>
    <dxf>
      <alignment vertical="bottom"/>
    </dxf>
    <dxf>
      <alignment vertical="bottom"/>
    </dxf>
    <dxf>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font>
        <b/>
      </font>
      <numFmt numFmtId="0" formatCode="General"/>
      <alignment horizontal="left" vertical="bottom" textRotation="0" wrapText="1" indent="0" justifyLastLine="0" shrinkToFit="0" readingOrder="0"/>
    </dxf>
    <dxf>
      <font>
        <b/>
      </font>
      <numFmt numFmtId="0" formatCode="General"/>
      <alignment horizontal="left" vertical="bottom" textRotation="0" wrapText="0" indent="0" justifyLastLine="0" shrinkToFit="0" readingOrder="0"/>
    </dxf>
    <dxf>
      <font>
        <b/>
      </font>
      <numFmt numFmtId="1" formatCode="0"/>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font>
        <b val="0"/>
      </font>
      <numFmt numFmtId="30" formatCode="@"/>
      <alignment horizontal="left" vertical="bottom" textRotation="0" wrapText="0" indent="0" justifyLastLine="0" shrinkToFit="0" readingOrder="0"/>
    </dxf>
    <dxf>
      <font>
        <b val="0"/>
      </font>
      <numFmt numFmtId="30" formatCode="@"/>
      <alignment horizontal="left" vertical="bottom" textRotation="0" wrapText="0" indent="0" justifyLastLine="0" shrinkToFit="0" readingOrder="0"/>
    </dxf>
    <dxf>
      <font>
        <b val="0"/>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1"/>
        <charset val="136"/>
        <scheme val="minor"/>
      </font>
      <numFmt numFmtId="164" formatCode="[$-409]dd\-mmm\-yy;@"/>
    </dxf>
    <dxf>
      <alignment vertical="bottom"/>
    </dxf>
    <dxf>
      <alignment horizontal="general" vertical="bottom" textRotation="0" indent="0" justifyLastLine="0" shrinkToFit="0" readingOrder="0"/>
    </dxf>
    <dxf>
      <alignment horizontal="left" vertical="bottom" textRotation="0" indent="0" justifyLastLine="0" shrinkToFit="0" readingOrder="0"/>
    </dxf>
    <dxf>
      <alignment vertical="bottom"/>
    </dxf>
    <dxf>
      <alignment vertical="bottom"/>
    </dxf>
    <dxf>
      <font>
        <b/>
        <i val="0"/>
        <strike val="0"/>
        <condense val="0"/>
        <extend val="0"/>
        <outline val="0"/>
        <shadow val="0"/>
        <u val="none"/>
        <vertAlign val="baseline"/>
        <sz val="11"/>
        <color theme="1"/>
        <name val="Aptos Narrow"/>
        <family val="2"/>
        <scheme val="minor"/>
      </font>
      <numFmt numFmtId="0" formatCode="General"/>
      <alignment horizontal="centerContinuous" vertical="bottom" textRotation="0" wrapText="0" indent="0" justifyLastLine="0" shrinkToFit="0" readingOrder="0"/>
    </dxf>
    <dxf>
      <alignment vertical="bottom"/>
    </dxf>
    <dxf>
      <alignment vertical="bottom"/>
    </dxf>
    <dxf>
      <font>
        <b val="0"/>
        <strike val="0"/>
        <outline val="0"/>
        <shadow val="0"/>
        <u val="none"/>
        <vertAlign val="baseline"/>
        <sz val="12"/>
        <name val="Yu Gothic UI"/>
        <family val="2"/>
        <charset val="128"/>
        <scheme val="none"/>
      </font>
      <alignmen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ulti%20Cloud%20Service%20Order%20Inventory.xlsx" TargetMode="External"/><Relationship Id="rId2" Type="http://schemas.openxmlformats.org/officeDocument/2006/relationships/externalLinkPath" Target="file:///C:\Users\user\Desktop\Multi%20Cloud%20Service%20Order%20Inventory.xlsx" TargetMode="External"/><Relationship Id="rId1" Type="http://schemas.openxmlformats.org/officeDocument/2006/relationships/externalLinkPath" Target="/Users/user/Desktop/Multi%20Cloud%20Service%20Order%20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16 (Ref Old)"/>
      <sheetName val="Subscribe Count"/>
      <sheetName val="2016 (2)"/>
      <sheetName val="2016"/>
      <sheetName val="SHANGHAI COMMERCIAL BANK LTD"/>
      <sheetName val="Maxims"/>
      <sheetName val="The Bank Of East Asia"/>
      <sheetName val="NWD AWS"/>
      <sheetName val="Sheet1"/>
      <sheetName val="Maxims Table"/>
      <sheetName val="Maxim"/>
      <sheetName val="Mapping"/>
      <sheetName val="Order Pivot"/>
      <sheetName val="contact"/>
      <sheetName val="AWS Master Payer Account"/>
      <sheetName val="HOSPITAL AUTHORITY (AWS)"/>
      <sheetName val="HOSPITAL AUTHORITY (Azure)"/>
      <sheetName val="HOSPITAL AUTHORITY (Huawei)"/>
      <sheetName val="NWD AWS Accounts inform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68F10-1A40-47D9-9B99-F91C7C17C73F}" name="MultiCloudData8" displayName="MultiCloudData8" ref="A1:AD1065" totalsRowShown="0" headerRowDxfId="34" dataDxfId="33">
  <autoFilter ref="A1:AD1065" xr:uid="{EFC68F10-1A40-47D9-9B99-F91C7C17C73F}"/>
  <tableColumns count="30">
    <tableColumn id="1" xr3:uid="{A07D094F-743F-4478-89B9-6F7344C7F8D1}" name="Status" dataDxfId="32" dataCellStyle="Normal 2"/>
    <tableColumn id="35" xr3:uid="{E28F52AB-CBE8-45DF-B8E9-7CF2743573E3}" name="Order Type" dataDxfId="31" dataCellStyle="Normal 2"/>
    <tableColumn id="3" xr3:uid="{17BE4D52-5489-4AB0-85D5-CE1C5B2114F4}" name="Service Type" dataDxfId="30" dataCellStyle="Normal 2"/>
    <tableColumn id="10" xr3:uid="{3D77BFFA-F554-4B89-8422-7E04B20A30C0}" name="Contact Person" dataDxfId="29"/>
    <tableColumn id="11" xr3:uid="{359721DF-1A8D-4A29-9155-AA8B1F698A4E}" name="Contact Number" dataDxfId="28"/>
    <tableColumn id="12" xr3:uid="{FA3531A1-24C9-46BA-9E32-D367F9CBC0FE}" name="Contact Email" dataDxfId="27"/>
    <tableColumn id="2" xr3:uid="{0FC27407-DE5A-406A-B066-9F4600CC3B16}" name="Company Name" dataDxfId="26"/>
    <tableColumn id="29" xr3:uid="{0B53F2B4-A324-42ED-B999-D65C0739B23B}" name="Standardized Company Name" dataDxfId="25" dataCellStyle="Normal 2">
      <calculatedColumnFormula>IFERROR(VLOOKUP(G2,#REF!, 2, FALSE), A2)</calculatedColumnFormula>
    </tableColumn>
    <tableColumn id="20" xr3:uid="{8DDD2309-9E04-403C-8CDA-1F59FF298172}" name="Product Subscribe" dataDxfId="24" dataCellStyle="Normal 2"/>
    <tableColumn id="24" xr3:uid="{3591E3C9-AA55-4812-86D0-5CFA597E2A8C}" name="Billing Account / Master Account" dataDxfId="23" dataCellStyle="Normal 2"/>
    <tableColumn id="26" xr3:uid="{AC3106A9-6315-4FB3-BCC5-73A0EDFB7C1F}" name="Account/Root ID UID" dataDxfId="22" dataCellStyle="Normal 2"/>
    <tableColumn id="25" xr3:uid="{6CD54FE8-740D-4B51-B23D-A5AFBDCAE999}" name="Account Name" dataDxfId="21" dataCellStyle="Normal 2"/>
    <tableColumn id="27" xr3:uid="{40DBE7E1-FDB0-4863-B54A-7914BE53BF7B}" name="Account Login Email" dataDxfId="20" dataCellStyle="Normal 2"/>
    <tableColumn id="28" xr3:uid="{0616BE74-AEB5-47EF-B59A-D921F4804ED5}" name="Password" dataDxfId="19" dataCellStyle="Normal 2"/>
    <tableColumn id="15" xr3:uid="{BA8BB437-A388-45F5-BC85-FE6BB23226B9}" name="Billing Address" dataDxfId="18" dataCellStyle="Normal 2"/>
    <tableColumn id="13" xr3:uid="{7A9658A2-2CA3-4838-92C7-90FABCA2DB35}" name="Other Account Information" dataDxfId="17" dataCellStyle="Normal 2"/>
    <tableColumn id="5" xr3:uid="{606F0271-7B88-4297-96FA-BE8E9D614EBF}" name="SRD" dataDxfId="16" dataCellStyle="Normal 2"/>
    <tableColumn id="4" xr3:uid="{174AC519-9463-4E90-9721-A251EF1C55CB}" name="Order _x000a_Receive Date" dataDxfId="15" dataCellStyle="Normal 2"/>
    <tableColumn id="6" xr3:uid="{0C9C4542-0C00-4136-ACAA-9D9C0D0590BE}" name="CxS _x000a_Complete Date" dataDxfId="14" dataCellStyle="Normal 2"/>
    <tableColumn id="7" xr3:uid="{186A2127-E839-4301-AF40-ECF939705C23}" name="Service No." dataDxfId="13"/>
    <tableColumn id="8" xr3:uid="{AE309091-8C0F-4AFC-88FC-1EB5ACB6336B}" name="CxS Request No." dataDxfId="12"/>
    <tableColumn id="9" xr3:uid="{EED37A5C-2600-4A58-9374-0837DE5D71F7}" name="TID" dataDxfId="11"/>
    <tableColumn id="18" xr3:uid="{446A1161-5BFC-4716-93AD-E3F7AC3C7461}" name="OASIS Number" dataDxfId="10" dataCellStyle="Normal 2"/>
    <tableColumn id="16" xr3:uid="{5F6E2E9B-BB6F-4450-9BF0-1BADEBB142F1}" name="SD Number" dataDxfId="9"/>
    <tableColumn id="22" xr3:uid="{C35C5775-3873-4D6A-AD51-FF189AE2A11B}" name="Remark" dataDxfId="8" dataCellStyle="Normal 2"/>
    <tableColumn id="14" xr3:uid="{B65BDA24-76CD-4670-8B9B-2747C508A95E}" name="PS Job" dataDxfId="7"/>
    <tableColumn id="17" xr3:uid="{77FC1C0E-9297-4C0F-B4B5-28C453A86B5E}" name="T2/ T3" dataDxfId="6"/>
    <tableColumn id="19" xr3:uid="{54ABAB5D-2206-481A-87C0-0DD065D50E67}" name="Welcome Letter" dataDxfId="5"/>
    <tableColumn id="21" xr3:uid="{F9E7D14D-BF97-478B-A184-7DF826F1373B}" name="By" dataDxfId="4"/>
    <tableColumn id="23" xr3:uid="{E3EA7BDB-7BFA-41B3-BD62-58F608054480}" name="Order Form" dataDxfId="3"/>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10.10.10.209/OASIS_FILE_MANAGER/zip_files_download.php?qid=1531590&amp;serialno=UC25-00009631&amp;itemno=1&amp;token=5ec2997e53fb37238f0358c51f50024f" TargetMode="External"/><Relationship Id="rId324" Type="http://schemas.openxmlformats.org/officeDocument/2006/relationships/hyperlink" Target="mailto:norman.chan@kingviews-hk.com" TargetMode="External"/><Relationship Id="rId531" Type="http://schemas.openxmlformats.org/officeDocument/2006/relationships/hyperlink" Target="mailto:infraadmin@hysan.com.hk" TargetMode="External"/><Relationship Id="rId629" Type="http://schemas.openxmlformats.org/officeDocument/2006/relationships/hyperlink" Target="http://10.10.10.209/OASIS_FILE_MANAGER/zip_files_download.php?qid=1242631&amp;serialno=UD24-00002060&amp;itemno=1&amp;token=e3c8c002a5d723f8cc9ec5a10009fe8f" TargetMode="External"/><Relationship Id="rId170" Type="http://schemas.openxmlformats.org/officeDocument/2006/relationships/hyperlink" Target="mailto:samuel.hk.wong@pccw.com%20&#160;" TargetMode="External"/><Relationship Id="rId836" Type="http://schemas.openxmlformats.org/officeDocument/2006/relationships/hyperlink" Target="http://10.10.10.209/OASIS_FILE_MANAGER/zip_files_download.php?qid=1100304&amp;serialno=GB23-00005234&amp;itemno=1&amp;token=130994d99428d806a08c466b41518bef" TargetMode="External"/><Relationship Id="rId1021" Type="http://schemas.openxmlformats.org/officeDocument/2006/relationships/hyperlink" Target="mailto:allencheung@maxims.com.hk" TargetMode="External"/><Relationship Id="rId268" Type="http://schemas.openxmlformats.org/officeDocument/2006/relationships/hyperlink" Target="http://10.10.10.209/OASIS_FILE_MANAGER/zip_files_download.php?qid=1416447&amp;serialno=UD25-00002297&amp;itemno=1&amp;token=60dd0b3f39f9d7bc59c4edb98c5a7721" TargetMode="External"/><Relationship Id="rId475" Type="http://schemas.openxmlformats.org/officeDocument/2006/relationships/hyperlink" Target="javascript:openWindow('/servlet/IncidentDetailServlet?incidentId=SD11704088%27);" TargetMode="External"/><Relationship Id="rId682" Type="http://schemas.openxmlformats.org/officeDocument/2006/relationships/hyperlink" Target="http://10.10.10.209/OASIS_FILE_MANAGER/zip_files_download.php?qid=1223483&amp;serialno=UB24-00001800&amp;itemno=1&amp;token=87276d7537153c071cf1e3757f9286fb" TargetMode="External"/><Relationship Id="rId903" Type="http://schemas.openxmlformats.org/officeDocument/2006/relationships/hyperlink" Target="mailto:ali-vpc-hkstp-mobile-prod@rd-eqmdqa.aliyunid.com" TargetMode="External"/><Relationship Id="rId32" Type="http://schemas.openxmlformats.org/officeDocument/2006/relationships/hyperlink" Target="mailto:vn_dsm_poc_16499@maxims.com.hk" TargetMode="External"/><Relationship Id="rId128" Type="http://schemas.openxmlformats.org/officeDocument/2006/relationships/hyperlink" Target="http://10.10.10.209/OASIS_FILE_MANAGER/zip_files_download.php?qid=1478990&amp;serialno=UB25-00006234&amp;itemno=1&amp;token=d23f31f95c7e154f012227d36ac5a7e2" TargetMode="External"/><Relationship Id="rId335" Type="http://schemas.openxmlformats.org/officeDocument/2006/relationships/hyperlink" Target="http://10.10.10.209/OASIS_FILE_MANAGER/zip_files_download.php?qid=1381667&amp;serialno=UB25-00001672&amp;itemno=1&amp;token=acddc3ef143d61133d36ebdde799eab9" TargetMode="External"/><Relationship Id="rId542" Type="http://schemas.openxmlformats.org/officeDocument/2006/relationships/hyperlink" Target="http://10.10.10.209/OASIS_FILE_MANAGER/zip_files_download.php?qid=1306154&amp;serialno=UE24-00004243&amp;itemno=1&amp;token=237b31a7d1fa1e345e3690308e4b677c" TargetMode="External"/><Relationship Id="rId987" Type="http://schemas.openxmlformats.org/officeDocument/2006/relationships/hyperlink" Target="mailto:allencheung@maxims.com.hk" TargetMode="External"/><Relationship Id="rId181" Type="http://schemas.openxmlformats.org/officeDocument/2006/relationships/hyperlink" Target="mailto:ict_awsadmin_mpmoniker@mplus.org.hk" TargetMode="External"/><Relationship Id="rId402" Type="http://schemas.openxmlformats.org/officeDocument/2006/relationships/hyperlink" Target="mailto:tong.chan@jardines.com" TargetMode="External"/><Relationship Id="rId847" Type="http://schemas.openxmlformats.org/officeDocument/2006/relationships/hyperlink" Target="mailto:it-prod1@hksi.org" TargetMode="External"/><Relationship Id="rId279" Type="http://schemas.openxmlformats.org/officeDocument/2006/relationships/hyperlink" Target="mailto:wilsonlo@commercialpress.com.hk" TargetMode="External"/><Relationship Id="rId486" Type="http://schemas.openxmlformats.org/officeDocument/2006/relationships/hyperlink" Target="mailto:Jack.xiong@bacn.com.cn" TargetMode="External"/><Relationship Id="rId693" Type="http://schemas.openxmlformats.org/officeDocument/2006/relationships/hyperlink" Target="http://10.10.10.209/OASIS_FILE_MANAGER/zip_files_download.php?qid=1223483&amp;serialno=UB24-00001800&amp;itemno=1&amp;token=87276d7537153c071cf1e3757f9286fb" TargetMode="External"/><Relationship Id="rId707" Type="http://schemas.openxmlformats.org/officeDocument/2006/relationships/hyperlink" Target="http://10.10.10.209/OASIS_FILE_MANAGER/zip_files_download.php?qid=1225407&amp;serialno=UD24-00001552&amp;itemno=1&amp;token=e3c8c002a5d723f8cc9ec5a10009fe8f" TargetMode="External"/><Relationship Id="rId914" Type="http://schemas.openxmlformats.org/officeDocument/2006/relationships/hyperlink" Target="http://10.10.10.209/OASIS_FILE_MANAGER/zip_files_download.php?qid=1563312&amp;serialno=UC26-00001551&amp;itemno=1&amp;token=684f3a74b3d1e917d2decd6e306125b8" TargetMode="External"/><Relationship Id="rId43" Type="http://schemas.openxmlformats.org/officeDocument/2006/relationships/hyperlink" Target="mailto:alicloud_sensordata@chowtaifook.com" TargetMode="External"/><Relationship Id="rId139" Type="http://schemas.openxmlformats.org/officeDocument/2006/relationships/hyperlink" Target="mailto:radek.chan@wkcda.hk" TargetMode="External"/><Relationship Id="rId346" Type="http://schemas.openxmlformats.org/officeDocument/2006/relationships/hyperlink" Target="http://10.10.10.209/OASIS_FILE_MANAGER/zip_files_download.php?qid=1377399&amp;serialno=UE25-00000924&amp;itemno=1&amp;token=3236c2237035e7dbdfa1ba58f278916e" TargetMode="External"/><Relationship Id="rId553" Type="http://schemas.openxmlformats.org/officeDocument/2006/relationships/hyperlink" Target="mailto:omni-hub_prod@chowtaifook.com" TargetMode="External"/><Relationship Id="rId760" Type="http://schemas.openxmlformats.org/officeDocument/2006/relationships/hyperlink" Target="mailto:vincent.wong@kmb.hk" TargetMode="External"/><Relationship Id="rId998" Type="http://schemas.openxmlformats.org/officeDocument/2006/relationships/hyperlink" Target="mailto:allencheung@maxims.com.hk" TargetMode="External"/><Relationship Id="rId192" Type="http://schemas.openxmlformats.org/officeDocument/2006/relationships/hyperlink" Target="mailto:ict_awsadmin_subapp@wkcda.hk" TargetMode="External"/><Relationship Id="rId206" Type="http://schemas.openxmlformats.org/officeDocument/2006/relationships/hyperlink" Target="http://10.10.10.209/OASIS_FILE_MANAGER/zip_files_download.php?qid=1446191&amp;serialno=UE25-00003020&amp;itemno=1&amp;token=3a577825b6b079b72327513261726934" TargetMode="External"/><Relationship Id="rId413" Type="http://schemas.openxmlformats.org/officeDocument/2006/relationships/hyperlink" Target="mailto:simonwong@bschk.com" TargetMode="External"/><Relationship Id="rId858" Type="http://schemas.openxmlformats.org/officeDocument/2006/relationships/hyperlink" Target="http://10.10.10.209/OASIS_FILE_MANAGER/zip_files_download.php?qid=1547875&amp;serialno=UE26-00000534&amp;itemno=1&amp;token=30267dc4a2641488f4cd58ac0a0d80f1" TargetMode="External"/><Relationship Id="rId497" Type="http://schemas.openxmlformats.org/officeDocument/2006/relationships/hyperlink" Target="http://10.10.10.209/OASIS_FILE_MANAGER/zip_files_download.php?qid=1326705&amp;serialno=UD24-00004918&amp;itemno=1&amp;token=d2fcc63539ab421111515b95e3d48e8c" TargetMode="External"/><Relationship Id="rId620" Type="http://schemas.openxmlformats.org/officeDocument/2006/relationships/hyperlink" Target="mailto:kstang@eduhk.hk" TargetMode="External"/><Relationship Id="rId718" Type="http://schemas.openxmlformats.org/officeDocument/2006/relationships/hyperlink" Target="http://10.10.10.209/OASIS_FILE_MANAGER/zip_files_download.php?qid=1221079&amp;serialno=UB24-00001721&amp;itemno=1&amp;token=a964a32236e9d92cb29b0b25f27a5288" TargetMode="External"/><Relationship Id="rId925" Type="http://schemas.openxmlformats.org/officeDocument/2006/relationships/hyperlink" Target="mailto:maxconcepts_web_uat_16751@maxims.com.hk" TargetMode="External"/><Relationship Id="rId357" Type="http://schemas.openxmlformats.org/officeDocument/2006/relationships/hyperlink" Target="http://10.10.10.209/OASIS_FILE_MANAGER/zip_files_download.php?qid=1374674&amp;serialno=UB25-00001304&amp;itemno=1&amp;token=acddc3ef143d61133d36ebdde799eab9" TargetMode="External"/><Relationship Id="rId54" Type="http://schemas.openxmlformats.org/officeDocument/2006/relationships/hyperlink" Target="mailto:Alicloud_tmarkwebappuat@chowtaifook.com%0a" TargetMode="External"/><Relationship Id="rId217" Type="http://schemas.openxmlformats.org/officeDocument/2006/relationships/hyperlink" Target="http://10.10.10.209/OASIS_FILE_MANAGER/zip_files_download.php?qid=1437352&amp;serialno=TI25-00005211&amp;itemno=1&amp;token=a327c543c1f68300421f4d77f1df956f" TargetMode="External"/><Relationship Id="rId564" Type="http://schemas.openxmlformats.org/officeDocument/2006/relationships/hyperlink" Target="http://10.10.10.209/OASIS_FILE_MANAGER/zip_files_download.php?qid=1295298&amp;serialno=UB24-00005251&amp;itemno=1&amp;token=acddc3ef143d61133d36ebdde799eab9" TargetMode="External"/><Relationship Id="rId771" Type="http://schemas.openxmlformats.org/officeDocument/2006/relationships/hyperlink" Target="http://10.10.10.209/OASIS_FILE_MANAGER/zip_files_download.php?qid=1150146&amp;serialno=GB23-00007715&amp;itemno=1&amp;token=130994d99428d806a08c466b41518bef" TargetMode="External"/><Relationship Id="rId869" Type="http://schemas.openxmlformats.org/officeDocument/2006/relationships/hyperlink" Target="mailto:m365patrick@nwclcomhk.onmicrosoft.com" TargetMode="External"/><Relationship Id="rId424" Type="http://schemas.openxmlformats.org/officeDocument/2006/relationships/hyperlink" Target="http://10.10.10.209/OASIS_FILE_MANAGER/zip_files_download.php?qid=1344084&amp;serialno=TI24-00012097&amp;itemno=1&amp;token=80494c88d5b9ff927c743e7c522572f2" TargetMode="External"/><Relationship Id="rId631" Type="http://schemas.openxmlformats.org/officeDocument/2006/relationships/hyperlink" Target="mailto:n3capsnetworkimplt@ha.org.hk" TargetMode="External"/><Relationship Id="rId729" Type="http://schemas.openxmlformats.org/officeDocument/2006/relationships/hyperlink" Target="mailto:ecmccsppm@ha.org.hk" TargetMode="External"/><Relationship Id="rId270" Type="http://schemas.openxmlformats.org/officeDocument/2006/relationships/hyperlink" Target="mailto:waichung@chowtaifook.com" TargetMode="External"/><Relationship Id="rId936" Type="http://schemas.openxmlformats.org/officeDocument/2006/relationships/hyperlink" Target="mailto:allencheung@maxims.com.hk" TargetMode="External"/><Relationship Id="rId65" Type="http://schemas.openxmlformats.org/officeDocument/2006/relationships/hyperlink" Target="http://10.10.10.209/OASIS_FILE_MANAGER/zip_files_download.php?qid=1510166&amp;serialno=UB25-00007660&amp;itemno=1&amp;token=a964a32236e9d92cb29b0b25f27a5288" TargetMode="External"/><Relationship Id="rId130" Type="http://schemas.openxmlformats.org/officeDocument/2006/relationships/hyperlink" Target="mailto:kester.leung@hkairport.com" TargetMode="External"/><Relationship Id="rId368" Type="http://schemas.openxmlformats.org/officeDocument/2006/relationships/hyperlink" Target="mailto:dhcawscldsit@ha.org.hk" TargetMode="External"/><Relationship Id="rId575" Type="http://schemas.openxmlformats.org/officeDocument/2006/relationships/hyperlink" Target="mailto:ray.law@hkairport.com" TargetMode="External"/><Relationship Id="rId782" Type="http://schemas.openxmlformats.org/officeDocument/2006/relationships/hyperlink" Target="mailto:k11-aws-11skies-prd@nwcs.com.hk" TargetMode="External"/><Relationship Id="rId228" Type="http://schemas.openxmlformats.org/officeDocument/2006/relationships/hyperlink" Target="http://10.10.10.209/OASIS_FILE_MANAGER/zip_files_download.php?qid=1410754&amp;serialno=TI25-00003668&amp;itemno=1&amp;token=35a8d3955406018c0aaa17a463f8488b" TargetMode="External"/><Relationship Id="rId435" Type="http://schemas.openxmlformats.org/officeDocument/2006/relationships/hyperlink" Target="mailto:alicloud_gravityprd@chowtaifook.com" TargetMode="External"/><Relationship Id="rId642" Type="http://schemas.openxmlformats.org/officeDocument/2006/relationships/hyperlink" Target="http://10.10.10.209/OASIS_FILE_MANAGER/zip_files_download.php?qid=1237076&amp;serialno=UB24-00002414&amp;itemno=1&amp;token=9f6addcb0d82f484aca6665b5dc9237d" TargetMode="External"/><Relationship Id="rId281" Type="http://schemas.openxmlformats.org/officeDocument/2006/relationships/hyperlink" Target="http://10.10.10.209/OASIS_FILE_MANAGER/zip_files_download.php?qid=1409278&amp;serialno=UD25-00002068&amp;itemno=1&amp;token=60dd0b3f39f9d7bc59c4edb98c5a7721" TargetMode="External"/><Relationship Id="rId502" Type="http://schemas.openxmlformats.org/officeDocument/2006/relationships/hyperlink" Target="mailto:ucspubcloudprd@ha.org.hk" TargetMode="External"/><Relationship Id="rId947" Type="http://schemas.openxmlformats.org/officeDocument/2006/relationships/hyperlink" Target="mailto:allencheung@maxims.com.hk" TargetMode="External"/><Relationship Id="rId76" Type="http://schemas.openxmlformats.org/officeDocument/2006/relationships/hyperlink" Target="mailto:enquiry@experience11.com" TargetMode="External"/><Relationship Id="rId141" Type="http://schemas.openxmlformats.org/officeDocument/2006/relationships/hyperlink" Target="mailto:radek.chan@wkcda.hk" TargetMode="External"/><Relationship Id="rId379" Type="http://schemas.openxmlformats.org/officeDocument/2006/relationships/hyperlink" Target="http://10.10.10.209/OASIS_FILE_MANAGER/zip_files_download.php?qid=1355981&amp;serialno=TI25-00000380&amp;itemno=1&amp;token=7f0a5e9c36223e637ecbcf9e27afc771" TargetMode="External"/><Relationship Id="rId586" Type="http://schemas.openxmlformats.org/officeDocument/2006/relationships/hyperlink" Target="mailto:pm_infra@wfgold.com" TargetMode="External"/><Relationship Id="rId793" Type="http://schemas.openxmlformats.org/officeDocument/2006/relationships/hyperlink" Target="http://10.10.10.209/OASIS_FILE_MANAGER/zip_files_download.php?qid=1104701&amp;serialno=GA23-00005011&amp;itemno=1&amp;token=1d9c61ddc83df440eb3e0ee4ef984888" TargetMode="External"/><Relationship Id="rId807" Type="http://schemas.openxmlformats.org/officeDocument/2006/relationships/hyperlink" Target="mailto:roger.kw.ng@pccw.com" TargetMode="External"/><Relationship Id="rId7" Type="http://schemas.openxmlformats.org/officeDocument/2006/relationships/hyperlink" Target="http://10.10.10.209/OASIS_FILE_MANAGER/zip_files_download.php?qid=1538613&amp;serialno=UB26-00000368&amp;itemno=1&amp;token=d23f31f95c7e154f012227d36ac5a7e2" TargetMode="External"/><Relationship Id="rId239" Type="http://schemas.openxmlformats.org/officeDocument/2006/relationships/hyperlink" Target="mailto:alicloud_ems_prd@chowtaifook.com" TargetMode="External"/><Relationship Id="rId446" Type="http://schemas.openxmlformats.org/officeDocument/2006/relationships/hyperlink" Target="http://10.10.10.209/OASIS_FILE_MANAGER/zip_files_download.php?qid=1338481&amp;serialno=UB24-00007239&amp;itemno=1&amp;token=a964a32236e9d92cb29b0b25f27a5288" TargetMode="External"/><Relationship Id="rId653" Type="http://schemas.openxmlformats.org/officeDocument/2006/relationships/hyperlink" Target="http://10.10.10.209/OASIS_FILE_MANAGER/zip_files_download.php?qid=1042830&amp;serialno=CB23-00003434&amp;itemno=1&amp;token=d2fcc63539ab421111515b95e3d48e8c" TargetMode="External"/><Relationship Id="rId292" Type="http://schemas.openxmlformats.org/officeDocument/2006/relationships/hyperlink" Target="mailto:alicloud@cc-ltd.com" TargetMode="External"/><Relationship Id="rId306" Type="http://schemas.openxmlformats.org/officeDocument/2006/relationships/hyperlink" Target="http://10.10.10.209/OASIS_FILE_MANAGER/zip_files_download.php?qid=1400173&amp;serialno=UB25-00002541&amp;itemno=1&amp;token=d23f31f95c7e154f012227d36ac5a7e2" TargetMode="External"/><Relationship Id="rId860" Type="http://schemas.openxmlformats.org/officeDocument/2006/relationships/hyperlink" Target="mailto:alicloud_hip_prd@chowtaifook.com" TargetMode="External"/><Relationship Id="rId958" Type="http://schemas.openxmlformats.org/officeDocument/2006/relationships/hyperlink" Target="mailto:allencheung@maxims.com.hk" TargetMode="External"/><Relationship Id="rId87" Type="http://schemas.openxmlformats.org/officeDocument/2006/relationships/hyperlink" Target="http://10.10.10.209/OASIS_FILE_MANAGER/zip_files_download.php?qid=1492468&amp;serialno=UB25-00006867&amp;itemno=1&amp;token=a964a32236e9d92cb29b0b25f27a5288" TargetMode="External"/><Relationship Id="rId513" Type="http://schemas.openxmlformats.org/officeDocument/2006/relationships/hyperlink" Target="http://10.10.10.209/OASIS_FILE_MANAGER/zip_files_download.php?qid=1320720&amp;serialno=TI24-00010688&amp;itemno=1&amp;token=6a018acb188f88fcba14dcc50c3a9345" TargetMode="External"/><Relationship Id="rId597" Type="http://schemas.openxmlformats.org/officeDocument/2006/relationships/hyperlink" Target="http://10.10.10.209/OASIS_FILE_MANAGER/zip_files_download.php?qid=1281606&amp;serialno=UD24-00003293&amp;itemno=1&amp;token=d2fcc63539ab421111515b95e3d48e8c" TargetMode="External"/><Relationship Id="rId720" Type="http://schemas.openxmlformats.org/officeDocument/2006/relationships/hyperlink" Target="mailto:kin.luk@ha.org.hk" TargetMode="External"/><Relationship Id="rId818" Type="http://schemas.openxmlformats.org/officeDocument/2006/relationships/hyperlink" Target="mailto:bis4cloudadmin@ha.org.hk" TargetMode="External"/><Relationship Id="rId152" Type="http://schemas.openxmlformats.org/officeDocument/2006/relationships/hyperlink" Target="mailto:johnson.wong@uobkayhian.com.hk" TargetMode="External"/><Relationship Id="rId457" Type="http://schemas.openxmlformats.org/officeDocument/2006/relationships/hyperlink" Target="mailto:nelson.wong@ha.org.hk" TargetMode="External"/><Relationship Id="rId1003" Type="http://schemas.openxmlformats.org/officeDocument/2006/relationships/hyperlink" Target="mailto:allencheung@maxims.com.hk" TargetMode="External"/><Relationship Id="rId664" Type="http://schemas.openxmlformats.org/officeDocument/2006/relationships/hyperlink" Target="http://10.10.10.209/OASIS_FILE_MANAGER/zip_files_download.php?qid=1223483&amp;serialno=UB24-00001800&amp;itemno=1&amp;token=87276d7537153c071cf1e3757f9286fb" TargetMode="External"/><Relationship Id="rId871" Type="http://schemas.openxmlformats.org/officeDocument/2006/relationships/hyperlink" Target="http://10.10.10.209/OASIS_FILE_MANAGER/zip_files_download.php?qid=1552401&amp;serialno=UE26-00000718&amp;itemno=1&amp;token=3a577825b6b079b72327513261726934" TargetMode="External"/><Relationship Id="rId969" Type="http://schemas.openxmlformats.org/officeDocument/2006/relationships/hyperlink" Target="mailto:allencheung@maxims.com.hk" TargetMode="External"/><Relationship Id="rId14" Type="http://schemas.openxmlformats.org/officeDocument/2006/relationships/hyperlink" Target="mailto:ftd-cstcb-for-d-office@police.gov.hk" TargetMode="External"/><Relationship Id="rId317" Type="http://schemas.openxmlformats.org/officeDocument/2006/relationships/hyperlink" Target="mailto:tmak@cc-ltd.com" TargetMode="External"/><Relationship Id="rId524" Type="http://schemas.openxmlformats.org/officeDocument/2006/relationships/hyperlink" Target="http://10.10.10.209/OASIS_FILE_MANAGER/zip_files_download.php?qid=1315868&amp;serialno=UD24-00004502&amp;itemno=1&amp;token=d2fcc63539ab421111515b95e3d48e8c" TargetMode="External"/><Relationship Id="rId731" Type="http://schemas.openxmlformats.org/officeDocument/2006/relationships/hyperlink" Target="mailto:dcmspca@ha.org.hk" TargetMode="External"/><Relationship Id="rId98" Type="http://schemas.openxmlformats.org/officeDocument/2006/relationships/hyperlink" Target="mailto:andrew.fung@hactl.com" TargetMode="External"/><Relationship Id="rId163" Type="http://schemas.openxmlformats.org/officeDocument/2006/relationships/hyperlink" Target="mailto:candice.wm.chan@hkairport.com" TargetMode="External"/><Relationship Id="rId370" Type="http://schemas.openxmlformats.org/officeDocument/2006/relationships/hyperlink" Target="http://10.10.10.209/OASIS_FILE_MANAGER/zip_files_download.php?qid=1371416&amp;serialno=TI25-00001324&amp;itemno=1&amp;token=35a8d3955406018c0aaa17a463f8488b" TargetMode="External"/><Relationship Id="rId829" Type="http://schemas.openxmlformats.org/officeDocument/2006/relationships/hyperlink" Target="http://10.10.10.209/OASIS_FILE_MANAGER/zip_files_download.php?qid=1150802&amp;serialno=CA23-00009220&amp;itemno=1&amp;token=130994d99428d806a08c466b41518bef" TargetMode="External"/><Relationship Id="rId1014" Type="http://schemas.openxmlformats.org/officeDocument/2006/relationships/hyperlink" Target="mailto:allencheung@maxims.com.hk" TargetMode="External"/><Relationship Id="rId230" Type="http://schemas.openxmlformats.org/officeDocument/2006/relationships/hyperlink" Target="http://10.10.10.209/OASIS_FILE_MANAGER/zip_files_download.php?qid=1410754&amp;serialno=TI25-00003668&amp;itemno=1&amp;token=35a8d3955406018c0aaa17a463f8488b" TargetMode="External"/><Relationship Id="rId468" Type="http://schemas.openxmlformats.org/officeDocument/2006/relationships/hyperlink" Target="http://10.10.10.209/OASIS_FILE_MANAGER/zip_files_download.php?qid=1331943&amp;serialno=UE24-00005071&amp;itemno=1&amp;token=3a577825b6b079b72327513261726934" TargetMode="External"/><Relationship Id="rId675" Type="http://schemas.openxmlformats.org/officeDocument/2006/relationships/hyperlink" Target="http://10.10.10.209/OASIS_FILE_MANAGER/zip_files_download.php?qid=1223483&amp;serialno=UB24-00001800&amp;itemno=1&amp;token=87276d7537153c071cf1e3757f9286fb" TargetMode="External"/><Relationship Id="rId882" Type="http://schemas.openxmlformats.org/officeDocument/2006/relationships/hyperlink" Target="mailto:waichung@chowtaifook.com" TargetMode="External"/><Relationship Id="rId25" Type="http://schemas.openxmlformats.org/officeDocument/2006/relationships/hyperlink" Target="mailto:radek.chan@wkcda.hk" TargetMode="External"/><Relationship Id="rId328" Type="http://schemas.openxmlformats.org/officeDocument/2006/relationships/hyperlink" Target="mailto:kevinchan@cyberport.hk" TargetMode="External"/><Relationship Id="rId535" Type="http://schemas.openxmlformats.org/officeDocument/2006/relationships/hyperlink" Target="mailto:infraadmin@hysan.com.hk" TargetMode="External"/><Relationship Id="rId742" Type="http://schemas.openxmlformats.org/officeDocument/2006/relationships/hyperlink" Target="mailto:wkkennethleung@hkhs.com" TargetMode="External"/><Relationship Id="rId174" Type="http://schemas.openxmlformats.org/officeDocument/2006/relationships/hyperlink" Target="http://10.10.10.209/OASIS_FILE_MANAGER/zip_files_download.php?qid=1454892&amp;serialno=UE25-00003380&amp;itemno=1&amp;token=c06cce3eff3dc4d96de7404e15fc66e1" TargetMode="External"/><Relationship Id="rId381" Type="http://schemas.openxmlformats.org/officeDocument/2006/relationships/hyperlink" Target="http://10.10.10.209/OASIS_FILE_MANAGER/zip_files_download.php?qid=1352689&amp;serialno=UE25-00000154&amp;itemno=1&amp;token=3a577825b6b079b72327513261726934" TargetMode="External"/><Relationship Id="rId602" Type="http://schemas.openxmlformats.org/officeDocument/2006/relationships/hyperlink" Target="http://10.10.10.209/OASIS_FILE_MANAGER/zip_files_download.php?qid=1278231&amp;serialno=UB24-00004381&amp;itemno=1&amp;token=acddc3ef143d61133d36ebdde799eab9" TargetMode="External"/><Relationship Id="rId1025" Type="http://schemas.openxmlformats.org/officeDocument/2006/relationships/hyperlink" Target="mailto:allencheung@maxims.com.hk" TargetMode="External"/><Relationship Id="rId241" Type="http://schemas.openxmlformats.org/officeDocument/2006/relationships/hyperlink" Target="http://10.10.10.209/OASIS_FILE_MANAGER/zip_files_download.php?qid=1434834&amp;serialno=UD25-00002976&amp;itemno=1&amp;token=d2fcc63539ab421111515b95e3d48e8c" TargetMode="External"/><Relationship Id="rId479" Type="http://schemas.openxmlformats.org/officeDocument/2006/relationships/hyperlink" Target="mailto:dry.yuen@ha.org.hk" TargetMode="External"/><Relationship Id="rId686" Type="http://schemas.openxmlformats.org/officeDocument/2006/relationships/hyperlink" Target="http://10.10.10.209/OASIS_FILE_MANAGER/zip_files_download.php?qid=1223483&amp;serialno=UB24-00001800&amp;itemno=1&amp;token=87276d7537153c071cf1e3757f9286fb" TargetMode="External"/><Relationship Id="rId893" Type="http://schemas.openxmlformats.org/officeDocument/2006/relationships/hyperlink" Target="mailto:alex.ng@hkstp.org" TargetMode="External"/><Relationship Id="rId907" Type="http://schemas.openxmlformats.org/officeDocument/2006/relationships/hyperlink" Target="mailto:sfpbc-dev@rd-eqmdqa.aliyunid.com" TargetMode="External"/><Relationship Id="rId36" Type="http://schemas.openxmlformats.org/officeDocument/2006/relationships/hyperlink" Target="mailto:conan.choi@crypto.com" TargetMode="External"/><Relationship Id="rId339" Type="http://schemas.openxmlformats.org/officeDocument/2006/relationships/hyperlink" Target="http://10.10.10.209/OASIS_FILE_MANAGER/zip_files_download.php?qid=1379266&amp;serialno=UB25-00001542&amp;itemno=1&amp;token=acddc3ef143d61133d36ebdde799eab9" TargetMode="External"/><Relationship Id="rId546" Type="http://schemas.openxmlformats.org/officeDocument/2006/relationships/hyperlink" Target="http://10.10.10.209/OASIS_FILE_MANAGER/zip_files_download.php?qid=1303965&amp;serialno=UB24-00005648&amp;itemno=1&amp;token=acddc3ef143d61133d36ebdde799eab9" TargetMode="External"/><Relationship Id="rId753" Type="http://schemas.openxmlformats.org/officeDocument/2006/relationships/hyperlink" Target="http://10.10.10.209/OASIS_FILE_MANAGER/zip_files_download.php?qid=1203453&amp;serialno=UE24-00000604&amp;itemno=1&amp;token=3a577825b6b079b72327513261726934" TargetMode="External"/><Relationship Id="rId101" Type="http://schemas.openxmlformats.org/officeDocument/2006/relationships/hyperlink" Target="mailto:nelson.wong@ha.org.hk" TargetMode="External"/><Relationship Id="rId185" Type="http://schemas.openxmlformats.org/officeDocument/2006/relationships/hyperlink" Target="mailto:ict_awsadmin_arlearning@wkcda.hk" TargetMode="External"/><Relationship Id="rId406" Type="http://schemas.openxmlformats.org/officeDocument/2006/relationships/hyperlink" Target="http://10.10.10.209/OASIS_FILE_MANAGER/zip_files_download.php?qid=1348570&amp;serialno=UE24-00005535&amp;itemno=1&amp;token=3a577825b6b079b72327513261726934" TargetMode="External"/><Relationship Id="rId960" Type="http://schemas.openxmlformats.org/officeDocument/2006/relationships/hyperlink" Target="mailto:allencheung@maxims.com.hk" TargetMode="External"/><Relationship Id="rId392" Type="http://schemas.openxmlformats.org/officeDocument/2006/relationships/hyperlink" Target="http://10.10.10.209/OASIS_FILE_MANAGER/zip_files_download.php?qid=1351113&amp;serialno=UE25-00000099&amp;itemno=1&amp;token=3a577825b6b079b72327513261726934" TargetMode="External"/><Relationship Id="rId613" Type="http://schemas.openxmlformats.org/officeDocument/2006/relationships/hyperlink" Target="http://10.10.10.209/OASIS_FILE_MANAGER/zip_files_download.php?qid=1269847&amp;serialno=UB24-00003983&amp;itemno=1&amp;token=a964a32236e9d92cb29b0b25f27a5288" TargetMode="External"/><Relationship Id="rId697" Type="http://schemas.openxmlformats.org/officeDocument/2006/relationships/hyperlink" Target="http://10.10.10.209/OASIS_FILE_MANAGER/zip_files_download.php?qid=1223483&amp;serialno=UB24-00001800&amp;itemno=1&amp;token=87276d7537153c071cf1e3757f9286fb" TargetMode="External"/><Relationship Id="rId820" Type="http://schemas.openxmlformats.org/officeDocument/2006/relationships/hyperlink" Target="mailto:kin.luk@ha.org.hk" TargetMode="External"/><Relationship Id="rId918" Type="http://schemas.openxmlformats.org/officeDocument/2006/relationships/hyperlink" Target="mailto:julia.ly.chu@pccw.com" TargetMode="External"/><Relationship Id="rId252" Type="http://schemas.openxmlformats.org/officeDocument/2006/relationships/hyperlink" Target="mailto:kin.luk@ha.org.hk" TargetMode="External"/><Relationship Id="rId47" Type="http://schemas.openxmlformats.org/officeDocument/2006/relationships/hyperlink" Target="javascript:openWindow('/servlet/IncidentDetailServlet?incidentId=SD11803168%27);" TargetMode="External"/><Relationship Id="rId112" Type="http://schemas.openxmlformats.org/officeDocument/2006/relationships/hyperlink" Target="mailto:ryan.li@ayers.com.hk" TargetMode="External"/><Relationship Id="rId557" Type="http://schemas.openxmlformats.org/officeDocument/2006/relationships/hyperlink" Target="mailto:FUNGGKC@hkairport.com" TargetMode="External"/><Relationship Id="rId764" Type="http://schemas.openxmlformats.org/officeDocument/2006/relationships/hyperlink" Target="mailto:tony.ng@hkairport.com" TargetMode="External"/><Relationship Id="rId971" Type="http://schemas.openxmlformats.org/officeDocument/2006/relationships/hyperlink" Target="mailto:allencheung@maxims.com.hk" TargetMode="External"/><Relationship Id="rId196" Type="http://schemas.openxmlformats.org/officeDocument/2006/relationships/hyperlink" Target="mailto:ict_awsadmin_mp@wkcda.hk" TargetMode="External"/><Relationship Id="rId417" Type="http://schemas.openxmlformats.org/officeDocument/2006/relationships/hyperlink" Target="mailto:danny.ho@lkk.com" TargetMode="External"/><Relationship Id="rId624" Type="http://schemas.openxmlformats.org/officeDocument/2006/relationships/hyperlink" Target="mailto:seamus@fano.ai" TargetMode="External"/><Relationship Id="rId831" Type="http://schemas.openxmlformats.org/officeDocument/2006/relationships/hyperlink" Target="http://10.10.10.209/OASIS_FILE_MANAGER/zip_files_download.php?qid=1150802&amp;serialno=CA23-00009220&amp;itemno=1&amp;token=130994d99428d806a08c466b41518bef" TargetMode="External"/><Relationship Id="rId263" Type="http://schemas.openxmlformats.org/officeDocument/2006/relationships/hyperlink" Target="http://10.10.10.209/OASIS_FILE_MANAGER/zip_files_download.php?qid=1419545&amp;serialno=UB25-00003504&amp;itemno=1&amp;token=61ab8cd8d23432b22af0854ed48ab6cf" TargetMode="External"/><Relationship Id="rId470" Type="http://schemas.openxmlformats.org/officeDocument/2006/relationships/hyperlink" Target="http://10.10.10.209/OASIS_FILE_MANAGER/zip_files_download.php?qid=1331943&amp;serialno=UE24-00005071&amp;itemno=1&amp;token=3a577825b6b079b72327513261726934" TargetMode="External"/><Relationship Id="rId929" Type="http://schemas.openxmlformats.org/officeDocument/2006/relationships/hyperlink" Target="mailto:allencheung@maxims.com.hk" TargetMode="External"/><Relationship Id="rId58" Type="http://schemas.openxmlformats.org/officeDocument/2006/relationships/hyperlink" Target="mailto:Alicloud_tmarkwebappuat@chowtaifook.com%0a" TargetMode="External"/><Relationship Id="rId123" Type="http://schemas.openxmlformats.org/officeDocument/2006/relationships/hyperlink" Target="http://10.10.10.209/OASIS_FILE_MANAGER/zip_files_download.php?qid=1478968&amp;serialno=UB25-00006233&amp;itemno=1&amp;token=d23f31f95c7e154f012227d36ac5a7e2" TargetMode="External"/><Relationship Id="rId330" Type="http://schemas.openxmlformats.org/officeDocument/2006/relationships/hyperlink" Target="mailto:Hds-alanc@orixasiacapital.com" TargetMode="External"/><Relationship Id="rId568" Type="http://schemas.openxmlformats.org/officeDocument/2006/relationships/hyperlink" Target="http://10.10.10.209/OASIS_FILE_MANAGER/zip_files_download.php?qid=1295297&amp;serialno=UE24-00003900&amp;itemno=1&amp;token=3a577825b6b079b72327513261726934" TargetMode="External"/><Relationship Id="rId775" Type="http://schemas.openxmlformats.org/officeDocument/2006/relationships/hyperlink" Target="http://10.10.10.209/OASIS_FILE_MANAGER/zip_files_download.php?qid=1187141&amp;serialno=UB24-00000197&amp;itemno=1&amp;token=a964a32236e9d92cb29b0b25f27a5288" TargetMode="External"/><Relationship Id="rId982" Type="http://schemas.openxmlformats.org/officeDocument/2006/relationships/hyperlink" Target="mailto:allencheung@maxims.com.hk" TargetMode="External"/><Relationship Id="rId428" Type="http://schemas.openxmlformats.org/officeDocument/2006/relationships/hyperlink" Target="http://10.10.10.209/OASIS_FILE_MANAGER/zip_files_download.php?qid=1343432&amp;serialno=UD24-00005453&amp;itemno=1&amp;token=d2fcc63539ab421111515b95e3d48e8c" TargetMode="External"/><Relationship Id="rId635" Type="http://schemas.openxmlformats.org/officeDocument/2006/relationships/hyperlink" Target="mailto:waichung@chowtaifook.com" TargetMode="External"/><Relationship Id="rId842" Type="http://schemas.openxmlformats.org/officeDocument/2006/relationships/hyperlink" Target="mailto:crhkt@hkt-cloud.com" TargetMode="External"/><Relationship Id="rId274" Type="http://schemas.openxmlformats.org/officeDocument/2006/relationships/hyperlink" Target="http://10.10.10.209/OASIS_FILE_MANAGER/zip_files_download.php?qid=1411152&amp;serialno=UB25-00003094&amp;itemno=1&amp;token=a964a32236e9d92cb29b0b25f27a5288" TargetMode="External"/><Relationship Id="rId481" Type="http://schemas.openxmlformats.org/officeDocument/2006/relationships/hyperlink" Target="http://10.10.10.209/OASIS_FILE_MANAGER/zip_files_download.php?qid=1327861&amp;serialno=TI24-00011160&amp;itemno=1&amp;token=7f0a5e9c36223e637ecbcf9e27afc771" TargetMode="External"/><Relationship Id="rId702" Type="http://schemas.openxmlformats.org/officeDocument/2006/relationships/hyperlink" Target="mailto:RaymondFung@ygs-ent.com" TargetMode="External"/><Relationship Id="rId69" Type="http://schemas.openxmlformats.org/officeDocument/2006/relationships/hyperlink" Target="mailto:ray.lo@optimist-tech.com" TargetMode="External"/><Relationship Id="rId134" Type="http://schemas.openxmlformats.org/officeDocument/2006/relationships/hyperlink" Target="http://10.10.10.209/OASIS_FILE_MANAGER/zip_files_download.php?qid=1478799&amp;serialno=UB25-00006163&amp;itemno=1&amp;token=d23f31f95c7e154f012227d36ac5a7e2" TargetMode="External"/><Relationship Id="rId579" Type="http://schemas.openxmlformats.org/officeDocument/2006/relationships/hyperlink" Target="mailto:donng@nwcs.com.hk" TargetMode="External"/><Relationship Id="rId786" Type="http://schemas.openxmlformats.org/officeDocument/2006/relationships/hyperlink" Target="mailto:donng@nwcs.com.hk" TargetMode="External"/><Relationship Id="rId993" Type="http://schemas.openxmlformats.org/officeDocument/2006/relationships/hyperlink" Target="mailto:allencheung@maxims.com.hk" TargetMode="External"/><Relationship Id="rId341" Type="http://schemas.openxmlformats.org/officeDocument/2006/relationships/hyperlink" Target="http://10.10.10.209/OASIS_FILE_MANAGER/zip_files_download.php?qid=1378285&amp;serialno=UB25-00001501&amp;itemno=1&amp;token=acddc3ef143d61133d36ebdde799eab9" TargetMode="External"/><Relationship Id="rId439" Type="http://schemas.openxmlformats.org/officeDocument/2006/relationships/hyperlink" Target="http://10.10.10.209/OASIS_FILE_MANAGER/zip_files_download.php?qid=1341750&amp;serialno=UB24-00007391&amp;itemno=1&amp;token=acddc3ef143d61133d36ebdde799eab9" TargetMode="External"/><Relationship Id="rId646" Type="http://schemas.openxmlformats.org/officeDocument/2006/relationships/hyperlink" Target="mailto:aaron.huang@gammonconstruction.com%20/%20Alan%20Wai%20Lun%20Kong%20%3cAlan.Kong@gammonconstruction.com" TargetMode="External"/><Relationship Id="rId201" Type="http://schemas.openxmlformats.org/officeDocument/2006/relationships/hyperlink" Target="mailto:radek.chan@wkcda.hk" TargetMode="External"/><Relationship Id="rId285" Type="http://schemas.openxmlformats.org/officeDocument/2006/relationships/hyperlink" Target="http://10.10.10.209/OASIS_FILE_MANAGER/zip_files_download.php?qid=1408091&amp;serialno=UB25-00002919&amp;itemno=1&amp;token=d23f31f95c7e154f012227d36ac5a7e2" TargetMode="External"/><Relationship Id="rId506" Type="http://schemas.openxmlformats.org/officeDocument/2006/relationships/hyperlink" Target="mailto:kin.luk@ha.org.hk" TargetMode="External"/><Relationship Id="rId853" Type="http://schemas.openxmlformats.org/officeDocument/2006/relationships/hyperlink" Target="mailto:kennethwong@sfc.hk" TargetMode="External"/><Relationship Id="rId492" Type="http://schemas.openxmlformats.org/officeDocument/2006/relationships/hyperlink" Target="mailto:ais1aiazureprdsupp@ha.org.hk" TargetMode="External"/><Relationship Id="rId713" Type="http://schemas.openxmlformats.org/officeDocument/2006/relationships/hyperlink" Target="http://10.10.10.209/OASIS_FILE_MANAGER/zip_files_download.php?qid=1223672&amp;serialno=TI24-00004399&amp;itemno=1&amp;token=72562a8b90be655179037c2190c3172e" TargetMode="External"/><Relationship Id="rId797" Type="http://schemas.openxmlformats.org/officeDocument/2006/relationships/hyperlink" Target="http://10.10.10.209/OASIS_FILE_MANAGER/zip_files_download.php?qid=1174461&amp;serialno=CB24-00001025&amp;itemno=1&amp;token=6846eac8eff0831566cf6e4382db1f12" TargetMode="External"/><Relationship Id="rId920" Type="http://schemas.openxmlformats.org/officeDocument/2006/relationships/hyperlink" Target="mailto:cwm849@ha.org.hk" TargetMode="External"/><Relationship Id="rId145" Type="http://schemas.openxmlformats.org/officeDocument/2006/relationships/hyperlink" Target="http://10.10.10.209/OASIS_FILE_MANAGER/zip_files_download.php?qid=1476589&amp;serialno=UB25-00004997&amp;itemno=1&amp;token=acddc3ef143d61133d36ebdde799eab9" TargetMode="External"/><Relationship Id="rId352" Type="http://schemas.openxmlformats.org/officeDocument/2006/relationships/hyperlink" Target="mailto:asplam@digitalpolicy.gov.hk," TargetMode="External"/><Relationship Id="rId212" Type="http://schemas.openxmlformats.org/officeDocument/2006/relationships/hyperlink" Target="mailto:soc@ha.org.hk" TargetMode="External"/><Relationship Id="rId657" Type="http://schemas.openxmlformats.org/officeDocument/2006/relationships/hyperlink" Target="http://10.10.10.209/OASIS_FILE_MANAGER/zip_files_download.php?qid=1177381&amp;serialno=CB24-00001173&amp;itemno=1&amp;token=6846eac8eff0831566cf6e4382db1f12" TargetMode="External"/><Relationship Id="rId864" Type="http://schemas.openxmlformats.org/officeDocument/2006/relationships/hyperlink" Target="mailto:patrickau@nwcs.com.hk" TargetMode="External"/><Relationship Id="rId296" Type="http://schemas.openxmlformats.org/officeDocument/2006/relationships/hyperlink" Target="http://10.10.10.209/OASIS_FILE_MANAGER/zip_files_download.php?qid=1402842&amp;serialno=TI25-00003232&amp;itemno=1&amp;token=72562a8b90be655179037c2190c3172e" TargetMode="External"/><Relationship Id="rId517" Type="http://schemas.openxmlformats.org/officeDocument/2006/relationships/hyperlink" Target="mailto:hoitcp13cloud@ha.org.hk" TargetMode="External"/><Relationship Id="rId724" Type="http://schemas.openxmlformats.org/officeDocument/2006/relationships/hyperlink" Target="mailto:dcmsadmin@ha.org.hk" TargetMode="External"/><Relationship Id="rId931" Type="http://schemas.openxmlformats.org/officeDocument/2006/relationships/hyperlink" Target="mailto:allencheung@maxims.com.hk" TargetMode="External"/><Relationship Id="rId60" Type="http://schemas.openxmlformats.org/officeDocument/2006/relationships/hyperlink" Target="mailto:sec-it-infra-admin@crypto.com" TargetMode="External"/><Relationship Id="rId156" Type="http://schemas.openxmlformats.org/officeDocument/2006/relationships/hyperlink" Target="mailto:ridley.man@shacombank.com.hk" TargetMode="External"/><Relationship Id="rId363" Type="http://schemas.openxmlformats.org/officeDocument/2006/relationships/hyperlink" Target="mailto:kin.luk@ha.org.hk" TargetMode="External"/><Relationship Id="rId570" Type="http://schemas.openxmlformats.org/officeDocument/2006/relationships/hyperlink" Target="http://10.10.10.209/OASIS_FILE_MANAGER/zip_files_download.php?qid=1294921&amp;serialno=UE24-00003866&amp;itemno=1&amp;token=3a577825b6b079b72327513261726934" TargetMode="External"/><Relationship Id="rId1007" Type="http://schemas.openxmlformats.org/officeDocument/2006/relationships/hyperlink" Target="mailto:allencheung@maxims.com.hk" TargetMode="External"/><Relationship Id="rId223" Type="http://schemas.openxmlformats.org/officeDocument/2006/relationships/hyperlink" Target="http://10.10.10.209/OASIS_FILE_MANAGER/zip_files_download.php?qid=1435768&amp;serialno=TI25-00003668&amp;itemno=1&amp;token=35a8d3955406018c0aaa17a463f8488b" TargetMode="External"/><Relationship Id="rId430" Type="http://schemas.openxmlformats.org/officeDocument/2006/relationships/hyperlink" Target="http://10.10.10.209/OASIS_FILE_MANAGER/zip_files_download.php?qid=1343241&amp;serialno=TI24-00012048&amp;itemno=1&amp;token=6a018acb188f88fcba14dcc50c3a9345" TargetMode="External"/><Relationship Id="rId668" Type="http://schemas.openxmlformats.org/officeDocument/2006/relationships/hyperlink" Target="http://10.10.10.209/OASIS_FILE_MANAGER/zip_files_download.php?qid=1223483&amp;serialno=UB24-00001800&amp;itemno=1&amp;token=87276d7537153c071cf1e3757f9286fb" TargetMode="External"/><Relationship Id="rId875" Type="http://schemas.openxmlformats.org/officeDocument/2006/relationships/hyperlink" Target="http://10.10.10.209/OASIS_FILE_MANAGER/zip_files_download.php?qid=1554443&amp;serialno=UB26-00001220&amp;itemno=1&amp;token=61ab8cd8d23432b22af0854ed48ab6cf" TargetMode="External"/><Relationship Id="rId18" Type="http://schemas.openxmlformats.org/officeDocument/2006/relationships/hyperlink" Target="mailto:cd1seddev@ha.org.hk" TargetMode="External"/><Relationship Id="rId528" Type="http://schemas.openxmlformats.org/officeDocument/2006/relationships/hyperlink" Target="javascript:openWindow('/servlet/IncidentDetailServlet?incidentId=SD11697069%27);" TargetMode="External"/><Relationship Id="rId735" Type="http://schemas.openxmlformats.org/officeDocument/2006/relationships/hyperlink" Target="mailto:hkt.poc.mib@hkt-cloud.com" TargetMode="External"/><Relationship Id="rId942" Type="http://schemas.openxmlformats.org/officeDocument/2006/relationships/hyperlink" Target="mailto:allencheung@maxims.com.hk" TargetMode="External"/><Relationship Id="rId167" Type="http://schemas.openxmlformats.org/officeDocument/2006/relationships/hyperlink" Target="mailto:candice.wm.chan@hkairport.com" TargetMode="External"/><Relationship Id="rId374" Type="http://schemas.openxmlformats.org/officeDocument/2006/relationships/hyperlink" Target="mailto:prosperoussuccesshk@gmail.com" TargetMode="External"/><Relationship Id="rId581" Type="http://schemas.openxmlformats.org/officeDocument/2006/relationships/hyperlink" Target="javascript:openWindow('/servlet/IncidentDetailServlet?incidentId=SD11686353%27);" TargetMode="External"/><Relationship Id="rId1018" Type="http://schemas.openxmlformats.org/officeDocument/2006/relationships/hyperlink" Target="mailto:allencheung@maxims.com.hk" TargetMode="External"/><Relationship Id="rId71" Type="http://schemas.openxmlformats.org/officeDocument/2006/relationships/hyperlink" Target="mailto:ray.lo@optimist-tect.com" TargetMode="External"/><Relationship Id="rId234" Type="http://schemas.openxmlformats.org/officeDocument/2006/relationships/hyperlink" Target="http://10.10.10.209/OASIS_FILE_MANAGER/zip_files_download.php?qid=1410754&amp;serialno=TI25-00003668&amp;itemno=1&amp;token=35a8d3955406018c0aaa17a463f8488b" TargetMode="External"/><Relationship Id="rId679" Type="http://schemas.openxmlformats.org/officeDocument/2006/relationships/hyperlink" Target="http://10.10.10.209/OASIS_FILE_MANAGER/zip_files_download.php?qid=1223483&amp;serialno=UB24-00001800&amp;itemno=1&amp;token=87276d7537153c071cf1e3757f9286fb" TargetMode="External"/><Relationship Id="rId802" Type="http://schemas.openxmlformats.org/officeDocument/2006/relationships/hyperlink" Target="http://10.10.10.209/OASIS_FILE_MANAGER/zip_files_download.php?qid=1173081&amp;serialno=GA24-00000974&amp;itemno=1&amp;token=4c9c8052ef72fa96bad22a04d363ee62" TargetMode="External"/><Relationship Id="rId886" Type="http://schemas.openxmlformats.org/officeDocument/2006/relationships/hyperlink" Target="mailto:alex.ng@hkstp.org" TargetMode="External"/><Relationship Id="rId2" Type="http://schemas.openxmlformats.org/officeDocument/2006/relationships/hyperlink" Target="http://10.10.10.209/OASIS_FILE_MANAGER/zip_files_download.php?qid=1546416&amp;serialno=UB26-00000719&amp;itemno=1&amp;token=acddc3ef143d61133d36ebdde799eab9" TargetMode="External"/><Relationship Id="rId29" Type="http://schemas.openxmlformats.org/officeDocument/2006/relationships/hyperlink" Target="mailto:nelson.wong@ha.org.hk" TargetMode="External"/><Relationship Id="rId441" Type="http://schemas.openxmlformats.org/officeDocument/2006/relationships/hyperlink" Target="mailto:k11_aws_k11exp_prd@nwcs.com.hk" TargetMode="External"/><Relationship Id="rId539" Type="http://schemas.openxmlformats.org/officeDocument/2006/relationships/hyperlink" Target="mailto:hoitehp18cloud@ha.org.hk" TargetMode="External"/><Relationship Id="rId746" Type="http://schemas.openxmlformats.org/officeDocument/2006/relationships/hyperlink" Target="http://10.10.10.209/OASIS_FILE_MANAGER/zip_files_download.php?qid=1197577&amp;serialno=TI24-00002030&amp;itemno=1&amp;token=65d9bdc4f8c51deb655f4357572371ae" TargetMode="External"/><Relationship Id="rId178" Type="http://schemas.openxmlformats.org/officeDocument/2006/relationships/hyperlink" Target="mailto:radek.chan@wkcda.hk" TargetMode="External"/><Relationship Id="rId301" Type="http://schemas.openxmlformats.org/officeDocument/2006/relationships/hyperlink" Target="mailto:wwwaws@consumer.org.hk" TargetMode="External"/><Relationship Id="rId953" Type="http://schemas.openxmlformats.org/officeDocument/2006/relationships/hyperlink" Target="mailto:allencheung@maxims.com.hk" TargetMode="External"/><Relationship Id="rId82" Type="http://schemas.openxmlformats.org/officeDocument/2006/relationships/hyperlink" Target="http://10.10.10.209/OASIS_FILE_MANAGER/zip_files_download.php?qid=1478006&amp;serialno=UB25-00006156&amp;itemno=1&amp;token=acddc3ef143d61133d36ebdde799eab9" TargetMode="External"/><Relationship Id="rId385" Type="http://schemas.openxmlformats.org/officeDocument/2006/relationships/hyperlink" Target="http://10.10.10.209/OASIS_FILE_MANAGER/zip_files_download.php?qid=1352010&amp;serialno=UC25-00000148&amp;itemno=1&amp;token=c3c32fca31caba9457e75a762b0d2e94" TargetMode="External"/><Relationship Id="rId592" Type="http://schemas.openxmlformats.org/officeDocument/2006/relationships/hyperlink" Target="mailto:ridley.man@shacombank.com.hk" TargetMode="External"/><Relationship Id="rId606" Type="http://schemas.openxmlformats.org/officeDocument/2006/relationships/hyperlink" Target="mailto:ehealthazuredev@ha.org.hk" TargetMode="External"/><Relationship Id="rId813" Type="http://schemas.openxmlformats.org/officeDocument/2006/relationships/hyperlink" Target="http://10.10.10.209/OASIS_FILE_MANAGER/zip_files_download.php?qid=1166911&amp;serialno=GB24-00000363&amp;itemno=1&amp;token=da34855977b6597edca13772e897f19a" TargetMode="External"/><Relationship Id="rId245" Type="http://schemas.openxmlformats.org/officeDocument/2006/relationships/hyperlink" Target="http://10.10.10.209/OASIS_FILE_MANAGER/zip_files_download.php?qid=1433850&amp;serialno=UB25-00004119&amp;itemno=1&amp;token=a964a32236e9d92cb29b0b25f27a5288" TargetMode="External"/><Relationship Id="rId452" Type="http://schemas.openxmlformats.org/officeDocument/2006/relationships/hyperlink" Target="mailto:kin.luk@ha.org.hk" TargetMode="External"/><Relationship Id="rId897" Type="http://schemas.openxmlformats.org/officeDocument/2006/relationships/hyperlink" Target="mailto:alex.ng@hkstp.org" TargetMode="External"/><Relationship Id="rId105" Type="http://schemas.openxmlformats.org/officeDocument/2006/relationships/hyperlink" Target="http://10.10.10.209/OASIS_FILE_MANAGER/zip_files_download.php?qid=1485184&amp;serialno=UA25-00004151&amp;itemno=1&amp;token=6963c022ffb8f3bdc29b9b0b9127c32f" TargetMode="External"/><Relationship Id="rId312" Type="http://schemas.openxmlformats.org/officeDocument/2006/relationships/hyperlink" Target="mailto:FUNGGKC@hkairport.com" TargetMode="External"/><Relationship Id="rId757" Type="http://schemas.openxmlformats.org/officeDocument/2006/relationships/hyperlink" Target="mailto:itops@mib.com.hk" TargetMode="External"/><Relationship Id="rId964" Type="http://schemas.openxmlformats.org/officeDocument/2006/relationships/hyperlink" Target="mailto:allencheung@maxims.com.hk" TargetMode="External"/><Relationship Id="rId93" Type="http://schemas.openxmlformats.org/officeDocument/2006/relationships/hyperlink" Target="http://10.10.10.209/OASIS_FILE_MANAGER/zip_files_download.php?qid=1489594&amp;serialno=UB25-00006668&amp;itemno=1&amp;token=d23f31f95c7e154f012227d36ac5a7e2" TargetMode="External"/><Relationship Id="rId189" Type="http://schemas.openxmlformats.org/officeDocument/2006/relationships/hyperlink" Target="mailto:ict_awsadmin_patrol@wkcda.hk" TargetMode="External"/><Relationship Id="rId396" Type="http://schemas.openxmlformats.org/officeDocument/2006/relationships/hyperlink" Target="mailto:nwd-aws-nwc-loyalty-engine-prd@nws.com.hk" TargetMode="External"/><Relationship Id="rId617" Type="http://schemas.openxmlformats.org/officeDocument/2006/relationships/hyperlink" Target="http://10.10.10.209/OASIS_FILE_MANAGER/zip_files_download.php?qid=1258109&amp;serialno=UB24-00003448&amp;itemno=1&amp;token=a964a32236e9d92cb29b0b25f27a5288" TargetMode="External"/><Relationship Id="rId824" Type="http://schemas.openxmlformats.org/officeDocument/2006/relationships/hyperlink" Target="http://10.10.10.209/OASIS_FILE_MANAGER/zip_files_download.php?qid=1154553&amp;serialno=GB23-00007764&amp;itemno=1&amp;token=87276d7537153c071cf1e3757f9286fb" TargetMode="External"/><Relationship Id="rId256" Type="http://schemas.openxmlformats.org/officeDocument/2006/relationships/hyperlink" Target="http://10.10.10.209/OASIS_FILE_MANAGER/zip_files_download.php?qid=1429070&amp;serialno=UB25-00003892&amp;itemno=1&amp;token=d23f31f95c7e154f012227d36ac5a7e2" TargetMode="External"/><Relationship Id="rId463" Type="http://schemas.openxmlformats.org/officeDocument/2006/relationships/hyperlink" Target="mailto:nwcs_crm_modules_nonprd@nwcs.com.hk" TargetMode="External"/><Relationship Id="rId670" Type="http://schemas.openxmlformats.org/officeDocument/2006/relationships/hyperlink" Target="http://10.10.10.209/OASIS_FILE_MANAGER/zip_files_download.php?qid=1223483&amp;serialno=UB24-00001800&amp;itemno=1&amp;token=87276d7537153c071cf1e3757f9286fb" TargetMode="External"/><Relationship Id="rId116" Type="http://schemas.openxmlformats.org/officeDocument/2006/relationships/hyperlink" Target="http://10.10.10.209/OASIS_FILE_MANAGER/zip_files_download.php?qid=1480723&amp;serialno=UB25-00006300&amp;itemno=1&amp;token=d23f31f95c7e154f012227d36ac5a7e" TargetMode="External"/><Relationship Id="rId323" Type="http://schemas.openxmlformats.org/officeDocument/2006/relationships/hyperlink" Target="mailto:admin@tasteofasiagrp.onmicrosoft.com" TargetMode="External"/><Relationship Id="rId530" Type="http://schemas.openxmlformats.org/officeDocument/2006/relationships/hyperlink" Target="mailto:infraadmin@hysan.com.hk" TargetMode="External"/><Relationship Id="rId768" Type="http://schemas.openxmlformats.org/officeDocument/2006/relationships/hyperlink" Target="http://10.10.10.209/OASIS_FILE_MANAGER/zip_files_download.php?qid=1190790&amp;serialno=UD24-00000300&amp;itemno=1&amp;token=d2fcc63539ab421111515b95e3d48e8c" TargetMode="External"/><Relationship Id="rId975" Type="http://schemas.openxmlformats.org/officeDocument/2006/relationships/hyperlink" Target="mailto:allencheung@maxims.com.hk" TargetMode="External"/><Relationship Id="rId20" Type="http://schemas.openxmlformats.org/officeDocument/2006/relationships/hyperlink" Target="mailto:Fordtcd@gmail.com" TargetMode="External"/><Relationship Id="rId628" Type="http://schemas.openxmlformats.org/officeDocument/2006/relationships/hyperlink" Target="http://10.10.10.209/OASIS_FILE_MANAGER/zip_files_download.php?qid=1247171&amp;serialno=BBSMB24-00000155&amp;itemno=1&amp;token=38fec1957f7f580995a6b7f72e2f0170" TargetMode="External"/><Relationship Id="rId835" Type="http://schemas.openxmlformats.org/officeDocument/2006/relationships/hyperlink" Target="http://10.10.10.209/OASIS_FILE_MANAGER/zip_files_download.php?qid=1148248&amp;serialno=GB23-00007563&amp;itemno=1&amp;token=130994d99428d806a08c466b41518bef" TargetMode="External"/><Relationship Id="rId267" Type="http://schemas.openxmlformats.org/officeDocument/2006/relationships/hyperlink" Target="http://10.10.10.209/OASIS_FILE_MANAGER/zip_files_download.php?qid=1415656&amp;serialno=UB25-00003315&amp;itemno=1&amp;token=acddc3ef143d61133d36ebdde799eab9" TargetMode="External"/><Relationship Id="rId474" Type="http://schemas.openxmlformats.org/officeDocument/2006/relationships/hyperlink" Target="javascript:openWindow('/servlet/IncidentDetailServlet?incidentId=SD11704088%27);" TargetMode="External"/><Relationship Id="rId1020" Type="http://schemas.openxmlformats.org/officeDocument/2006/relationships/hyperlink" Target="mailto:allencheung@maxims.com.hk" TargetMode="External"/><Relationship Id="rId127" Type="http://schemas.openxmlformats.org/officeDocument/2006/relationships/hyperlink" Target="http://10.10.10.209/OASIS_FILE_MANAGER/zip_files_download.php?qid=1478990&amp;serialno=UB25-00006234&amp;itemno=1&amp;token=d23f31f95c7e154f012227d36ac5a7e2" TargetMode="External"/><Relationship Id="rId681" Type="http://schemas.openxmlformats.org/officeDocument/2006/relationships/hyperlink" Target="http://10.10.10.209/OASIS_FILE_MANAGER/zip_files_download.php?qid=1223483&amp;serialno=UB24-00001800&amp;itemno=1&amp;token=87276d7537153c071cf1e3757f9286fb" TargetMode="External"/><Relationship Id="rId779" Type="http://schemas.openxmlformats.org/officeDocument/2006/relationships/hyperlink" Target="http://10.10.10.209/OASIS_FILE_MANAGER/zip_files_download.php?qid=1160519&amp;serialno=GB24-00000443&amp;itemno=1&amp;token=a964a32236e9d92cb29b0b25f27a5288" TargetMode="External"/><Relationship Id="rId902" Type="http://schemas.openxmlformats.org/officeDocument/2006/relationships/hyperlink" Target="mailto:ali-vpc-hkstp-mobile-dev@rd-eqmdqa.aliyunid.com" TargetMode="External"/><Relationship Id="rId986" Type="http://schemas.openxmlformats.org/officeDocument/2006/relationships/hyperlink" Target="mailto:allencheung@maxims.com.hk" TargetMode="External"/><Relationship Id="rId31" Type="http://schemas.openxmlformats.org/officeDocument/2006/relationships/hyperlink" Target="mailto:nelson.wong@ha.org.hk" TargetMode="External"/><Relationship Id="rId334" Type="http://schemas.openxmlformats.org/officeDocument/2006/relationships/hyperlink" Target="mailto:asplam@digitalpolicy.gov.hk," TargetMode="External"/><Relationship Id="rId541" Type="http://schemas.openxmlformats.org/officeDocument/2006/relationships/hyperlink" Target="mailto:elderly.aws.ani@nwcs.com.hk" TargetMode="External"/><Relationship Id="rId639" Type="http://schemas.openxmlformats.org/officeDocument/2006/relationships/hyperlink" Target="mailto:t7support@ha.org.hk" TargetMode="External"/><Relationship Id="rId180" Type="http://schemas.openxmlformats.org/officeDocument/2006/relationships/hyperlink" Target="mailto:ict_awsadmin_wkomo@mplus.org.hk" TargetMode="External"/><Relationship Id="rId278" Type="http://schemas.openxmlformats.org/officeDocument/2006/relationships/hyperlink" Target="mailto:cp.it@commercialpress.com.hk" TargetMode="External"/><Relationship Id="rId401" Type="http://schemas.openxmlformats.org/officeDocument/2006/relationships/hyperlink" Target="http://10.10.10.209/OASIS_FILE_MANAGER/zip_files_download.php?qid=1349039&amp;serialno=UE24-00005535&amp;itemno=1&amp;token=3a577825b6b079b72327513261726934" TargetMode="External"/><Relationship Id="rId846" Type="http://schemas.openxmlformats.org/officeDocument/2006/relationships/hyperlink" Target="mailto:it-prod1@hksi.org" TargetMode="External"/><Relationship Id="rId485" Type="http://schemas.openxmlformats.org/officeDocument/2006/relationships/hyperlink" Target="http://10.10.10.209/OASIS_FILE_MANAGER/zip_files_download.php?qid=1327428&amp;serialno=UE24-00004918&amp;itemno=1&amp;token=3fe28986e3408121df10cdcd105d2535" TargetMode="External"/><Relationship Id="rId692" Type="http://schemas.openxmlformats.org/officeDocument/2006/relationships/hyperlink" Target="http://10.10.10.209/OASIS_FILE_MANAGER/zip_files_download.php?qid=1223483&amp;serialno=UB24-00001800&amp;itemno=1&amp;token=87276d7537153c071cf1e3757f9286fb" TargetMode="External"/><Relationship Id="rId706" Type="http://schemas.openxmlformats.org/officeDocument/2006/relationships/hyperlink" Target="http://10.10.10.209/OASIS_FILE_MANAGER/zip_files_download.php?qid=1225407&amp;serialno=UD24-00001552&amp;itemno=1&amp;token=e3c8c002a5d723f8cc9ec5a10009fe8f" TargetMode="External"/><Relationship Id="rId913" Type="http://schemas.openxmlformats.org/officeDocument/2006/relationships/hyperlink" Target="mailto:cmisdevteam@ha.org.hk" TargetMode="External"/><Relationship Id="rId42" Type="http://schemas.openxmlformats.org/officeDocument/2006/relationships/hyperlink" Target="mailto:cp.it@commercialpress.com.hk" TargetMode="External"/><Relationship Id="rId138" Type="http://schemas.openxmlformats.org/officeDocument/2006/relationships/hyperlink" Target="mailto:radek.chan@wkcda.hk" TargetMode="External"/><Relationship Id="rId345" Type="http://schemas.openxmlformats.org/officeDocument/2006/relationships/hyperlink" Target="http://10.10.10.209/OASIS_FILE_MANAGER/zip_files_download.php?qid=1378898&amp;serialno=UB25-00001519&amp;itemno=1&amp;token=a964a32236e9d92cb29b0b25f27a5288" TargetMode="External"/><Relationship Id="rId552" Type="http://schemas.openxmlformats.org/officeDocument/2006/relationships/hyperlink" Target="mailto:omni-hub_uat@chowtaifook.com;" TargetMode="External"/><Relationship Id="rId997" Type="http://schemas.openxmlformats.org/officeDocument/2006/relationships/hyperlink" Target="mailto:allencheung@maxims.com.hk" TargetMode="External"/><Relationship Id="rId191" Type="http://schemas.openxmlformats.org/officeDocument/2006/relationships/hyperlink" Target="mailto:ict_awsadmin_disapp@wkcda.hk" TargetMode="External"/><Relationship Id="rId205" Type="http://schemas.openxmlformats.org/officeDocument/2006/relationships/hyperlink" Target="mailto:Brian.C.Yeung@honourprinting.com" TargetMode="External"/><Relationship Id="rId412" Type="http://schemas.openxmlformats.org/officeDocument/2006/relationships/hyperlink" Target="mailto:tony.ng@hkairport.com" TargetMode="External"/><Relationship Id="rId857" Type="http://schemas.openxmlformats.org/officeDocument/2006/relationships/hyperlink" Target="http://10.10.10.209/OASIS_FILE_MANAGER/zip_files_download.php?qid=1547875&amp;serialno=UE26-00000534&amp;itemno=1&amp;token=30267dc4a2641488f4cd58ac0a0d80f1" TargetMode="External"/><Relationship Id="rId289" Type="http://schemas.openxmlformats.org/officeDocument/2006/relationships/hyperlink" Target="http://10.10.10.209/OASIS_FILE_MANAGER/zip_files_download.php?qid=1407039&amp;serialno=BBSMA25-00000321&amp;itemno=1&amp;token=0cc88db95574e130f1ff0784c353575e" TargetMode="External"/><Relationship Id="rId496" Type="http://schemas.openxmlformats.org/officeDocument/2006/relationships/hyperlink" Target="http://10.10.10.209/OASIS_FILE_MANAGER/zip_files_download.php?qid=1326705&amp;serialno=UD24-00004918&amp;itemno=1&amp;token=d2fcc63539ab421111515b95e3d48e8c" TargetMode="External"/><Relationship Id="rId717" Type="http://schemas.openxmlformats.org/officeDocument/2006/relationships/hyperlink" Target="http://10.10.10.209/OASIS_FILE_MANAGER/zip_files_download.php?qid=1221079&amp;serialno=UB24-00001721&amp;itemno=1&amp;token=a964a32236e9d92cb29b0b25f27a5288" TargetMode="External"/><Relationship Id="rId924" Type="http://schemas.openxmlformats.org/officeDocument/2006/relationships/hyperlink" Target="mailto:maxconcepts_web_pro_16751@maxims.com.hk" TargetMode="External"/><Relationship Id="rId53" Type="http://schemas.openxmlformats.org/officeDocument/2006/relationships/hyperlink" Target="mailto:Alicloud_tmarkwebapppro@chowtaifook.com%0a" TargetMode="External"/><Relationship Id="rId149" Type="http://schemas.openxmlformats.org/officeDocument/2006/relationships/hyperlink" Target="http://10.10.10.209/OASIS_FILE_MANAGER/zip_files_download.php?qid=1471466&amp;serialno=TI25-00006993&amp;itemno=1&amp;token=20d13e571b52f93cb731bae5ff38616e" TargetMode="External"/><Relationship Id="rId356" Type="http://schemas.openxmlformats.org/officeDocument/2006/relationships/hyperlink" Target="mailto:zhanhong.wang@uisee.com" TargetMode="External"/><Relationship Id="rId563" Type="http://schemas.openxmlformats.org/officeDocument/2006/relationships/hyperlink" Target="javascript:openWindow('/servlet/IncidentDetailServlet?incidentId=SD11687351%27);" TargetMode="External"/><Relationship Id="rId770" Type="http://schemas.openxmlformats.org/officeDocument/2006/relationships/hyperlink" Target="mailto:cf.shum@hkairport.com" TargetMode="External"/><Relationship Id="rId216" Type="http://schemas.openxmlformats.org/officeDocument/2006/relationships/hyperlink" Target="mailto:carrie.kl.kok@pccw.com" TargetMode="External"/><Relationship Id="rId423" Type="http://schemas.openxmlformats.org/officeDocument/2006/relationships/hyperlink" Target="mailto:donng@nwcs.com.hk" TargetMode="External"/><Relationship Id="rId868" Type="http://schemas.openxmlformats.org/officeDocument/2006/relationships/hyperlink" Target="mailto:alan.kh.lai@fwd.com" TargetMode="External"/><Relationship Id="rId630" Type="http://schemas.openxmlformats.org/officeDocument/2006/relationships/hyperlink" Target="mailto:n7@ha.org.hk" TargetMode="External"/><Relationship Id="rId728" Type="http://schemas.openxmlformats.org/officeDocument/2006/relationships/hyperlink" Target="mailto:simonleung@nwcs.com.hk" TargetMode="External"/><Relationship Id="rId935" Type="http://schemas.openxmlformats.org/officeDocument/2006/relationships/hyperlink" Target="mailto:allencheung@maxims.com.hk" TargetMode="External"/><Relationship Id="rId64" Type="http://schemas.openxmlformats.org/officeDocument/2006/relationships/hyperlink" Target="mailto:dickywong@nwcs.com.hk/%2025231056" TargetMode="External"/><Relationship Id="rId367" Type="http://schemas.openxmlformats.org/officeDocument/2006/relationships/hyperlink" Target="http://10.10.10.209/OASIS_FILE_MANAGER/zip_files_download.php?qid=1370789&amp;serialno=UB25-00000954&amp;itemno=1&amp;token=a964a32236e9d92cb29b0b25f27a5288" TargetMode="External"/><Relationship Id="rId574" Type="http://schemas.openxmlformats.org/officeDocument/2006/relationships/hyperlink" Target="mailto:alex.k.c.kwan@hkairport.com" TargetMode="External"/><Relationship Id="rId227" Type="http://schemas.openxmlformats.org/officeDocument/2006/relationships/hyperlink" Target="http://10.10.10.209/OASIS_FILE_MANAGER/zip_files_download.php?qid=1435768&amp;serialno=TI25-00003668&amp;itemno=1&amp;token=35a8d3955406018c0aaa17a463f8488b" TargetMode="External"/><Relationship Id="rId781" Type="http://schemas.openxmlformats.org/officeDocument/2006/relationships/hyperlink" Target="mailto:kdp-aws-topup-prd@nwcs.com.hk" TargetMode="External"/><Relationship Id="rId879" Type="http://schemas.openxmlformats.org/officeDocument/2006/relationships/hyperlink" Target="mailto:gitcoe-cloudops@dch-holdings.com" TargetMode="External"/><Relationship Id="rId434" Type="http://schemas.openxmlformats.org/officeDocument/2006/relationships/hyperlink" Target="mailto:alicloud_gravityuat@chowtaifook.com" TargetMode="External"/><Relationship Id="rId641" Type="http://schemas.openxmlformats.org/officeDocument/2006/relationships/hyperlink" Target="http://10.10.10.209/OASIS_FILE_MANAGER/zip_files_download.php?qid=1238649&amp;serialno=TI24-00005258&amp;itemno=1&amp;token=6fbe529a4a66811c5de6f5ab471f328d" TargetMode="External"/><Relationship Id="rId739" Type="http://schemas.openxmlformats.org/officeDocument/2006/relationships/hyperlink" Target="javascript:openWindow('/servlet/IncidentDetailServlet?incidentId=SD11642824%27);" TargetMode="External"/><Relationship Id="rId280" Type="http://schemas.openxmlformats.org/officeDocument/2006/relationships/hyperlink" Target="http://10.10.10.209/OASIS_FILE_MANAGER/zip_files_download.php?qid=1410737&amp;serialno=BBSMB25-00000128&amp;itemno=1&amp;token=0cc88db95574e130f1ff0784c353575e" TargetMode="External"/><Relationship Id="rId501" Type="http://schemas.openxmlformats.org/officeDocument/2006/relationships/hyperlink" Target="mailto:ftd-cstcb-for-e-office@police.gov.hk" TargetMode="External"/><Relationship Id="rId946" Type="http://schemas.openxmlformats.org/officeDocument/2006/relationships/hyperlink" Target="mailto:allencheung@maxims.com.hk" TargetMode="External"/><Relationship Id="rId75" Type="http://schemas.openxmlformats.org/officeDocument/2006/relationships/hyperlink" Target="mailto:support@experience11.com" TargetMode="External"/><Relationship Id="rId140" Type="http://schemas.openxmlformats.org/officeDocument/2006/relationships/hyperlink" Target="mailto:radek.chan@wkcda.hk" TargetMode="External"/><Relationship Id="rId378" Type="http://schemas.openxmlformats.org/officeDocument/2006/relationships/hyperlink" Target="mailto:xenia@yydltd.com" TargetMode="External"/><Relationship Id="rId585" Type="http://schemas.openxmlformats.org/officeDocument/2006/relationships/hyperlink" Target="http://10.10.10.209/OASIS_FILE_MANAGER/zip_files_download.php?qid=1292217&amp;serialno=UB24-00005086&amp;itemno=1&amp;token=a964a32236e9d92cb29b0b25f27a5288" TargetMode="External"/><Relationship Id="rId792" Type="http://schemas.openxmlformats.org/officeDocument/2006/relationships/hyperlink" Target="http://10.10.10.209/OASIS_FILE_MANAGER/zip_files_download.php?qid=1181440&amp;serialno=CB24-00001360&amp;itemno=1&amp;token=6846eac8eff0831566cf6e4382db1f12" TargetMode="External"/><Relationship Id="rId806" Type="http://schemas.openxmlformats.org/officeDocument/2006/relationships/hyperlink" Target="mailto:Victor.PW.Lee@pccw.com" TargetMode="External"/><Relationship Id="rId6" Type="http://schemas.openxmlformats.org/officeDocument/2006/relationships/hyperlink" Target="mailto:carmen.km.wong@hkairport.com" TargetMode="External"/><Relationship Id="rId238" Type="http://schemas.openxmlformats.org/officeDocument/2006/relationships/hyperlink" Target="mailto:alicloud_ems_prd@chowtaifook.com" TargetMode="External"/><Relationship Id="rId445" Type="http://schemas.openxmlformats.org/officeDocument/2006/relationships/hyperlink" Target="mailto:nelson.wong@ha.org.hk" TargetMode="External"/><Relationship Id="rId652" Type="http://schemas.openxmlformats.org/officeDocument/2006/relationships/hyperlink" Target="http://10.10.10.209/OASIS_FILE_MANAGER/zip_files_download.php?qid=1042830&amp;serialno=CB23-00003434&amp;itemno=1&amp;token=d2fcc63539ab421111515b95e3d48e8c" TargetMode="External"/><Relationship Id="rId291" Type="http://schemas.openxmlformats.org/officeDocument/2006/relationships/hyperlink" Target="mailto:terence.lee@hkairport.com" TargetMode="External"/><Relationship Id="rId305" Type="http://schemas.openxmlformats.org/officeDocument/2006/relationships/hyperlink" Target="mailto:kester.leung@hkairport.com" TargetMode="External"/><Relationship Id="rId512" Type="http://schemas.openxmlformats.org/officeDocument/2006/relationships/hyperlink" Target="mailto:cimsehp12dental@ha.org.hk" TargetMode="External"/><Relationship Id="rId957" Type="http://schemas.openxmlformats.org/officeDocument/2006/relationships/hyperlink" Target="mailto:allencheung@maxims.com.hk" TargetMode="External"/><Relationship Id="rId86" Type="http://schemas.openxmlformats.org/officeDocument/2006/relationships/hyperlink" Target="mailto:kin.luk@ha.org.hk" TargetMode="External"/><Relationship Id="rId151" Type="http://schemas.openxmlformats.org/officeDocument/2006/relationships/hyperlink" Target="mailto:donng@nwcs.com.hk" TargetMode="External"/><Relationship Id="rId389" Type="http://schemas.openxmlformats.org/officeDocument/2006/relationships/hyperlink" Target="http://10.10.10.209/OASIS_FILE_MANAGER/zip_files_download.php?qid=1351113&amp;serialno=UE25-00000099&amp;itemno=1&amp;token=3a577825b6b079b72327513261726934" TargetMode="External"/><Relationship Id="rId596" Type="http://schemas.openxmlformats.org/officeDocument/2006/relationships/hyperlink" Target="mailto:aws.aet.prod@hkairport.com" TargetMode="External"/><Relationship Id="rId817" Type="http://schemas.openxmlformats.org/officeDocument/2006/relationships/hyperlink" Target="mailto:aws_aem@chowtaifook.com" TargetMode="External"/><Relationship Id="rId1002" Type="http://schemas.openxmlformats.org/officeDocument/2006/relationships/hyperlink" Target="mailto:allencheung@maxims.com.hk" TargetMode="External"/><Relationship Id="rId249" Type="http://schemas.openxmlformats.org/officeDocument/2006/relationships/hyperlink" Target="http://10.10.10.209/OASIS_FILE_MANAGER/zip_files_download.php?qid=1417931&amp;serialno=UA25-00001596&amp;itemno=1&amp;token=3087ed27a9e98e0ec9c625e014f637aa" TargetMode="External"/><Relationship Id="rId456" Type="http://schemas.openxmlformats.org/officeDocument/2006/relationships/hyperlink" Target="mailto:liscloudservicespath@ha.org.hk" TargetMode="External"/><Relationship Id="rId663" Type="http://schemas.openxmlformats.org/officeDocument/2006/relationships/hyperlink" Target="http://10.10.10.209/OASIS_FILE_MANAGER/zip_files_download.php?qid=1223483&amp;serialno=UB24-00001800&amp;itemno=1&amp;token=87276d7537153c071cf1e3757f9286fb" TargetMode="External"/><Relationship Id="rId870" Type="http://schemas.openxmlformats.org/officeDocument/2006/relationships/hyperlink" Target="mailto:tommy.hui@jardines.com" TargetMode="External"/><Relationship Id="rId13" Type="http://schemas.openxmlformats.org/officeDocument/2006/relationships/hyperlink" Target="mailto:aws_sensordata@chowtaifook.com" TargetMode="External"/><Relationship Id="rId109" Type="http://schemas.openxmlformats.org/officeDocument/2006/relationships/hyperlink" Target="http://10.10.10.209/OASIS_FILE_MANAGER/zip_files_download.php?qid=1484484&amp;serialno=UE25-00004374&amp;itemno=1&amp;token=3a577825b6b079b72327513261726934" TargetMode="External"/><Relationship Id="rId316" Type="http://schemas.openxmlformats.org/officeDocument/2006/relationships/hyperlink" Target="http://10.10.10.209/OASIS_FILE_MANAGER/zip_files_download.php?qid=1397093&amp;serialno=TI25-00002913&amp;itemno=1&amp;token=835b6c794a99c33c302f1d8864958920" TargetMode="External"/><Relationship Id="rId523" Type="http://schemas.openxmlformats.org/officeDocument/2006/relationships/hyperlink" Target="mailto:waichung@chowtaifook.com" TargetMode="External"/><Relationship Id="rId968" Type="http://schemas.openxmlformats.org/officeDocument/2006/relationships/hyperlink" Target="mailto:allencheung@maxims.com.hk" TargetMode="External"/><Relationship Id="rId97" Type="http://schemas.openxmlformats.org/officeDocument/2006/relationships/hyperlink" Target="mailto:aws_admin@wellwell.com.hk" TargetMode="External"/><Relationship Id="rId730" Type="http://schemas.openxmlformats.org/officeDocument/2006/relationships/hyperlink" Target="mailto:dcmspca@ha.org.hk;%20howk@ha.org.hk;%20sosl@ha.org.hk" TargetMode="External"/><Relationship Id="rId828" Type="http://schemas.openxmlformats.org/officeDocument/2006/relationships/hyperlink" Target="http://10.10.10.209/OASIS_FILE_MANAGER/zip_files_download.php?qid=1150599&amp;serialno=CB23-00007763&amp;itemno=1&amp;token=6846eac8eff0831566cf6e4382db1f12" TargetMode="External"/><Relationship Id="rId1013" Type="http://schemas.openxmlformats.org/officeDocument/2006/relationships/hyperlink" Target="mailto:allencheung@maxims.com.hk" TargetMode="External"/><Relationship Id="rId162" Type="http://schemas.openxmlformats.org/officeDocument/2006/relationships/hyperlink" Target="mailto:candice.wm.chan@hkairport.com" TargetMode="External"/><Relationship Id="rId467" Type="http://schemas.openxmlformats.org/officeDocument/2006/relationships/hyperlink" Target="http://10.10.10.209/OASIS_FILE_MANAGER/zip_files_download.php?qid=1331943&amp;serialno=UE24-00005071&amp;itemno=1&amp;token=3a577825b6b079b72327513261726934" TargetMode="External"/><Relationship Id="rId674" Type="http://schemas.openxmlformats.org/officeDocument/2006/relationships/hyperlink" Target="http://10.10.10.209/OASIS_FILE_MANAGER/zip_files_download.php?qid=1223483&amp;serialno=UB24-00001800&amp;itemno=1&amp;token=87276d7537153c071cf1e3757f9286fb" TargetMode="External"/><Relationship Id="rId881" Type="http://schemas.openxmlformats.org/officeDocument/2006/relationships/hyperlink" Target="mailto:waichung@chowtaifook.com" TargetMode="External"/><Relationship Id="rId979" Type="http://schemas.openxmlformats.org/officeDocument/2006/relationships/hyperlink" Target="mailto:allencheung@maxims.com.hk" TargetMode="External"/><Relationship Id="rId24" Type="http://schemas.openxmlformats.org/officeDocument/2006/relationships/hyperlink" Target="http://10.10.10.209/OASIS_FILE_MANAGER/zip_files_download.php?qid=1529995&amp;serialno=UB25-00008568&amp;itemno=1&amp;token=4df4ea844146959ea5a85cce476f77c8" TargetMode="External"/><Relationship Id="rId327" Type="http://schemas.openxmlformats.org/officeDocument/2006/relationships/hyperlink" Target="mailto:istartup_admin@cyberport.hk" TargetMode="External"/><Relationship Id="rId534" Type="http://schemas.openxmlformats.org/officeDocument/2006/relationships/hyperlink" Target="http://10.10.10.209/OASIS_FILE_MANAGER/zip_files_download.php?qid=1313220&amp;serialno=UD24-00004290&amp;itemno=1&amp;token=79de2540eb354e9fcf69643b382b367b" TargetMode="External"/><Relationship Id="rId741" Type="http://schemas.openxmlformats.org/officeDocument/2006/relationships/hyperlink" Target="http://10.10.10.209/OASIS_FILE_MANAGER/zip_files_download.php?qid=1233359&amp;serialno=UD24-00001717&amp;itemno=1&amp;token=c06cce3eff3dc4d96de7404e15fc66e1" TargetMode="External"/><Relationship Id="rId839" Type="http://schemas.openxmlformats.org/officeDocument/2006/relationships/hyperlink" Target="http://10.10.10.209/OASIS_FILE_MANAGER/zip_files_download.php?qid=1147499&amp;serialno=GB23-00007564&amp;itemno=1&amp;token=130994d99428d806a08c466b41518bef" TargetMode="External"/><Relationship Id="rId173" Type="http://schemas.openxmlformats.org/officeDocument/2006/relationships/hyperlink" Target="http://10.10.10.209/OASIS_FILE_MANAGER/zip_files_download.php?qid=1453935&amp;serialno=UB25-00005128&amp;itemno=1&amp;token=d23f31f95c7e154f012227d36ac5a7e2" TargetMode="External"/><Relationship Id="rId380" Type="http://schemas.openxmlformats.org/officeDocument/2006/relationships/hyperlink" Target="mailto:Oona_Cheng@evertoprich.com" TargetMode="External"/><Relationship Id="rId601" Type="http://schemas.openxmlformats.org/officeDocument/2006/relationships/hyperlink" Target="http://10.10.10.209/OASIS_FILE_MANAGER/zip_files_download.php?qid=1277695&amp;serialno=UB24-00004370&amp;itemno=1&amp;token=9f6addcb0d82f484aca6665b5dc9237d" TargetMode="External"/><Relationship Id="rId1024" Type="http://schemas.openxmlformats.org/officeDocument/2006/relationships/hyperlink" Target="mailto:allencheung@maxims.com.hk" TargetMode="External"/><Relationship Id="rId240" Type="http://schemas.openxmlformats.org/officeDocument/2006/relationships/hyperlink" Target="mailto:waichung@chowtaifook.com" TargetMode="External"/><Relationship Id="rId478" Type="http://schemas.openxmlformats.org/officeDocument/2006/relationships/hyperlink" Target="javascript:openWindow('/servlet/IncidentDetailServlet?incidentId=SD11704088%27);" TargetMode="External"/><Relationship Id="rId685" Type="http://schemas.openxmlformats.org/officeDocument/2006/relationships/hyperlink" Target="http://10.10.10.209/OASIS_FILE_MANAGER/zip_files_download.php?qid=1223483&amp;serialno=UB24-00001800&amp;itemno=1&amp;token=87276d7537153c071cf1e3757f9286fb" TargetMode="External"/><Relationship Id="rId892" Type="http://schemas.openxmlformats.org/officeDocument/2006/relationships/hyperlink" Target="mailto:alex.ng@hkstp.org" TargetMode="External"/><Relationship Id="rId906" Type="http://schemas.openxmlformats.org/officeDocument/2006/relationships/hyperlink" Target="mailto:eds@rd-eqmdqa.aliyunid.com" TargetMode="External"/><Relationship Id="rId35" Type="http://schemas.openxmlformats.org/officeDocument/2006/relationships/hyperlink" Target="mailto:sec-it-infra-ali-stag@crypto.com" TargetMode="External"/><Relationship Id="rId100" Type="http://schemas.openxmlformats.org/officeDocument/2006/relationships/hyperlink" Target="mailto:andrew.fung@hactl.com" TargetMode="External"/><Relationship Id="rId338" Type="http://schemas.openxmlformats.org/officeDocument/2006/relationships/hyperlink" Target="mailto:sylvia.ky.chan@hkairport.com" TargetMode="External"/><Relationship Id="rId545" Type="http://schemas.openxmlformats.org/officeDocument/2006/relationships/hyperlink" Target="mailto:dapodcdev@ha.org.hk" TargetMode="External"/><Relationship Id="rId752" Type="http://schemas.openxmlformats.org/officeDocument/2006/relationships/hyperlink" Target="mailto:donng@nwcs.com.hk" TargetMode="External"/><Relationship Id="rId184" Type="http://schemas.openxmlformats.org/officeDocument/2006/relationships/hyperlink" Target="mailto:ict_awsadmin_wkdigital@wkcda.hk" TargetMode="External"/><Relationship Id="rId391" Type="http://schemas.openxmlformats.org/officeDocument/2006/relationships/hyperlink" Target="mailto:donng@nwcs.com.hk" TargetMode="External"/><Relationship Id="rId405" Type="http://schemas.openxmlformats.org/officeDocument/2006/relationships/hyperlink" Target="mailto:tong.chan@jardines.com" TargetMode="External"/><Relationship Id="rId612" Type="http://schemas.openxmlformats.org/officeDocument/2006/relationships/hyperlink" Target="mailto:sc5odcdev@ha.org.hk;%20yym242@ha.org.hk;%20yym242@ha.org.hk;%20yym242@ha.org.hk;" TargetMode="External"/><Relationship Id="rId251" Type="http://schemas.openxmlformats.org/officeDocument/2006/relationships/hyperlink" Target="mailto:kester.leung@hkairport.com" TargetMode="External"/><Relationship Id="rId489" Type="http://schemas.openxmlformats.org/officeDocument/2006/relationships/hyperlink" Target="http://10.10.10.209/OASIS_FILE_MANAGER/zip_files_download.php?qid=1326541&amp;serialno=UB24-00006711&amp;itemno=1&amp;token=a964a32236e9d92cb29b0b25f27a5288" TargetMode="External"/><Relationship Id="rId696" Type="http://schemas.openxmlformats.org/officeDocument/2006/relationships/hyperlink" Target="http://10.10.10.209/OASIS_FILE_MANAGER/zip_files_download.php?qid=1223483&amp;serialno=UB24-00001800&amp;itemno=1&amp;token=87276d7537153c071cf1e3757f9286fb" TargetMode="External"/><Relationship Id="rId917" Type="http://schemas.openxmlformats.org/officeDocument/2006/relationships/hyperlink" Target="mailto:sup_it@legco.gov.hk" TargetMode="External"/><Relationship Id="rId46" Type="http://schemas.openxmlformats.org/officeDocument/2006/relationships/hyperlink" Target="mailto:aws_tmarkwebappuat@chowtaifook.com" TargetMode="External"/><Relationship Id="rId349" Type="http://schemas.openxmlformats.org/officeDocument/2006/relationships/hyperlink" Target="mailto:haru.ng@hkairport.com" TargetMode="External"/><Relationship Id="rId556" Type="http://schemas.openxmlformats.org/officeDocument/2006/relationships/hyperlink" Target="http://10.10.10.209/OASIS_FILE_MANAGER/zip_files_download.php?qid=1299545&amp;serialno=UB24-00005431&amp;itemno=1&amp;token=acddc3ef143d61133d36ebdde799eab9" TargetMode="External"/><Relationship Id="rId763" Type="http://schemas.openxmlformats.org/officeDocument/2006/relationships/hyperlink" Target="mailto:tony.ng@hkairport.com" TargetMode="External"/><Relationship Id="rId111" Type="http://schemas.openxmlformats.org/officeDocument/2006/relationships/hyperlink" Target="http://10.10.10.209/OASIS_FILE_MANAGER/zip_files_download.php?qid=1483349&amp;serialno=TI25-00007534&amp;itemno=1&amp;token=b6f242b3b71a4cce4c1b299b761b31f8" TargetMode="External"/><Relationship Id="rId195" Type="http://schemas.openxmlformats.org/officeDocument/2006/relationships/hyperlink" Target="mailto:ict_awsadmin_ods@wkcda.hk" TargetMode="External"/><Relationship Id="rId209" Type="http://schemas.openxmlformats.org/officeDocument/2006/relationships/hyperlink" Target="http://10.10.10.209/OASIS_FILE_MANAGER/zip_files_download.php?qid=1439977&amp;serialno=UB25-00004435&amp;itemno=1&amp;token=61ab8cd8d23432b22af0854ed48ab6cf" TargetMode="External"/><Relationship Id="rId416" Type="http://schemas.openxmlformats.org/officeDocument/2006/relationships/hyperlink" Target="mailto:hasson.ip@6ixty8ight.com" TargetMode="External"/><Relationship Id="rId970" Type="http://schemas.openxmlformats.org/officeDocument/2006/relationships/hyperlink" Target="mailto:allencheung@maxims.com.hk" TargetMode="External"/><Relationship Id="rId623" Type="http://schemas.openxmlformats.org/officeDocument/2006/relationships/hyperlink" Target="mailto:aws.prod@fano.ai" TargetMode="External"/><Relationship Id="rId830" Type="http://schemas.openxmlformats.org/officeDocument/2006/relationships/hyperlink" Target="http://10.10.10.209/OASIS_FILE_MANAGER/zip_files_download.php?qid=1150802&amp;serialno=CA23-00009220&amp;itemno=1&amp;token=130994d99428d806a08c466b41518bef" TargetMode="External"/><Relationship Id="rId928" Type="http://schemas.openxmlformats.org/officeDocument/2006/relationships/hyperlink" Target="mailto:allencheung@maxims.com.hk" TargetMode="External"/><Relationship Id="rId57" Type="http://schemas.openxmlformats.org/officeDocument/2006/relationships/hyperlink" Target="mailto:Alicloud_tmarkwebapppro@chowtaifook.com%0a" TargetMode="External"/><Relationship Id="rId262" Type="http://schemas.openxmlformats.org/officeDocument/2006/relationships/hyperlink" Target="mailto:thomas.yh.kwan@pccw.com" TargetMode="External"/><Relationship Id="rId567" Type="http://schemas.openxmlformats.org/officeDocument/2006/relationships/hyperlink" Target="mailto:FUNGGKC@hkairport.com" TargetMode="External"/><Relationship Id="rId122" Type="http://schemas.openxmlformats.org/officeDocument/2006/relationships/hyperlink" Target="http://10.10.10.209/OASIS_FILE_MANAGER/zip_files_download.php?qid=1478968&amp;serialno=UB25-00006233&amp;itemno=1&amp;token=d23f31f95c7e154f012227d36ac5a7e2" TargetMode="External"/><Relationship Id="rId774" Type="http://schemas.openxmlformats.org/officeDocument/2006/relationships/hyperlink" Target="http://10.10.10.209/OASIS_FILE_MANAGER/zip_files_download.php?qid=1187141&amp;serialno=UB24-00000197&amp;itemno=1&amp;token=a964a32236e9d92cb29b0b25f27a5288" TargetMode="External"/><Relationship Id="rId981" Type="http://schemas.openxmlformats.org/officeDocument/2006/relationships/hyperlink" Target="mailto:allencheung@maxims.com.hk" TargetMode="External"/><Relationship Id="rId427" Type="http://schemas.openxmlformats.org/officeDocument/2006/relationships/hyperlink" Target="http://10.10.10.209/OASIS_FILE_MANAGER/zip_files_download.php?qid=1343432&amp;serialno=UD24-00005453&amp;itemno=1&amp;token=d2fcc63539ab421111515b95e3d48e8c" TargetMode="External"/><Relationship Id="rId634" Type="http://schemas.openxmlformats.org/officeDocument/2006/relationships/hyperlink" Target="http://10.10.10.209/OASIS_FILE_MANAGER/zip_files_download.php?qid=1244444&amp;serialno=UD24-00001650&amp;itemno=1&amp;token=e3c8c002a5d723f8cc9ec5a10009fe8f" TargetMode="External"/><Relationship Id="rId841" Type="http://schemas.openxmlformats.org/officeDocument/2006/relationships/hyperlink" Target="http://10.10.10.209/OASIS_FILE_MANAGER/zip_files_download.php?qid=1146772&amp;serialno=GA23-00007068&amp;itemno=1&amp;token=3a577825b6b079b72327513261726934" TargetMode="External"/><Relationship Id="rId273" Type="http://schemas.openxmlformats.org/officeDocument/2006/relationships/hyperlink" Target="mailto:lamho@hkairport.com" TargetMode="External"/><Relationship Id="rId480" Type="http://schemas.openxmlformats.org/officeDocument/2006/relationships/hyperlink" Target="mailto:qa1team@ha.org.hk" TargetMode="External"/><Relationship Id="rId701" Type="http://schemas.openxmlformats.org/officeDocument/2006/relationships/hyperlink" Target="http://10.10.10.209/OASIS_FILE_MANAGER/zip_files_download.php?qid=1134941&amp;serialno=CB23-00007078&amp;itemno=1&amp;token=d2fcc63539ab421111515b95e3d48e8c" TargetMode="External"/><Relationship Id="rId939" Type="http://schemas.openxmlformats.org/officeDocument/2006/relationships/hyperlink" Target="mailto:allencheung@maxims.com.hk" TargetMode="External"/><Relationship Id="rId68" Type="http://schemas.openxmlformats.org/officeDocument/2006/relationships/hyperlink" Target="mailto:tech.support@hkcsl.com" TargetMode="External"/><Relationship Id="rId133" Type="http://schemas.openxmlformats.org/officeDocument/2006/relationships/hyperlink" Target="mailto:tracy.cs.wong@hkairport.com" TargetMode="External"/><Relationship Id="rId340" Type="http://schemas.openxmlformats.org/officeDocument/2006/relationships/hyperlink" Target="mailto:sylvia.ky.chan@hkairport.com" TargetMode="External"/><Relationship Id="rId578" Type="http://schemas.openxmlformats.org/officeDocument/2006/relationships/hyperlink" Target="http://10.10.10.209/OASIS_FILE_MANAGER/zip_files_download.php?qid=1294921&amp;serialno=UE24-00003866&amp;itemno=1&amp;token=3a577825b6b079b72327513261726934" TargetMode="External"/><Relationship Id="rId785" Type="http://schemas.openxmlformats.org/officeDocument/2006/relationships/hyperlink" Target="mailto:nwg_aws_shared_prd@nwcs.com.hk" TargetMode="External"/><Relationship Id="rId992" Type="http://schemas.openxmlformats.org/officeDocument/2006/relationships/hyperlink" Target="mailto:allencheung@maxims.com.hk" TargetMode="External"/><Relationship Id="rId200" Type="http://schemas.openxmlformats.org/officeDocument/2006/relationships/hyperlink" Target="mailto:apps.google@wkcda.hk" TargetMode="External"/><Relationship Id="rId438" Type="http://schemas.openxmlformats.org/officeDocument/2006/relationships/hyperlink" Target="mailto:youngamk@hkairport.com" TargetMode="External"/><Relationship Id="rId645" Type="http://schemas.openxmlformats.org/officeDocument/2006/relationships/hyperlink" Target="http://10.10.10.209/OASIS_FILE_MANAGER/zip_files_download.php?qid=1236640&amp;serialno=UB24-00002350&amp;itemno=1&amp;token=9f6addcb0d82f484aca6665b5dc9237d" TargetMode="External"/><Relationship Id="rId852" Type="http://schemas.openxmlformats.org/officeDocument/2006/relationships/hyperlink" Target="http://10.10.10.209/OASIS_FILE_MANAGER/zip_files_download.php?qid=1546907&amp;serialno=UC26-00000528&amp;itemno=1&amp;token=1f7415a01d6652b715b0d92d62a0d006" TargetMode="External"/><Relationship Id="rId284" Type="http://schemas.openxmlformats.org/officeDocument/2006/relationships/hyperlink" Target="mailto:roy.tsang@hkairport.com" TargetMode="External"/><Relationship Id="rId491" Type="http://schemas.openxmlformats.org/officeDocument/2006/relationships/hyperlink" Target="http://10.10.10.209/OASIS_FILE_MANAGER/zip_files_download.php?qid=1326541&amp;serialno=UB24-00006711&amp;itemno=1&amp;token=a964a32236e9d92cb29b0b25f27a5288" TargetMode="External"/><Relationship Id="rId505" Type="http://schemas.openxmlformats.org/officeDocument/2006/relationships/hyperlink" Target="mailto:kin.luk@ha.org.hk" TargetMode="External"/><Relationship Id="rId712" Type="http://schemas.openxmlformats.org/officeDocument/2006/relationships/hyperlink" Target="mailto:aws@fano.ai" TargetMode="External"/><Relationship Id="rId79" Type="http://schemas.openxmlformats.org/officeDocument/2006/relationships/hyperlink" Target="mailto:jennyfung@consumer.org.hk" TargetMode="External"/><Relationship Id="rId144" Type="http://schemas.openxmlformats.org/officeDocument/2006/relationships/hyperlink" Target="mailto:radek.chan@wkcda.hk" TargetMode="External"/><Relationship Id="rId589" Type="http://schemas.openxmlformats.org/officeDocument/2006/relationships/hyperlink" Target="http://10.10.10.209/OASIS_FILE_MANAGER/zip_files_download.php?qid=1285654&amp;serialno=UB24-00001859&amp;itemno=1&amp;token=61ab8cd8d23432b22af0854ed48ab6cf" TargetMode="External"/><Relationship Id="rId796" Type="http://schemas.openxmlformats.org/officeDocument/2006/relationships/hyperlink" Target="mailto:bis4cloudadmin@ha.org.hk" TargetMode="External"/><Relationship Id="rId351" Type="http://schemas.openxmlformats.org/officeDocument/2006/relationships/hyperlink" Target="mailto:haru.ng@hkairport.com" TargetMode="External"/><Relationship Id="rId449" Type="http://schemas.openxmlformats.org/officeDocument/2006/relationships/hyperlink" Target="http://10.10.10.209/OASIS_FILE_MANAGER/zip_files_download.php?qid=1336888&amp;serialno=UB24-00007172&amp;itemno=1&amp;token=a964a32236e9d92cb29b0b25f27a5288" TargetMode="External"/><Relationship Id="rId656" Type="http://schemas.openxmlformats.org/officeDocument/2006/relationships/hyperlink" Target="mailto:aws@appsuccesshk.com" TargetMode="External"/><Relationship Id="rId863" Type="http://schemas.openxmlformats.org/officeDocument/2006/relationships/hyperlink" Target="http://10.10.10.209/OASIS_FILE_MANAGER/zip_files_download.php?qid=1548191&amp;serialno=UE26-00000538&amp;itemno=1&amp;token=3a577825b6b079b72327513261726934" TargetMode="External"/><Relationship Id="rId211" Type="http://schemas.openxmlformats.org/officeDocument/2006/relationships/hyperlink" Target="http://10.10.10.209/OASIS_FILE_MANAGER/zip_files_download.php?qid=1441549&amp;serialno=UB25-00004500&amp;itemno=1&amp;token=d23f31f95c7e154f012227d36ac5a7e2" TargetMode="External"/><Relationship Id="rId295" Type="http://schemas.openxmlformats.org/officeDocument/2006/relationships/hyperlink" Target="http://10.10.10.209/OASIS_FILE_MANAGER/zip_files_download.php?qid=1404223&amp;serialno=UB25-00002543&amp;itemno=1&amp;token=d23f31f95c7e154f012227d36ac5a7e2" TargetMode="External"/><Relationship Id="rId309" Type="http://schemas.openxmlformats.org/officeDocument/2006/relationships/hyperlink" Target="mailto:lam.yl.tam@pccw.com" TargetMode="External"/><Relationship Id="rId516" Type="http://schemas.openxmlformats.org/officeDocument/2006/relationships/hyperlink" Target="mailto:asllee@legco.gov.hk" TargetMode="External"/><Relationship Id="rId723" Type="http://schemas.openxmlformats.org/officeDocument/2006/relationships/hyperlink" Target="http://10.10.10.209/OASIS_FILE_MANAGER/zip_files_download.php?qid=1221079&amp;serialno=UB24-00001721&amp;itemno=1&amp;token=a964a32236e9d92cb29b0b25f27a5288" TargetMode="External"/><Relationship Id="rId930" Type="http://schemas.openxmlformats.org/officeDocument/2006/relationships/hyperlink" Target="mailto:allencheung@maxims.com.hk" TargetMode="External"/><Relationship Id="rId1006" Type="http://schemas.openxmlformats.org/officeDocument/2006/relationships/hyperlink" Target="mailto:allencheung@maxims.com.hk" TargetMode="External"/><Relationship Id="rId155" Type="http://schemas.openxmlformats.org/officeDocument/2006/relationships/hyperlink" Target="http://10.10.10.209/OASIS_FILE_MANAGER/zip_files_download.php?qid=1464645&amp;serialno=UB25-00005613&amp;itemno=1&amp;token=61ab8cd8d23432b22af0854ed48ab6cf" TargetMode="External"/><Relationship Id="rId362" Type="http://schemas.openxmlformats.org/officeDocument/2006/relationships/hyperlink" Target="http://10.10.10.209/OASIS_FILE_MANAGER/zip_files_download.php?qid=1373582&amp;serialno=UB25-00001247&amp;itemno=1&amp;token=a964a32236e9d92cb29b0b25f27a5288" TargetMode="External"/><Relationship Id="rId222" Type="http://schemas.openxmlformats.org/officeDocument/2006/relationships/hyperlink" Target="http://10.10.10.209/OASIS_FILE_MANAGER/zip_files_download.php?qid=1435768&amp;serialno=TI25-00003668&amp;itemno=1&amp;token=35a8d3955406018c0aaa17a463f8488b" TargetMode="External"/><Relationship Id="rId667" Type="http://schemas.openxmlformats.org/officeDocument/2006/relationships/hyperlink" Target="http://10.10.10.209/OASIS_FILE_MANAGER/zip_files_download.php?qid=1223483&amp;serialno=UB24-00001800&amp;itemno=1&amp;token=87276d7537153c071cf1e3757f9286fb" TargetMode="External"/><Relationship Id="rId874" Type="http://schemas.openxmlformats.org/officeDocument/2006/relationships/hyperlink" Target="mailto:LM_admin@ayers.com.hk" TargetMode="External"/><Relationship Id="rId17" Type="http://schemas.openxmlformats.org/officeDocument/2006/relationships/hyperlink" Target="mailto:hoitcrc1@ha.org.hk" TargetMode="External"/><Relationship Id="rId527" Type="http://schemas.openxmlformats.org/officeDocument/2006/relationships/hyperlink" Target="http://10.10.10.209/OASIS_FILE_MANAGER/zip_files_download.php?qid=1315484&amp;serialno=UB24-00006171&amp;itemno=1&amp;token=acddc3ef143d61133d36ebdde799eab9" TargetMode="External"/><Relationship Id="rId734" Type="http://schemas.openxmlformats.org/officeDocument/2006/relationships/hyperlink" Target="mailto:hkt.poc.mib@hkt-cloud.com" TargetMode="External"/><Relationship Id="rId941" Type="http://schemas.openxmlformats.org/officeDocument/2006/relationships/hyperlink" Target="mailto:allencheung@maxims.com.hk" TargetMode="External"/><Relationship Id="rId70" Type="http://schemas.openxmlformats.org/officeDocument/2006/relationships/hyperlink" Target="http://10.10.10.209/OASIS_FILE_MANAGER/zip_files_download.php?qid=1506400&amp;serialno=TI25-00008867&amp;itemno=1&amp;token=20d13e571b52f93cb731bae5ff38616e" TargetMode="External"/><Relationship Id="rId166" Type="http://schemas.openxmlformats.org/officeDocument/2006/relationships/hyperlink" Target="http://10.10.10.209/OASIS_FILE_MANAGER/zip_files_download.php?qid=1453925&amp;serialno=UB25-00005126&amp;itemno=1&amp;token=d23f31f95c7e154f012227d36ac5a7e2" TargetMode="External"/><Relationship Id="rId373" Type="http://schemas.openxmlformats.org/officeDocument/2006/relationships/hyperlink" Target="mailto:ricky.au@novostics.hk" TargetMode="External"/><Relationship Id="rId580" Type="http://schemas.openxmlformats.org/officeDocument/2006/relationships/hyperlink" Target="mailto:nwg_aws_legacycrm_nonprd@nwcs.com.hk" TargetMode="External"/><Relationship Id="rId801" Type="http://schemas.openxmlformats.org/officeDocument/2006/relationships/hyperlink" Target="http://10.10.10.209/OASIS_FILE_MANAGER/zip_files_download.php?qid=1169881&amp;serialno=CB24-00000823&amp;itemno=1&amp;token=d2fcc63539ab421111515b95e3d48e8c" TargetMode="External"/><Relationship Id="rId1017" Type="http://schemas.openxmlformats.org/officeDocument/2006/relationships/hyperlink" Target="mailto:allencheung@maxims.com.hk" TargetMode="External"/><Relationship Id="rId1" Type="http://schemas.openxmlformats.org/officeDocument/2006/relationships/hyperlink" Target="mailto:chsamsonleung@hkhs.com" TargetMode="External"/><Relationship Id="rId233" Type="http://schemas.openxmlformats.org/officeDocument/2006/relationships/hyperlink" Target="http://10.10.10.209/OASIS_FILE_MANAGER/zip_files_download.php?qid=1410754&amp;serialno=TI25-00003668&amp;itemno=1&amp;token=35a8d3955406018c0aaa17a463f8488b" TargetMode="External"/><Relationship Id="rId440" Type="http://schemas.openxmlformats.org/officeDocument/2006/relationships/hyperlink" Target="http://10.10.10.209/OASIS_FILE_MANAGER/zip_files_download.php?qid=1341049&amp;serialno=UE24-00005391&amp;itemno=1&amp;token=3a577825b6b079b72327513261726934" TargetMode="External"/><Relationship Id="rId678" Type="http://schemas.openxmlformats.org/officeDocument/2006/relationships/hyperlink" Target="http://10.10.10.209/OASIS_FILE_MANAGER/zip_files_download.php?qid=1223483&amp;serialno=UB24-00001800&amp;itemno=1&amp;token=87276d7537153c071cf1e3757f9286fb" TargetMode="External"/><Relationship Id="rId885" Type="http://schemas.openxmlformats.org/officeDocument/2006/relationships/hyperlink" Target="mailto:dfgp-ali-rtacct@dairy-farm.com.ph" TargetMode="External"/><Relationship Id="rId28" Type="http://schemas.openxmlformats.org/officeDocument/2006/relationships/hyperlink" Target="mailto:hanltdenq@ha.org.hk" TargetMode="External"/><Relationship Id="rId300" Type="http://schemas.openxmlformats.org/officeDocument/2006/relationships/hyperlink" Target="mailto:hkt-cloudproduct@pccw.com" TargetMode="External"/><Relationship Id="rId538" Type="http://schemas.openxmlformats.org/officeDocument/2006/relationships/hyperlink" Target="http://10.10.10.209/OASIS_FILE_MANAGER/zip_files_download.php?qid=1309929&amp;serialno=TI24-00010033&amp;itemno=1&amp;token=80494c88d5b9ff927c743e7c522572f2" TargetMode="External"/><Relationship Id="rId745" Type="http://schemas.openxmlformats.org/officeDocument/2006/relationships/hyperlink" Target="mailto:sunnymak@firstbullion.com" TargetMode="External"/><Relationship Id="rId952" Type="http://schemas.openxmlformats.org/officeDocument/2006/relationships/hyperlink" Target="mailto:allencheung@maxims.com.hk" TargetMode="External"/><Relationship Id="rId81" Type="http://schemas.openxmlformats.org/officeDocument/2006/relationships/hyperlink" Target="mailto:radek.chan@wkcda.hk" TargetMode="External"/><Relationship Id="rId177" Type="http://schemas.openxmlformats.org/officeDocument/2006/relationships/hyperlink" Target="mailto:joseph.leung@axial-partners.com" TargetMode="External"/><Relationship Id="rId384" Type="http://schemas.openxmlformats.org/officeDocument/2006/relationships/hyperlink" Target="mailto:waichung@chowtaifook.com" TargetMode="External"/><Relationship Id="rId591" Type="http://schemas.openxmlformats.org/officeDocument/2006/relationships/hyperlink" Target="mailto:ridley.man@shacombank.com.hk" TargetMode="External"/><Relationship Id="rId605" Type="http://schemas.openxmlformats.org/officeDocument/2006/relationships/hyperlink" Target="mailto:ehealthazuredev@ha.org.hk;%20alex.lk.wong@ha.org.hk" TargetMode="External"/><Relationship Id="rId812" Type="http://schemas.openxmlformats.org/officeDocument/2006/relationships/hyperlink" Target="http://10.10.10.209/OASIS_FILE_MANAGER/zip_files_download.php?qid=1145425&amp;serialno=CB23-00007546&amp;itemno=1&amp;token=6846eac8eff0831566cf6e4382db1f12" TargetMode="External"/><Relationship Id="rId1028" Type="http://schemas.openxmlformats.org/officeDocument/2006/relationships/table" Target="../tables/table1.xml"/><Relationship Id="rId244" Type="http://schemas.openxmlformats.org/officeDocument/2006/relationships/hyperlink" Target="mailto:wongyc3@ha.org.hk" TargetMode="External"/><Relationship Id="rId689" Type="http://schemas.openxmlformats.org/officeDocument/2006/relationships/hyperlink" Target="http://10.10.10.209/OASIS_FILE_MANAGER/zip_files_download.php?qid=1223483&amp;serialno=UB24-00001800&amp;itemno=1&amp;token=87276d7537153c071cf1e3757f9286fb" TargetMode="External"/><Relationship Id="rId896" Type="http://schemas.openxmlformats.org/officeDocument/2006/relationships/hyperlink" Target="mailto:alex.ng@hkstp.org" TargetMode="External"/><Relationship Id="rId39" Type="http://schemas.openxmlformats.org/officeDocument/2006/relationships/hyperlink" Target="mailto:nelson.wong@ha.org.hk" TargetMode="External"/><Relationship Id="rId451" Type="http://schemas.openxmlformats.org/officeDocument/2006/relationships/hyperlink" Target="http://10.10.10.209/OASIS_FILE_MANAGER/zip_files_download.php?qid=1336888&amp;serialno=UB24-00007172&amp;itemno=1&amp;token=a964a32236e9d92cb29b0b25f27a5288" TargetMode="External"/><Relationship Id="rId549" Type="http://schemas.openxmlformats.org/officeDocument/2006/relationships/hyperlink" Target="mailto:kester.leung@hkairport.com" TargetMode="External"/><Relationship Id="rId756" Type="http://schemas.openxmlformats.org/officeDocument/2006/relationships/hyperlink" Target="mailto:itops@mib.com.hk" TargetMode="External"/><Relationship Id="rId104" Type="http://schemas.openxmlformats.org/officeDocument/2006/relationships/hyperlink" Target="mailto:ITADMIN@BGCA.ORG.HK" TargetMode="External"/><Relationship Id="rId188" Type="http://schemas.openxmlformats.org/officeDocument/2006/relationships/hyperlink" Target="mailto:ict_awsadmin_cabinet@mplus.org.hk" TargetMode="External"/><Relationship Id="rId311" Type="http://schemas.openxmlformats.org/officeDocument/2006/relationships/hyperlink" Target="http://10.10.10.209/OASIS_FILE_MANAGER/zip_files_download.php?qid=1398942&amp;serialno=UB25-00002473&amp;itemno=1&amp;token=d23f31f95c7e154f012227d36ac5a7e2" TargetMode="External"/><Relationship Id="rId395" Type="http://schemas.openxmlformats.org/officeDocument/2006/relationships/hyperlink" Target="mailto:nwdaws2@nwd.com.hk" TargetMode="External"/><Relationship Id="rId409" Type="http://schemas.openxmlformats.org/officeDocument/2006/relationships/hyperlink" Target="mailto:tony.ng@hkairport.com" TargetMode="External"/><Relationship Id="rId963" Type="http://schemas.openxmlformats.org/officeDocument/2006/relationships/hyperlink" Target="mailto:allencheung@maxims.com.hk" TargetMode="External"/><Relationship Id="rId92" Type="http://schemas.openxmlformats.org/officeDocument/2006/relationships/hyperlink" Target="http://10.10.10.209/OASIS_FILE_MANAGER/zip_files_download.php?qid=1489594&amp;serialno=UB25-00006668&amp;itemno=1&amp;token=d23f31f95c7e154f012227d36ac5a7e2" TargetMode="External"/><Relationship Id="rId616" Type="http://schemas.openxmlformats.org/officeDocument/2006/relationships/hyperlink" Target="http://10.10.10.209/OASIS_FILE_MANAGER/zip_files_download.php?qid=1258109&amp;serialno=UB24-00003448&amp;itemno=1&amp;token=a964a32236e9d92cb29b0b25f27a5288" TargetMode="External"/><Relationship Id="rId823" Type="http://schemas.openxmlformats.org/officeDocument/2006/relationships/hyperlink" Target="http://10.10.10.209/OASIS_FILE_MANAGER/zip_files_download.php?qid=1153963&amp;serialno=GA24-00000064&amp;itemno=1&amp;token=237b31a7d1fa1e345e3690308e4b677c" TargetMode="External"/><Relationship Id="rId255" Type="http://schemas.openxmlformats.org/officeDocument/2006/relationships/hyperlink" Target="mailto:paul.kwan@hkairport.com" TargetMode="External"/><Relationship Id="rId462" Type="http://schemas.openxmlformats.org/officeDocument/2006/relationships/hyperlink" Target="mailto:k11_aws_crm_prd@nwcs.com.hk" TargetMode="External"/><Relationship Id="rId115" Type="http://schemas.openxmlformats.org/officeDocument/2006/relationships/hyperlink" Target="mailto:max.hk.shiu@hkcsl.com" TargetMode="External"/><Relationship Id="rId322" Type="http://schemas.openxmlformats.org/officeDocument/2006/relationships/hyperlink" Target="http://10.10.10.209/OASIS_FILE_MANAGER/zip_files_download.php?qid=1392886&amp;serialno=TI25-00002686&amp;itemno=1&amp;token=f34952f5ae259823225f76bf8da2f65e" TargetMode="External"/><Relationship Id="rId767" Type="http://schemas.openxmlformats.org/officeDocument/2006/relationships/hyperlink" Target="http://10.10.10.209/OASIS_FILE_MANAGER/zip_files_download.php?qid=1194751&amp;serialno=CB24-00001419&amp;itemno=1&amp;token=d2fcc63539ab421111515b95e3d48e8c" TargetMode="External"/><Relationship Id="rId974" Type="http://schemas.openxmlformats.org/officeDocument/2006/relationships/hyperlink" Target="mailto:allencheung@maxims.com.hk" TargetMode="External"/><Relationship Id="rId199" Type="http://schemas.openxmlformats.org/officeDocument/2006/relationships/hyperlink" Target="mailto:ict_awsadmin@wkcda.hk" TargetMode="External"/><Relationship Id="rId627" Type="http://schemas.openxmlformats.org/officeDocument/2006/relationships/hyperlink" Target="mailto:jackie.wc.chiang@pccw.com" TargetMode="External"/><Relationship Id="rId834" Type="http://schemas.openxmlformats.org/officeDocument/2006/relationships/hyperlink" Target="mailto:terence.lee@hkairport.com" TargetMode="External"/><Relationship Id="rId266" Type="http://schemas.openxmlformats.org/officeDocument/2006/relationships/hyperlink" Target="mailto:infraadmin@Hysan.com.hk" TargetMode="External"/><Relationship Id="rId473" Type="http://schemas.openxmlformats.org/officeDocument/2006/relationships/hyperlink" Target="javascript:openWindow('/servlet/IncidentDetailServlet?incidentId=SD11704088%27);" TargetMode="External"/><Relationship Id="rId680" Type="http://schemas.openxmlformats.org/officeDocument/2006/relationships/hyperlink" Target="http://10.10.10.209/OASIS_FILE_MANAGER/zip_files_download.php?qid=1223483&amp;serialno=UB24-00001800&amp;itemno=1&amp;token=87276d7537153c071cf1e3757f9286fb" TargetMode="External"/><Relationship Id="rId901" Type="http://schemas.openxmlformats.org/officeDocument/2006/relationships/hyperlink" Target="mailto:alex.ng@hkstp.org" TargetMode="External"/><Relationship Id="rId30" Type="http://schemas.openxmlformats.org/officeDocument/2006/relationships/hyperlink" Target="mailto:hanltdenqnp@ha.org.hk" TargetMode="External"/><Relationship Id="rId126" Type="http://schemas.openxmlformats.org/officeDocument/2006/relationships/hyperlink" Target="mailto:aaws.hkiaapdt.socc@hkairport.com%20(PROD)" TargetMode="External"/><Relationship Id="rId333" Type="http://schemas.openxmlformats.org/officeDocument/2006/relationships/hyperlink" Target="mailto:haru.ng@hkairport.com" TargetMode="External"/><Relationship Id="rId540" Type="http://schemas.openxmlformats.org/officeDocument/2006/relationships/hyperlink" Target="mailto:donng@nwcs.com.hk" TargetMode="External"/><Relationship Id="rId778" Type="http://schemas.openxmlformats.org/officeDocument/2006/relationships/hyperlink" Target="http://10.10.10.209/OASIS_FILE_MANAGER/zip_files_download.php?qid=1160519&amp;serialno=GB24-00000443&amp;itemno=1&amp;token=a964a32236e9d92cb29b0b25f27a5288" TargetMode="External"/><Relationship Id="rId985" Type="http://schemas.openxmlformats.org/officeDocument/2006/relationships/hyperlink" Target="mailto:allencheung@maxims.com.hk" TargetMode="External"/><Relationship Id="rId638" Type="http://schemas.openxmlformats.org/officeDocument/2006/relationships/hyperlink" Target="http://10.10.10.209/OASIS_FILE_MANAGER/zip_files_download.php?qid=1240096&amp;serialno=UE24-00001919&amp;itemno=1&amp;token=3a577825b6b079b72327513261726934" TargetMode="External"/><Relationship Id="rId845" Type="http://schemas.openxmlformats.org/officeDocument/2006/relationships/hyperlink" Target="mailto:it-prod1@hksi.org" TargetMode="External"/><Relationship Id="rId277" Type="http://schemas.openxmlformats.org/officeDocument/2006/relationships/hyperlink" Target="http://10.10.10.209/OASIS_FILE_MANAGER/zip_files_download.php?qid=1435768&amp;serialno=TI25-00003668&amp;itemno=1&amp;token=35a8d3955406018c0aaa17a463f8488b" TargetMode="External"/><Relationship Id="rId400" Type="http://schemas.openxmlformats.org/officeDocument/2006/relationships/hyperlink" Target="mailto:donng@nwcs.com.hk" TargetMode="External"/><Relationship Id="rId484" Type="http://schemas.openxmlformats.org/officeDocument/2006/relationships/hyperlink" Target="mailto:Jack.xiong@bacn.com.cn" TargetMode="External"/><Relationship Id="rId705" Type="http://schemas.openxmlformats.org/officeDocument/2006/relationships/hyperlink" Target="http://10.10.10.209/OASIS_FILE_MANAGER/zip_files_download.php?qid=1225407&amp;serialno=UD24-00001552&amp;itemno=1&amp;token=e3c8c002a5d723f8cc9ec5a10009fe8f" TargetMode="External"/><Relationship Id="rId137" Type="http://schemas.openxmlformats.org/officeDocument/2006/relationships/hyperlink" Target="mailto:radek.chan@wkcda.hk" TargetMode="External"/><Relationship Id="rId344" Type="http://schemas.openxmlformats.org/officeDocument/2006/relationships/hyperlink" Target="http://10.10.10.209/OASIS_FILE_MANAGER/zip_files_download.php?qid=1378898&amp;serialno=UB25-00001519&amp;itemno=1&amp;token=a964a32236e9d92cb29b0b25f27a5288" TargetMode="External"/><Relationship Id="rId691" Type="http://schemas.openxmlformats.org/officeDocument/2006/relationships/hyperlink" Target="http://10.10.10.209/OASIS_FILE_MANAGER/zip_files_download.php?qid=1223483&amp;serialno=UB24-00001800&amp;itemno=1&amp;token=87276d7537153c071cf1e3757f9286fb" TargetMode="External"/><Relationship Id="rId789" Type="http://schemas.openxmlformats.org/officeDocument/2006/relationships/hyperlink" Target="http://10.10.10.209/OASIS_FILE_MANAGER/zip_files_download.php?qid=1181440&amp;serialno=CB24-00001360&amp;itemno=1&amp;token=6846eac8eff0831566cf6e4382db1f12" TargetMode="External"/><Relationship Id="rId912" Type="http://schemas.openxmlformats.org/officeDocument/2006/relationships/hyperlink" Target="mailto:dry.yuen@ha.org.hk" TargetMode="External"/><Relationship Id="rId996" Type="http://schemas.openxmlformats.org/officeDocument/2006/relationships/hyperlink" Target="mailto:allencheung@maxims.com.hk" TargetMode="External"/><Relationship Id="rId41" Type="http://schemas.openxmlformats.org/officeDocument/2006/relationships/hyperlink" Target="http://10.10.10.209/OASIS_FILE_MANAGER/zip_files_download.php?qid=1517748&amp;serialno=UB25-00008036&amp;itemno=1&amp;token=61ab8cd8d23432b22af0854ed48ab6cf" TargetMode="External"/><Relationship Id="rId551" Type="http://schemas.openxmlformats.org/officeDocument/2006/relationships/hyperlink" Target="javascript:openWindow('/servlet/IncidentDetailServlet?incidentId=SD11691360%27);" TargetMode="External"/><Relationship Id="rId649" Type="http://schemas.openxmlformats.org/officeDocument/2006/relationships/hyperlink" Target="http://10.10.10.209/OASIS_FILE_MANAGER/zip_files_download.php?qid=1234772&amp;serialno=UB24-00002306&amp;itemno=1&amp;token=a964a32236e9d92cb29b0b25f27a5288" TargetMode="External"/><Relationship Id="rId856" Type="http://schemas.openxmlformats.org/officeDocument/2006/relationships/hyperlink" Target="mailto:wwlng@sfc.hk" TargetMode="External"/><Relationship Id="rId190" Type="http://schemas.openxmlformats.org/officeDocument/2006/relationships/hyperlink" Target="mailto:ict_awsadmin_wcms@wkcda.hk" TargetMode="External"/><Relationship Id="rId204" Type="http://schemas.openxmlformats.org/officeDocument/2006/relationships/hyperlink" Target="http://10.10.10.209/OASIS_FILE_MANAGER/zip_files_download.php?qid=1446556&amp;serialno=TI25-00005648&amp;itemno=1&amp;token=6a018acb188f88fcba14dcc50c3a9345" TargetMode="External"/><Relationship Id="rId288" Type="http://schemas.openxmlformats.org/officeDocument/2006/relationships/hyperlink" Target="http://10.10.10.209/OASIS_FILE_MANAGER/zip_files_download.php?qid=1407208&amp;serialno=UB25-00002717&amp;itemno=1&amp;token=d23f31f95c7e154f012227d36ac5a7e2" TargetMode="External"/><Relationship Id="rId411" Type="http://schemas.openxmlformats.org/officeDocument/2006/relationships/hyperlink" Target="mailto:tony.ng@hkairport.com" TargetMode="External"/><Relationship Id="rId509" Type="http://schemas.openxmlformats.org/officeDocument/2006/relationships/hyperlink" Target="mailto:cimsehp12asl@ha.org.hk" TargetMode="External"/><Relationship Id="rId495" Type="http://schemas.openxmlformats.org/officeDocument/2006/relationships/hyperlink" Target="mailto:waichung@chowtaifook.com" TargetMode="External"/><Relationship Id="rId716" Type="http://schemas.openxmlformats.org/officeDocument/2006/relationships/hyperlink" Target="http://10.10.10.209/OASIS_FILE_MANAGER/zip_files_download.php?qid=1222506&amp;serialno=UE24-00001235&amp;itemno=1&amp;token=3a577825b6b079b72327513261726934" TargetMode="External"/><Relationship Id="rId923" Type="http://schemas.openxmlformats.org/officeDocument/2006/relationships/hyperlink" Target="mailto:awspayerid048@hkbn.com.hk" TargetMode="External"/><Relationship Id="rId52" Type="http://schemas.openxmlformats.org/officeDocument/2006/relationships/hyperlink" Target="http://10.10.10.209/OASIS_FILE_MANAGER/zip_files_download.php?qid=1517194&amp;serialno=UD25-00005746&amp;itemno=1&amp;token=d2fcc63539ab421111515b95e3d48e8c" TargetMode="External"/><Relationship Id="rId148" Type="http://schemas.openxmlformats.org/officeDocument/2006/relationships/hyperlink" Target="mailto:it@hkfinance.com.hk" TargetMode="External"/><Relationship Id="rId355" Type="http://schemas.openxmlformats.org/officeDocument/2006/relationships/hyperlink" Target="http://10.10.10.209/OASIS_FILE_MANAGER/zip_files_download.php?qid=1375836&amp;serialno=UB25-00001391&amp;itemno=1&amp;token=acddc3ef143d61133d36ebdde799eab9" TargetMode="External"/><Relationship Id="rId562" Type="http://schemas.openxmlformats.org/officeDocument/2006/relationships/hyperlink" Target="mailto:FUNGGKC@hkairport.com" TargetMode="External"/><Relationship Id="rId215" Type="http://schemas.openxmlformats.org/officeDocument/2006/relationships/hyperlink" Target="mailto:borasiu@experience11.com" TargetMode="External"/><Relationship Id="rId422" Type="http://schemas.openxmlformats.org/officeDocument/2006/relationships/hyperlink" Target="mailto:bonnie.liang@keysen.com.hk" TargetMode="External"/><Relationship Id="rId867" Type="http://schemas.openxmlformats.org/officeDocument/2006/relationships/hyperlink" Target="mailto:alan.kh.lai@fwd.com" TargetMode="External"/><Relationship Id="rId299" Type="http://schemas.openxmlformats.org/officeDocument/2006/relationships/hyperlink" Target="mailto:hkt-cloudproduct@pccw.com" TargetMode="External"/><Relationship Id="rId727" Type="http://schemas.openxmlformats.org/officeDocument/2006/relationships/hyperlink" Target="http://10.10.10.209/OASIS_FILE_MANAGER/zip_files_download.php?qid=1202232&amp;serialno=UC24-00000930&amp;itemno=1&amp;token=3c7bd89e447a74f822154e4023a9e10e" TargetMode="External"/><Relationship Id="rId934" Type="http://schemas.openxmlformats.org/officeDocument/2006/relationships/hyperlink" Target="mailto:allencheung@maxims.com.hk" TargetMode="External"/><Relationship Id="rId63" Type="http://schemas.openxmlformats.org/officeDocument/2006/relationships/hyperlink" Target="http://10.10.10.209/OASIS_FILE_MANAGER/zip_files_download.php?qid=1509342&amp;serialno=UE25-00005226&amp;itemno=1&amp;token=3a577825b6b079b72327513261726934" TargetMode="External"/><Relationship Id="rId159" Type="http://schemas.openxmlformats.org/officeDocument/2006/relationships/hyperlink" Target="http://10.10.10.209/OASIS_FILE_MANAGER/zip_files_download.php?qid=1453935&amp;serialno=UB25-00005128&amp;itemno=1&amp;token=d23f31f95c7e154f012227d36ac5a7e2" TargetMode="External"/><Relationship Id="rId366" Type="http://schemas.openxmlformats.org/officeDocument/2006/relationships/hyperlink" Target="http://10.10.10.209/OASIS_FILE_MANAGER/zip_files_download.php?qid=1379965&amp;serialno=UB25-00001203&amp;itemno=1&amp;token=af50099303274d2705c0de237b390e2a" TargetMode="External"/><Relationship Id="rId573" Type="http://schemas.openxmlformats.org/officeDocument/2006/relationships/hyperlink" Target="mailto:donng@nwcs.com.hk" TargetMode="External"/><Relationship Id="rId780" Type="http://schemas.openxmlformats.org/officeDocument/2006/relationships/hyperlink" Target="mailto:ehr.ai6sup@ha.org.hk" TargetMode="External"/><Relationship Id="rId226" Type="http://schemas.openxmlformats.org/officeDocument/2006/relationships/hyperlink" Target="http://10.10.10.209/OASIS_FILE_MANAGER/zip_files_download.php?qid=1435768&amp;serialno=TI25-00003668&amp;itemno=1&amp;token=35a8d3955406018c0aaa17a463f8488b" TargetMode="External"/><Relationship Id="rId433" Type="http://schemas.openxmlformats.org/officeDocument/2006/relationships/hyperlink" Target="mailto:sec-it-infra-ali-stag@crypto.com" TargetMode="External"/><Relationship Id="rId878" Type="http://schemas.openxmlformats.org/officeDocument/2006/relationships/hyperlink" Target="mailto:alankwan@dchbi.com" TargetMode="External"/><Relationship Id="rId640" Type="http://schemas.openxmlformats.org/officeDocument/2006/relationships/hyperlink" Target="mailto:admin.ps@psuccesshk.com" TargetMode="External"/><Relationship Id="rId738" Type="http://schemas.openxmlformats.org/officeDocument/2006/relationships/hyperlink" Target="mailto:hoehp4odcsuppac@ha.org.hk" TargetMode="External"/><Relationship Id="rId945" Type="http://schemas.openxmlformats.org/officeDocument/2006/relationships/hyperlink" Target="mailto:allencheung@maxims.com.hk" TargetMode="External"/><Relationship Id="rId74" Type="http://schemas.openxmlformats.org/officeDocument/2006/relationships/hyperlink" Target="http://10.10.10.209/OASIS_FILE_MANAGER/zip_files_download.php?qid=1499118&amp;serialno=UC25-00007952&amp;itemno=1&amp;token=5ec2997e53fb37238f0358c51f50024f" TargetMode="External"/><Relationship Id="rId377" Type="http://schemas.openxmlformats.org/officeDocument/2006/relationships/hyperlink" Target="http://10.10.10.209/OASIS_FILE_MANAGER/zip_files_download.php?qid=1366613&amp;serialno=TI25-00000928&amp;itemno=1&amp;token=6fbe529a4a66811c5de6f5ab471f328d" TargetMode="External"/><Relationship Id="rId500" Type="http://schemas.openxmlformats.org/officeDocument/2006/relationships/hyperlink" Target="mailto:cstcb2024@gmail.com" TargetMode="External"/><Relationship Id="rId584" Type="http://schemas.openxmlformats.org/officeDocument/2006/relationships/hyperlink" Target="http://10.10.10.209/OASIS_FILE_MANAGER/zip_files_download.php?qid=1292217&amp;serialno=UB24-00005086&amp;itemno=1&amp;token=a964a32236e9d92cb29b0b25f27a5288" TargetMode="External"/><Relationship Id="rId805" Type="http://schemas.openxmlformats.org/officeDocument/2006/relationships/hyperlink" Target="mailto:acheung@esrichina.hk" TargetMode="External"/><Relationship Id="rId5" Type="http://schemas.openxmlformats.org/officeDocument/2006/relationships/hyperlink" Target="mailto:carmen.km.wong@hkairport.com" TargetMode="External"/><Relationship Id="rId237" Type="http://schemas.openxmlformats.org/officeDocument/2006/relationships/hyperlink" Target="mailto:alicloud_ems_uat@chowtaifook.com" TargetMode="External"/><Relationship Id="rId791" Type="http://schemas.openxmlformats.org/officeDocument/2006/relationships/hyperlink" Target="http://10.10.10.209/OASIS_FILE_MANAGER/zip_files_download.php?qid=1181440&amp;serialno=CB24-00001360&amp;itemno=1&amp;token=6846eac8eff0831566cf6e4382db1f12" TargetMode="External"/><Relationship Id="rId889" Type="http://schemas.openxmlformats.org/officeDocument/2006/relationships/hyperlink" Target="mailto:alex.ng@hkstp.org" TargetMode="External"/><Relationship Id="rId444" Type="http://schemas.openxmlformats.org/officeDocument/2006/relationships/hyperlink" Target="mailto:nelson.wong@ha.org.hk" TargetMode="External"/><Relationship Id="rId651" Type="http://schemas.openxmlformats.org/officeDocument/2006/relationships/hyperlink" Target="http://10.10.10.209/OASIS_FILE_MANAGER/zip_files_download.php?qid=1203291&amp;serialno=UE24-00000605&amp;itemno=1&amp;token=6846eac8eff0831566cf6e4382db1f12" TargetMode="External"/><Relationship Id="rId749" Type="http://schemas.openxmlformats.org/officeDocument/2006/relationships/hyperlink" Target="mailto:nwd_aws_hkpss_nonprd@nwcs.com.hk" TargetMode="External"/><Relationship Id="rId290" Type="http://schemas.openxmlformats.org/officeDocument/2006/relationships/hyperlink" Target="http://10.10.10.209/OASIS_FILE_MANAGER/zip_files_download.php?qid=1407033&amp;serialno=BBSMA25-00000320&amp;itemno=1&amp;token=0cc88db95574e130f1ff0784c353575e" TargetMode="External"/><Relationship Id="rId304" Type="http://schemas.openxmlformats.org/officeDocument/2006/relationships/hyperlink" Target="mailto:awsadmin@consumer.org.hk" TargetMode="External"/><Relationship Id="rId388" Type="http://schemas.openxmlformats.org/officeDocument/2006/relationships/hyperlink" Target="mailto:tony.chan@jardines.com" TargetMode="External"/><Relationship Id="rId511" Type="http://schemas.openxmlformats.org/officeDocument/2006/relationships/hyperlink" Target="mailto:cimsehp12dental@ha.org.hk" TargetMode="External"/><Relationship Id="rId609" Type="http://schemas.openxmlformats.org/officeDocument/2006/relationships/hyperlink" Target="http://10.10.10.209/OASIS_FILE_MANAGER/zip_files_download.php?qid=1273805&amp;serialno=UB24-00004156&amp;itemno=1&amp;token=acddc3ef143d61133d36ebdde799eab9" TargetMode="External"/><Relationship Id="rId956" Type="http://schemas.openxmlformats.org/officeDocument/2006/relationships/hyperlink" Target="mailto:allencheung@maxims.com.hk" TargetMode="External"/><Relationship Id="rId85" Type="http://schemas.openxmlformats.org/officeDocument/2006/relationships/hyperlink" Target="http://10.10.10.209/OASIS_FILE_MANAGER/zip_files_download.php?qid=1491306&amp;serialno=UB25-00006798&amp;itemno=1&amp;token=4df4ea844146959ea5a85cce476f77c8" TargetMode="External"/><Relationship Id="rId150" Type="http://schemas.openxmlformats.org/officeDocument/2006/relationships/hyperlink" Target="mailto:peter@hkfinance.com.hk" TargetMode="External"/><Relationship Id="rId595" Type="http://schemas.openxmlformats.org/officeDocument/2006/relationships/hyperlink" Target="mailto:ridley.man@shacombank.com.hk" TargetMode="External"/><Relationship Id="rId816" Type="http://schemas.openxmlformats.org/officeDocument/2006/relationships/hyperlink" Target="http://10.10.10.209/OASIS_FILE_MANAGER/zip_files_download.php?qid=1165566&amp;serialno=CB24-00000602&amp;itemno=1&amp;token=d2fcc63539ab421111515b95e3d48e8c" TargetMode="External"/><Relationship Id="rId1001" Type="http://schemas.openxmlformats.org/officeDocument/2006/relationships/hyperlink" Target="mailto:allencheung@maxims.com.hk" TargetMode="External"/><Relationship Id="rId248" Type="http://schemas.openxmlformats.org/officeDocument/2006/relationships/hyperlink" Target="mailto:1.2573@value-exch.com" TargetMode="External"/><Relationship Id="rId455" Type="http://schemas.openxmlformats.org/officeDocument/2006/relationships/hyperlink" Target="mailto:dhcawsclddev@ha.org.hk" TargetMode="External"/><Relationship Id="rId662" Type="http://schemas.openxmlformats.org/officeDocument/2006/relationships/hyperlink" Target="http://10.10.10.209/OASIS_FILE_MANAGER/zip_files_download.php?qid=1223483&amp;serialno=UB24-00001800&amp;itemno=1&amp;token=87276d7537153c071cf1e3757f9286fb" TargetMode="External"/><Relationship Id="rId12" Type="http://schemas.openxmlformats.org/officeDocument/2006/relationships/hyperlink" Target="mailto:waichung@chowtaifook.com" TargetMode="External"/><Relationship Id="rId108" Type="http://schemas.openxmlformats.org/officeDocument/2006/relationships/hyperlink" Target="mailto:service_aws@nwcl.com.hk" TargetMode="External"/><Relationship Id="rId315" Type="http://schemas.openxmlformats.org/officeDocument/2006/relationships/hyperlink" Target="mailto:sylvia.ky.chan@hkairport.com" TargetMode="External"/><Relationship Id="rId522" Type="http://schemas.openxmlformats.org/officeDocument/2006/relationships/hyperlink" Target="mailto:waichung@chowtaifook.com" TargetMode="External"/><Relationship Id="rId967" Type="http://schemas.openxmlformats.org/officeDocument/2006/relationships/hyperlink" Target="mailto:allencheung@maxims.com.hk" TargetMode="External"/><Relationship Id="rId96" Type="http://schemas.openxmlformats.org/officeDocument/2006/relationships/hyperlink" Target="http://10.10.10.209/OASIS_FILE_MANAGER/zip_files_download.php?qid=1487891&amp;serialno=UC25-00007385&amp;itemno=1&amp;token=d5930855ed8007f89d9b460d9cfb7a29" TargetMode="External"/><Relationship Id="rId161" Type="http://schemas.openxmlformats.org/officeDocument/2006/relationships/hyperlink" Target="http://10.10.10.209/OASIS_FILE_MANAGER/zip_files_download.php?qid=1461964&amp;serialno=UB25-00004016&amp;itemno=1&amp;token=d23f31f95c7e154f012227d36ac5a7e2" TargetMode="External"/><Relationship Id="rId399" Type="http://schemas.openxmlformats.org/officeDocument/2006/relationships/hyperlink" Target="mailto:admin.ps@psuccesshk.com" TargetMode="External"/><Relationship Id="rId827" Type="http://schemas.openxmlformats.org/officeDocument/2006/relationships/hyperlink" Target="http://10.10.10.209/OASIS_FILE_MANAGER/zip_files_download.php?qid=1150599&amp;serialno=CB23-00007763&amp;itemno=1&amp;token=6846eac8eff0831566cf6e4382db1f12" TargetMode="External"/><Relationship Id="rId1012" Type="http://schemas.openxmlformats.org/officeDocument/2006/relationships/hyperlink" Target="mailto:allencheung@maxims.com.hk" TargetMode="External"/><Relationship Id="rId259" Type="http://schemas.openxmlformats.org/officeDocument/2006/relationships/hyperlink" Target="mailto:ridley.man@shacombank.com.hk" TargetMode="External"/><Relationship Id="rId466" Type="http://schemas.openxmlformats.org/officeDocument/2006/relationships/hyperlink" Target="mailto:donng@nwcs.com.hk" TargetMode="External"/><Relationship Id="rId673" Type="http://schemas.openxmlformats.org/officeDocument/2006/relationships/hyperlink" Target="http://10.10.10.209/OASIS_FILE_MANAGER/zip_files_download.php?qid=1223483&amp;serialno=UB24-00001800&amp;itemno=1&amp;token=87276d7537153c071cf1e3757f9286fb" TargetMode="External"/><Relationship Id="rId880" Type="http://schemas.openxmlformats.org/officeDocument/2006/relationships/hyperlink" Target="mailto:alicloud_customerfacing_uat@chowtaifook.com" TargetMode="External"/><Relationship Id="rId23" Type="http://schemas.openxmlformats.org/officeDocument/2006/relationships/hyperlink" Target="http://10.10.10.209/OASIS_FILE_MANAGER/zip_files_download.php?qid=1529995&amp;serialno=UB25-00008568&amp;itemno=1&amp;token=4df4ea844146959ea5a85cce476f77c8" TargetMode="External"/><Relationship Id="rId119" Type="http://schemas.openxmlformats.org/officeDocument/2006/relationships/hyperlink" Target="mailto:aws.hkiaapdt.sqcc@hkairport.com%20(sqcc)" TargetMode="External"/><Relationship Id="rId326" Type="http://schemas.openxmlformats.org/officeDocument/2006/relationships/hyperlink" Target="mailto:frankie.fl.chan@clp.com.hk" TargetMode="External"/><Relationship Id="rId533" Type="http://schemas.openxmlformats.org/officeDocument/2006/relationships/hyperlink" Target="mailto:itdadmin@chowsangsang.com" TargetMode="External"/><Relationship Id="rId978" Type="http://schemas.openxmlformats.org/officeDocument/2006/relationships/hyperlink" Target="mailto:allencheung@maxims.com.hk" TargetMode="External"/><Relationship Id="rId740" Type="http://schemas.openxmlformats.org/officeDocument/2006/relationships/hyperlink" Target="http://10.10.10.209/OASIS_FILE_MANAGER/zip_files_download.php?qid=1205122&amp;serialno=UE24-00000646&amp;itemno=1&amp;token=3a577825b6b079b72327513261726934" TargetMode="External"/><Relationship Id="rId838" Type="http://schemas.openxmlformats.org/officeDocument/2006/relationships/hyperlink" Target="http://10.10.10.209/OASIS_FILE_MANAGER/zip_files_download.php?qid=1145157&amp;serialno=GB23-00007455&amp;itemno=1&amp;token=87276d7537153c071cf1e3757f9286fb" TargetMode="External"/><Relationship Id="rId1023" Type="http://schemas.openxmlformats.org/officeDocument/2006/relationships/hyperlink" Target="mailto:allencheung@maxims.com.hk" TargetMode="External"/><Relationship Id="rId172" Type="http://schemas.openxmlformats.org/officeDocument/2006/relationships/hyperlink" Target="mailto:candice.wm.chan@hkairport.com" TargetMode="External"/><Relationship Id="rId477" Type="http://schemas.openxmlformats.org/officeDocument/2006/relationships/hyperlink" Target="mailto:nelson.wong@ha.org.hk" TargetMode="External"/><Relationship Id="rId600" Type="http://schemas.openxmlformats.org/officeDocument/2006/relationships/hyperlink" Target="http://10.10.10.209/OASIS_FILE_MANAGER/zip_files_download.php?qid=1261783&amp;serialno=UD24-00002668&amp;itemno=1&amp;token=e3c8c002a5d723f8cc9ec5a10009fe8f" TargetMode="External"/><Relationship Id="rId684" Type="http://schemas.openxmlformats.org/officeDocument/2006/relationships/hyperlink" Target="http://10.10.10.209/OASIS_FILE_MANAGER/zip_files_download.php?qid=1223483&amp;serialno=UB24-00001800&amp;itemno=1&amp;token=87276d7537153c071cf1e3757f9286fb" TargetMode="External"/><Relationship Id="rId337" Type="http://schemas.openxmlformats.org/officeDocument/2006/relationships/hyperlink" Target="http://10.10.10.209/OASIS_FILE_MANAGER/zip_files_download.php?qid=1379162&amp;serialno=TI25-00001873&amp;itemno=1&amp;token=65d9bdc4f8c51deb655f4357572371ae" TargetMode="External"/><Relationship Id="rId891" Type="http://schemas.openxmlformats.org/officeDocument/2006/relationships/hyperlink" Target="mailto:alex.ng@hkstp.org" TargetMode="External"/><Relationship Id="rId905" Type="http://schemas.openxmlformats.org/officeDocument/2006/relationships/hyperlink" Target="mailto:dify@rd-eqmdqa.aliyunid.com" TargetMode="External"/><Relationship Id="rId989" Type="http://schemas.openxmlformats.org/officeDocument/2006/relationships/hyperlink" Target="mailto:allencheung@maxims.com.hk" TargetMode="External"/><Relationship Id="rId34" Type="http://schemas.openxmlformats.org/officeDocument/2006/relationships/hyperlink" Target="http://10.10.10.209/OASIS_FILE_MANAGER/zip_files_download.php?qid=1520626&amp;serialno=TI25-00009220&amp;itemno=1&amp;token=a327c543c1f68300421f4d77f1df956f" TargetMode="External"/><Relationship Id="rId544" Type="http://schemas.openxmlformats.org/officeDocument/2006/relationships/hyperlink" Target="mailto:kester.leung@hkairport.com" TargetMode="External"/><Relationship Id="rId751" Type="http://schemas.openxmlformats.org/officeDocument/2006/relationships/hyperlink" Target="mailto:donng@nwcs.com.hk" TargetMode="External"/><Relationship Id="rId849" Type="http://schemas.openxmlformats.org/officeDocument/2006/relationships/hyperlink" Target="mailto:it@hksi.orgAWS%20ID%20:%20644017739101" TargetMode="External"/><Relationship Id="rId183" Type="http://schemas.openxmlformats.org/officeDocument/2006/relationships/hyperlink" Target="mailto:ict_awsadmin_mpliuxin@mplus.org.hk" TargetMode="External"/><Relationship Id="rId390" Type="http://schemas.openxmlformats.org/officeDocument/2006/relationships/hyperlink" Target="mailto:k11-aws-loyalty-engine-prd@nws.com.hk" TargetMode="External"/><Relationship Id="rId404" Type="http://schemas.openxmlformats.org/officeDocument/2006/relationships/hyperlink" Target="mailto:FUNGGKC@hkairport.com" TargetMode="External"/><Relationship Id="rId611" Type="http://schemas.openxmlformats.org/officeDocument/2006/relationships/hyperlink" Target="http://10.10.10.209/OASIS_FILE_MANAGER/zip_files_download.php?qid=1273751&amp;serialno=UB24-00003022&amp;itemno=1&amp;token=acddc3ef143d61133d36ebdde799eab9" TargetMode="External"/><Relationship Id="rId250" Type="http://schemas.openxmlformats.org/officeDocument/2006/relationships/hyperlink" Target="http://10.10.10.209/OASIS_FILE_MANAGER/zip_files_download.php?qid=1431553&amp;serialno=UB25-00004023&amp;itemno=1&amp;token=d23f31f95c7e154f012227d36ac5a7e2" TargetMode="External"/><Relationship Id="rId488" Type="http://schemas.openxmlformats.org/officeDocument/2006/relationships/hyperlink" Target="http://10.10.10.209/OASIS_FILE_MANAGER/zip_files_download.php?qid=1326541&amp;serialno=UB24-00006711&amp;itemno=1&amp;token=a964a32236e9d92cb29b0b25f27a5288" TargetMode="External"/><Relationship Id="rId695" Type="http://schemas.openxmlformats.org/officeDocument/2006/relationships/hyperlink" Target="http://10.10.10.209/OASIS_FILE_MANAGER/zip_files_download.php?qid=1223483&amp;serialno=UB24-00001800&amp;itemno=1&amp;token=87276d7537153c071cf1e3757f9286fb" TargetMode="External"/><Relationship Id="rId709" Type="http://schemas.openxmlformats.org/officeDocument/2006/relationships/hyperlink" Target="mailto:aws.billing@shacombank.com.hk" TargetMode="External"/><Relationship Id="rId916" Type="http://schemas.openxmlformats.org/officeDocument/2006/relationships/hyperlink" Target="mailto:sup_it@legco.gov.hk" TargetMode="External"/><Relationship Id="rId45" Type="http://schemas.openxmlformats.org/officeDocument/2006/relationships/hyperlink" Target="mailto:AWS_tmarkwebapppro@chowtaifook.com" TargetMode="External"/><Relationship Id="rId110" Type="http://schemas.openxmlformats.org/officeDocument/2006/relationships/hyperlink" Target="mailto:joe.ng@ayers.com.hk" TargetMode="External"/><Relationship Id="rId348" Type="http://schemas.openxmlformats.org/officeDocument/2006/relationships/hyperlink" Target="mailto:kitson_ng@hiphing.com.hk" TargetMode="External"/><Relationship Id="rId555" Type="http://schemas.openxmlformats.org/officeDocument/2006/relationships/hyperlink" Target="mailto:ailabodcdev@ha.org.hk" TargetMode="External"/><Relationship Id="rId762" Type="http://schemas.openxmlformats.org/officeDocument/2006/relationships/hyperlink" Target="mailto:jacky.leung.k.c@chowsangsang.com" TargetMode="External"/><Relationship Id="rId194" Type="http://schemas.openxmlformats.org/officeDocument/2006/relationships/hyperlink" Target="mailto:ict_awsadmin_opendata@wkcda.hk" TargetMode="External"/><Relationship Id="rId208" Type="http://schemas.openxmlformats.org/officeDocument/2006/relationships/hyperlink" Target="http://10.10.10.209/OASIS_FILE_MANAGER/zip_files_download.php?qid=1444348&amp;serialno=UB25-00004662&amp;itemno=1&amp;token=a964a32236e9d92cb29b0b25f27a5288" TargetMode="External"/><Relationship Id="rId415" Type="http://schemas.openxmlformats.org/officeDocument/2006/relationships/hyperlink" Target="mailto:iris.pang@jardines.com" TargetMode="External"/><Relationship Id="rId622" Type="http://schemas.openxmlformats.org/officeDocument/2006/relationships/hyperlink" Target="http://10.10.10.209/OASIS_FILE_MANAGER/zip_files_download.php?qid=1256250&amp;serialno=TI24-00006439&amp;itemno=1&amp;token=fab2253c2accb5e45faaa6a342625059" TargetMode="External"/><Relationship Id="rId261" Type="http://schemas.openxmlformats.org/officeDocument/2006/relationships/hyperlink" Target="http://10.10.10.209/OASIS_FILE_MANAGER/zip_files_download.php?qid=1428326&amp;serialno=TI25-00004164&amp;itemno=1&amp;token=a327c543c1f68300421f4d77f1df956f" TargetMode="External"/><Relationship Id="rId499" Type="http://schemas.openxmlformats.org/officeDocument/2006/relationships/hyperlink" Target="http://10.10.10.209/OASIS_FILE_MANAGER/zip_files_download.php?qid=1324457&amp;serialno=UB24-00006591&amp;itemno=1&amp;token=acddc3ef143d61133d36ebdde799eab9" TargetMode="External"/><Relationship Id="rId927" Type="http://schemas.openxmlformats.org/officeDocument/2006/relationships/hyperlink" Target="mailto:sboa_prepro@maxims.com.hk" TargetMode="External"/><Relationship Id="rId56" Type="http://schemas.openxmlformats.org/officeDocument/2006/relationships/hyperlink" Target="mailto:aws_tmarkwebapppro@chowtaifook.com" TargetMode="External"/><Relationship Id="rId359" Type="http://schemas.openxmlformats.org/officeDocument/2006/relationships/hyperlink" Target="mailto:hagocalcs@ha.org.hk" TargetMode="External"/><Relationship Id="rId566" Type="http://schemas.openxmlformats.org/officeDocument/2006/relationships/hyperlink" Target="http://10.10.10.209/OASIS_FILE_MANAGER/zip_files_download.php?qid=1294745&amp;serialno=UB24-00005216&amp;itemno=1&amp;token=acddc3ef143d61133d36ebdde799eab9" TargetMode="External"/><Relationship Id="rId773" Type="http://schemas.openxmlformats.org/officeDocument/2006/relationships/hyperlink" Target="mailto:aiocraatsupp@ha.org.hk" TargetMode="External"/><Relationship Id="rId121" Type="http://schemas.openxmlformats.org/officeDocument/2006/relationships/hyperlink" Target="mailto:admin1@firstbullion.com" TargetMode="External"/><Relationship Id="rId219" Type="http://schemas.openxmlformats.org/officeDocument/2006/relationships/hyperlink" Target="mailto:hkt-redlab@hkt-cloud.com" TargetMode="External"/><Relationship Id="rId426" Type="http://schemas.openxmlformats.org/officeDocument/2006/relationships/hyperlink" Target="mailto:waichung@chowtaifook.com" TargetMode="External"/><Relationship Id="rId633" Type="http://schemas.openxmlformats.org/officeDocument/2006/relationships/hyperlink" Target="http://10.10.10.209/OASIS_FILE_MANAGER/zip_files_download.php?qid=1243941&amp;serialno=UE24-00002080&amp;itemno=1&amp;token=3a577825b6b079b72327513261726934" TargetMode="External"/><Relationship Id="rId980" Type="http://schemas.openxmlformats.org/officeDocument/2006/relationships/hyperlink" Target="mailto:allencheung@maxims.com.hk" TargetMode="External"/><Relationship Id="rId840" Type="http://schemas.openxmlformats.org/officeDocument/2006/relationships/hyperlink" Target="http://10.10.10.209/OASIS_FILE_MANAGER/zip_files_download.php?qid=1146879&amp;serialno=GB23-00007542&amp;itemno=1&amp;token=130994d99428d806a08c466b41518bef" TargetMode="External"/><Relationship Id="rId938" Type="http://schemas.openxmlformats.org/officeDocument/2006/relationships/hyperlink" Target="mailto:allencheung@maxims.com.hk" TargetMode="External"/><Relationship Id="rId67" Type="http://schemas.openxmlformats.org/officeDocument/2006/relationships/hyperlink" Target="mailto:tech.support@hkcsl.com" TargetMode="External"/><Relationship Id="rId272" Type="http://schemas.openxmlformats.org/officeDocument/2006/relationships/hyperlink" Target="http://10.10.10.209/OASIS_FILE_MANAGER/zip_files_download.php?qid=1412427&amp;serialno=UB25-00003144&amp;itemno=1&amp;token=d23f31f95c7e154f012227d36ac5a7e2" TargetMode="External"/><Relationship Id="rId577" Type="http://schemas.openxmlformats.org/officeDocument/2006/relationships/hyperlink" Target="mailto:waichung@chowtaifook.com" TargetMode="External"/><Relationship Id="rId700" Type="http://schemas.openxmlformats.org/officeDocument/2006/relationships/hyperlink" Target="http://10.10.10.209/OASIS_FILE_MANAGER/zip_files_download.php?qid=1204809&amp;serialno=UD24-00000835&amp;itemno=1&amp;token=d2fcc63539ab421111515b95e3d48e8c" TargetMode="External"/><Relationship Id="rId132" Type="http://schemas.openxmlformats.org/officeDocument/2006/relationships/hyperlink" Target="mailto:tracy.cs.wong@hkairport.com" TargetMode="External"/><Relationship Id="rId784" Type="http://schemas.openxmlformats.org/officeDocument/2006/relationships/hyperlink" Target="mailto:k11-aws-11skies-prd@nwcs.com.hk" TargetMode="External"/><Relationship Id="rId991" Type="http://schemas.openxmlformats.org/officeDocument/2006/relationships/hyperlink" Target="mailto:allencheung@maxims.com.hk" TargetMode="External"/><Relationship Id="rId437" Type="http://schemas.openxmlformats.org/officeDocument/2006/relationships/hyperlink" Target="mailto:waichung@chowtaifook.com" TargetMode="External"/><Relationship Id="rId644" Type="http://schemas.openxmlformats.org/officeDocument/2006/relationships/hyperlink" Target="mailto:minnie.ty.liu@hkairport.com" TargetMode="External"/><Relationship Id="rId851" Type="http://schemas.openxmlformats.org/officeDocument/2006/relationships/hyperlink" Target="mailto:rmark@kbquest.compendnig%20for%20product%20Peter%20to%20confirm%20the%20handling%20method" TargetMode="External"/><Relationship Id="rId283" Type="http://schemas.openxmlformats.org/officeDocument/2006/relationships/hyperlink" Target="http://10.10.10.209/OASIS_FILE_MANAGER/zip_files_download.php?qid=1409284&amp;serialno=UD24-00005568&amp;itemno=1&amp;token=d2fcc63539ab421111515b95e3d48e8c" TargetMode="External"/><Relationship Id="rId490" Type="http://schemas.openxmlformats.org/officeDocument/2006/relationships/hyperlink" Target="http://10.10.10.209/OASIS_FILE_MANAGER/zip_files_download.php?qid=1326541&amp;serialno=UB24-00006711&amp;itemno=1&amp;token=a964a32236e9d92cb29b0b25f27a5288" TargetMode="External"/><Relationship Id="rId504" Type="http://schemas.openxmlformats.org/officeDocument/2006/relationships/hyperlink" Target="mailto:bis1opsupp@ha.org.hk" TargetMode="External"/><Relationship Id="rId711" Type="http://schemas.openxmlformats.org/officeDocument/2006/relationships/hyperlink" Target="mailto:ridley.man@shacombank.com.hk" TargetMode="External"/><Relationship Id="rId949" Type="http://schemas.openxmlformats.org/officeDocument/2006/relationships/hyperlink" Target="mailto:allencheung@maxims.com.hk" TargetMode="External"/><Relationship Id="rId78" Type="http://schemas.openxmlformats.org/officeDocument/2006/relationships/hyperlink" Target="http://10.10.10.209/OASIS_FILE_MANAGER/zip_files_download.php?qid=1499099&amp;serialno=UA25-00004615&amp;itemno=1&amp;token=0405ba589f27d6822cfba7cbf55883a9" TargetMode="External"/><Relationship Id="rId143" Type="http://schemas.openxmlformats.org/officeDocument/2006/relationships/hyperlink" Target="mailto:radek.chan@wkcda.hk" TargetMode="External"/><Relationship Id="rId350" Type="http://schemas.openxmlformats.org/officeDocument/2006/relationships/hyperlink" Target="http://10.10.10.209/OASIS_FILE_MANAGER/zip_files_download.php?qid=1376774&amp;serialno=UB25-00001435&amp;itemno=1&amp;token=acddc3ef143d61133d36ebdde799eab9" TargetMode="External"/><Relationship Id="rId588" Type="http://schemas.openxmlformats.org/officeDocument/2006/relationships/hyperlink" Target="http://10.10.10.209/OASIS_FILE_MANAGER/zip_files_download.php?qid=1285654&amp;serialno=UB24-00001859&amp;itemno=1&amp;token=61ab8cd8d23432b22af0854ed48ab6cf" TargetMode="External"/><Relationship Id="rId795" Type="http://schemas.openxmlformats.org/officeDocument/2006/relationships/hyperlink" Target="http://10.10.10.209/OASIS_FILE_MANAGER/zip_files_download.php?qid=1170097&amp;serialno=GB24-00000901&amp;itemno=1&amp;token=a964a32236e9d92cb29b0b25f27a5288" TargetMode="External"/><Relationship Id="rId809" Type="http://schemas.openxmlformats.org/officeDocument/2006/relationships/hyperlink" Target="mailto:tony.ng@hkairport.com" TargetMode="External"/><Relationship Id="rId9" Type="http://schemas.openxmlformats.org/officeDocument/2006/relationships/hyperlink" Target="mailto:carmen.km.wong@hkairport.com" TargetMode="External"/><Relationship Id="rId210" Type="http://schemas.openxmlformats.org/officeDocument/2006/relationships/hyperlink" Target="mailto:ridley.man@shacombank.com.hk" TargetMode="External"/><Relationship Id="rId448" Type="http://schemas.openxmlformats.org/officeDocument/2006/relationships/hyperlink" Target="http://10.10.10.209/OASIS_FILE_MANAGER/zip_files_download.php?qid=1336888&amp;serialno=UB24-00007172&amp;itemno=1&amp;token=a964a32236e9d92cb29b0b25f27a5288" TargetMode="External"/><Relationship Id="rId655" Type="http://schemas.openxmlformats.org/officeDocument/2006/relationships/hyperlink" Target="http://10.10.10.209/OASIS_FILE_MANAGER/zip_files_download.php?qid=1232158&amp;serialno=UC24-00002426&amp;itemno=1&amp;token=3c7bd89e447a74f822154e4023a9e10e" TargetMode="External"/><Relationship Id="rId862" Type="http://schemas.openxmlformats.org/officeDocument/2006/relationships/hyperlink" Target="http://10.10.10.209/OASIS_FILE_MANAGER/zip_files_download.php?qid=1547776&amp;serialno=UD26-00000499&amp;itemno=1&amp;token=d2fcc63539ab421111515b95e3d48e8c" TargetMode="External"/><Relationship Id="rId294" Type="http://schemas.openxmlformats.org/officeDocument/2006/relationships/hyperlink" Target="mailto:it-cloud-team@pccw.com" TargetMode="External"/><Relationship Id="rId308" Type="http://schemas.openxmlformats.org/officeDocument/2006/relationships/hyperlink" Target="mailto:ehp17odcdev@ha.org.hk" TargetMode="External"/><Relationship Id="rId515" Type="http://schemas.openxmlformats.org/officeDocument/2006/relationships/hyperlink" Target="http://10.10.10.209/OASIS_FILE_MANAGER/zip_files_download.php?qid=1319911&amp;serialno=UC24-00006746&amp;itemno=1&amp;token=684f3a74b3d1e917d2decd6e306125b8" TargetMode="External"/><Relationship Id="rId722" Type="http://schemas.openxmlformats.org/officeDocument/2006/relationships/hyperlink" Target="http://10.10.10.209/OASIS_FILE_MANAGER/zip_files_download.php?qid=1221079&amp;serialno=UB24-00001721&amp;itemno=1&amp;token=a964a32236e9d92cb29b0b25f27a5288" TargetMode="External"/><Relationship Id="rId89" Type="http://schemas.openxmlformats.org/officeDocument/2006/relationships/hyperlink" Target="http://10.10.10.209/OASIS_FILE_MANAGER/zip_files_download.php?qid=1489594&amp;serialno=UB25-00006668&amp;itemno=1&amp;token=d23f31f95c7e154f012227d36ac5a7e2" TargetMode="External"/><Relationship Id="rId154" Type="http://schemas.openxmlformats.org/officeDocument/2006/relationships/hyperlink" Target="mailto:johnson.wong@uobkayhian.com.hk" TargetMode="External"/><Relationship Id="rId361" Type="http://schemas.openxmlformats.org/officeDocument/2006/relationships/hyperlink" Target="http://10.10.10.209/OASIS_FILE_MANAGER/zip_files_download.php?qid=1373582&amp;serialno=UB25-00001247&amp;itemno=1&amp;token=a964a32236e9d92cb29b0b25f27a5288" TargetMode="External"/><Relationship Id="rId599" Type="http://schemas.openxmlformats.org/officeDocument/2006/relationships/hyperlink" Target="http://10.10.10.209/OASIS_FILE_MANAGER/zip_files_download.php?qid=1277552&amp;serialno=BBSMA24-00000380&amp;itemno=1&amp;token=0cc88db95574e130f1ff0784c353575e" TargetMode="External"/><Relationship Id="rId1005" Type="http://schemas.openxmlformats.org/officeDocument/2006/relationships/hyperlink" Target="mailto:allencheung@maxims.com.hk" TargetMode="External"/><Relationship Id="rId459" Type="http://schemas.openxmlformats.org/officeDocument/2006/relationships/hyperlink" Target="http://10.10.10.209/OASIS_FILE_MANAGER/zip_files_download.php?qid=1331943&amp;serialno=UE24-00005071&amp;itemno=1&amp;token=3a577825b6b079b72327513261726934" TargetMode="External"/><Relationship Id="rId666" Type="http://schemas.openxmlformats.org/officeDocument/2006/relationships/hyperlink" Target="http://10.10.10.209/OASIS_FILE_MANAGER/zip_files_download.php?qid=1223483&amp;serialno=UB24-00001800&amp;itemno=1&amp;token=87276d7537153c071cf1e3757f9286fb" TargetMode="External"/><Relationship Id="rId873" Type="http://schemas.openxmlformats.org/officeDocument/2006/relationships/hyperlink" Target="mailto:ryan.li@ayers.com.hk" TargetMode="External"/><Relationship Id="rId16" Type="http://schemas.openxmlformats.org/officeDocument/2006/relationships/hyperlink" Target="mailto:nelson.wong@ha.org.hk" TargetMode="External"/><Relationship Id="rId221" Type="http://schemas.openxmlformats.org/officeDocument/2006/relationships/hyperlink" Target="http://10.10.10.209/OASIS_FILE_MANAGER/zip_files_download.php?qid=1435768&amp;serialno=TI25-00003668&amp;itemno=1&amp;token=35a8d3955406018c0aaa17a463f8488b" TargetMode="External"/><Relationship Id="rId319" Type="http://schemas.openxmlformats.org/officeDocument/2006/relationships/hyperlink" Target="mailto:hkt-redlab@hkt-cloud.com" TargetMode="External"/><Relationship Id="rId526" Type="http://schemas.openxmlformats.org/officeDocument/2006/relationships/hyperlink" Target="mailto:kester.leung@hkairport.com" TargetMode="External"/><Relationship Id="rId733" Type="http://schemas.openxmlformats.org/officeDocument/2006/relationships/hyperlink" Target="mailto:hoitt6support@ha.org.hk" TargetMode="External"/><Relationship Id="rId940" Type="http://schemas.openxmlformats.org/officeDocument/2006/relationships/hyperlink" Target="mailto:allencheung@maxims.com.hk" TargetMode="External"/><Relationship Id="rId1016" Type="http://schemas.openxmlformats.org/officeDocument/2006/relationships/hyperlink" Target="mailto:allencheung@maxims.com.hk" TargetMode="External"/><Relationship Id="rId165" Type="http://schemas.openxmlformats.org/officeDocument/2006/relationships/hyperlink" Target="http://10.10.10.209/OASIS_FILE_MANAGER/zip_files_download.php?qid=1453925&amp;serialno=UB25-00005126&amp;itemno=1&amp;token=d23f31f95c7e154f012227d36ac5a7e2" TargetMode="External"/><Relationship Id="rId372" Type="http://schemas.openxmlformats.org/officeDocument/2006/relationships/hyperlink" Target="http://10.10.10.209/OASIS_FILE_MANAGER/zip_files_download.php?qid=1368636&amp;serialno=UA25-00000588&amp;itemno=1&amp;token=dc53d2d3b2ccd0efd0353286a202ee80" TargetMode="External"/><Relationship Id="rId677" Type="http://schemas.openxmlformats.org/officeDocument/2006/relationships/hyperlink" Target="http://10.10.10.209/OASIS_FILE_MANAGER/zip_files_download.php?qid=1223483&amp;serialno=UB24-00001800&amp;itemno=1&amp;token=87276d7537153c071cf1e3757f9286fb" TargetMode="External"/><Relationship Id="rId800" Type="http://schemas.openxmlformats.org/officeDocument/2006/relationships/hyperlink" Target="mailto:hagoodcsupport@ha.org.hk" TargetMode="External"/><Relationship Id="rId232" Type="http://schemas.openxmlformats.org/officeDocument/2006/relationships/hyperlink" Target="http://10.10.10.209/OASIS_FILE_MANAGER/zip_files_download.php?qid=1410754&amp;serialno=TI25-00003668&amp;itemno=1&amp;token=35a8d3955406018c0aaa17a463f8488b" TargetMode="External"/><Relationship Id="rId884" Type="http://schemas.openxmlformats.org/officeDocument/2006/relationships/hyperlink" Target="mailto:KSIN@Dairy-Farm.com.hk" TargetMode="External"/><Relationship Id="rId27" Type="http://schemas.openxmlformats.org/officeDocument/2006/relationships/hyperlink" Target="http://10.10.10.209/OASIS_FILE_MANAGER/zip_files_download.php?qid=1527189&amp;serialno=UE25-00005780&amp;itemno=1&amp;token=3a577825b6b079b72327513261726934" TargetMode="External"/><Relationship Id="rId537" Type="http://schemas.openxmlformats.org/officeDocument/2006/relationships/hyperlink" Target="mailto:sam.wong@crypto.com" TargetMode="External"/><Relationship Id="rId744" Type="http://schemas.openxmlformats.org/officeDocument/2006/relationships/hyperlink" Target="mailto:waichung@chowtaifook.com" TargetMode="External"/><Relationship Id="rId951" Type="http://schemas.openxmlformats.org/officeDocument/2006/relationships/hyperlink" Target="mailto:allencheung@maxims.com.hk" TargetMode="External"/><Relationship Id="rId80" Type="http://schemas.openxmlformats.org/officeDocument/2006/relationships/hyperlink" Target="mailto:rexlaw@maxims.com.hk" TargetMode="External"/><Relationship Id="rId176" Type="http://schemas.openxmlformats.org/officeDocument/2006/relationships/hyperlink" Target="mailto:michael.wong@vincentmedical.com" TargetMode="External"/><Relationship Id="rId383" Type="http://schemas.openxmlformats.org/officeDocument/2006/relationships/hyperlink" Target="http://10.10.10.209/OASIS_FILE_MANAGER/zip_files_download.php?qid=1354748&amp;serialno=UD25-00000188&amp;itemno=1&amp;token=d2fcc63539ab421111515b95e3d48e8c" TargetMode="External"/><Relationship Id="rId590" Type="http://schemas.openxmlformats.org/officeDocument/2006/relationships/hyperlink" Target="mailto:ridley.man@shacombank.com.hk" TargetMode="External"/><Relationship Id="rId604" Type="http://schemas.openxmlformats.org/officeDocument/2006/relationships/hyperlink" Target="mailto:ehealthazurecldprd@ha.org.hk" TargetMode="External"/><Relationship Id="rId811" Type="http://schemas.openxmlformats.org/officeDocument/2006/relationships/hyperlink" Target="http://10.10.10.209/OASIS_FILE_MANAGER/zip_files_download.php?qid=1145425&amp;serialno=CB23-00007546&amp;itemno=1&amp;token=6846eac8eff0831566cf6e4382db1f12" TargetMode="External"/><Relationship Id="rId1027" Type="http://schemas.openxmlformats.org/officeDocument/2006/relationships/printerSettings" Target="../printerSettings/printerSettings1.bin"/><Relationship Id="rId243" Type="http://schemas.openxmlformats.org/officeDocument/2006/relationships/hyperlink" Target="mailto:wongyc3@ha.org.hk" TargetMode="External"/><Relationship Id="rId450" Type="http://schemas.openxmlformats.org/officeDocument/2006/relationships/hyperlink" Target="http://10.10.10.209/OASIS_FILE_MANAGER/zip_files_download.php?qid=1336888&amp;serialno=UB24-00007172&amp;itemno=1&amp;token=a964a32236e9d92cb29b0b25f27a5288" TargetMode="External"/><Relationship Id="rId688" Type="http://schemas.openxmlformats.org/officeDocument/2006/relationships/hyperlink" Target="http://10.10.10.209/OASIS_FILE_MANAGER/zip_files_download.php?qid=1223483&amp;serialno=UB24-00001800&amp;itemno=1&amp;token=87276d7537153c071cf1e3757f9286fb" TargetMode="External"/><Relationship Id="rId895" Type="http://schemas.openxmlformats.org/officeDocument/2006/relationships/hyperlink" Target="mailto:alex.ng@hkstp.org" TargetMode="External"/><Relationship Id="rId909" Type="http://schemas.openxmlformats.org/officeDocument/2006/relationships/hyperlink" Target="mailto:share@rd-eqmdqa.aliyunid.com" TargetMode="External"/><Relationship Id="rId38" Type="http://schemas.openxmlformats.org/officeDocument/2006/relationships/hyperlink" Target="mailto:hagohabotcssit@ha.org.hk" TargetMode="External"/><Relationship Id="rId103" Type="http://schemas.openxmlformats.org/officeDocument/2006/relationships/hyperlink" Target="mailto:ITADMIN@BGCA.ORG.HK" TargetMode="External"/><Relationship Id="rId310" Type="http://schemas.openxmlformats.org/officeDocument/2006/relationships/hyperlink" Target="http://10.10.10.209/OASIS_FILE_MANAGER/zip_files_download.php?qid=1399399&amp;serialno=BBSMA25-00000272&amp;itemno=1&amp;token=0cc88db95574e130f1ff0784c353575e" TargetMode="External"/><Relationship Id="rId548" Type="http://schemas.openxmlformats.org/officeDocument/2006/relationships/hyperlink" Target="http://10.10.10.209/OASIS_FILE_MANAGER/zip_files_download.php?qid=1305246&amp;serialno=UD24-00004082&amp;itemno=1&amp;token=d2fcc63539ab421111515b95e3d48e8c" TargetMode="External"/><Relationship Id="rId755" Type="http://schemas.openxmlformats.org/officeDocument/2006/relationships/hyperlink" Target="http://10.10.10.209/OASIS_FILE_MANAGER/zip_files_download.php?qid=1203453&amp;serialno=UE24-00000604&amp;itemno=1&amp;token=3a577825b6b079b72327513261726934" TargetMode="External"/><Relationship Id="rId962" Type="http://schemas.openxmlformats.org/officeDocument/2006/relationships/hyperlink" Target="mailto:allencheung@maxims.com.hk" TargetMode="External"/><Relationship Id="rId91" Type="http://schemas.openxmlformats.org/officeDocument/2006/relationships/hyperlink" Target="http://10.10.10.209/OASIS_FILE_MANAGER/zip_files_download.php?qid=1489594&amp;serialno=UB25-00006668&amp;itemno=1&amp;token=d23f31f95c7e154f012227d36ac5a7e2" TargetMode="External"/><Relationship Id="rId187" Type="http://schemas.openxmlformats.org/officeDocument/2006/relationships/hyperlink" Target="mailto:ict_awsadmin_mpweb@mplus.org.hk" TargetMode="External"/><Relationship Id="rId394" Type="http://schemas.openxmlformats.org/officeDocument/2006/relationships/hyperlink" Target="http://10.10.10.209/OASIS_FILE_MANAGER/zip_files_download.php?qid=1351113&amp;serialno=UE25-00000099&amp;itemno=1&amp;token=3a577825b6b079b72327513261726934" TargetMode="External"/><Relationship Id="rId408" Type="http://schemas.openxmlformats.org/officeDocument/2006/relationships/hyperlink" Target="mailto:tomho@hkex.com.hk" TargetMode="External"/><Relationship Id="rId615" Type="http://schemas.openxmlformats.org/officeDocument/2006/relationships/hyperlink" Target="http://10.10.10.209/OASIS_FILE_MANAGER/zip_files_download.php?qid=1258109&amp;serialno=UB24-00003448&amp;itemno=1&amp;token=a964a32236e9d92cb29b0b25f27a5288" TargetMode="External"/><Relationship Id="rId822" Type="http://schemas.openxmlformats.org/officeDocument/2006/relationships/hyperlink" Target="mailto:hoitcsc5mobile@ha.org.hk" TargetMode="External"/><Relationship Id="rId254" Type="http://schemas.openxmlformats.org/officeDocument/2006/relationships/hyperlink" Target="http://10.10.10.209/OASIS_FILE_MANAGER/zip_files_download.php?qid=1428536&amp;serialno=UB25-00003891&amp;itemno=1&amp;token=d23f31f95c7e154f012227d36ac5a7e2" TargetMode="External"/><Relationship Id="rId699" Type="http://schemas.openxmlformats.org/officeDocument/2006/relationships/hyperlink" Target="http://10.10.10.209/OASIS_FILE_MANAGER/zip_files_download.php?qid=1227380&amp;serialno=BBSMA24-00000193&amp;itemno=1&amp;token=0cc88db95574e130f1ff0784c353575e" TargetMode="External"/><Relationship Id="rId49" Type="http://schemas.openxmlformats.org/officeDocument/2006/relationships/hyperlink" Target="http://10.10.10.209/OASIS_FILE_MANAGER/zip_files_download.php?qid=1517194&amp;serialno=UD25-00005746&amp;itemno=1&amp;token=d2fcc63539ab421111515b95e3d48e8c" TargetMode="External"/><Relationship Id="rId114" Type="http://schemas.openxmlformats.org/officeDocument/2006/relationships/hyperlink" Target="mailto:max.hk.shiu@hkcsl.com" TargetMode="External"/><Relationship Id="rId461" Type="http://schemas.openxmlformats.org/officeDocument/2006/relationships/hyperlink" Target="mailto:nwd_aws_nwc_crm_prd@nwcs.com.hk" TargetMode="External"/><Relationship Id="rId559" Type="http://schemas.openxmlformats.org/officeDocument/2006/relationships/hyperlink" Target="mailto:FUNGGKC@hkairport.com" TargetMode="External"/><Relationship Id="rId766" Type="http://schemas.openxmlformats.org/officeDocument/2006/relationships/hyperlink" Target="http://10.10.10.209/OASIS_FILE_MANAGER/zip_files_download.php?qid=1194751&amp;serialno=CB24-00001419&amp;itemno=1&amp;token=d2fcc63539ab421111515b95e3d48e8c" TargetMode="External"/><Relationship Id="rId198" Type="http://schemas.openxmlformats.org/officeDocument/2006/relationships/hyperlink" Target="mailto:anthony.wy.cheung@wkcda.hk" TargetMode="External"/><Relationship Id="rId321" Type="http://schemas.openxmlformats.org/officeDocument/2006/relationships/hyperlink" Target="mailto:jerryleung@firstbullion.com" TargetMode="External"/><Relationship Id="rId419" Type="http://schemas.openxmlformats.org/officeDocument/2006/relationships/hyperlink" Target="mailto:ringolau@takhk.com" TargetMode="External"/><Relationship Id="rId626" Type="http://schemas.openxmlformats.org/officeDocument/2006/relationships/hyperlink" Target="http://10.10.10.209/OASIS_FILE_MANAGER/zip_files_download.php?qid=1250809&amp;serialno=UB24-00003083&amp;itemno=1&amp;token=9f6addcb0d82f484aca6665b5dc9237d" TargetMode="External"/><Relationship Id="rId973" Type="http://schemas.openxmlformats.org/officeDocument/2006/relationships/hyperlink" Target="mailto:allencheung@maxims.com.hk" TargetMode="External"/><Relationship Id="rId833" Type="http://schemas.openxmlformats.org/officeDocument/2006/relationships/hyperlink" Target="mailto:yves.yueh@hkairport.com" TargetMode="External"/><Relationship Id="rId265" Type="http://schemas.openxmlformats.org/officeDocument/2006/relationships/hyperlink" Target="mailto:infraadmin@hysan.com.hk" TargetMode="External"/><Relationship Id="rId472" Type="http://schemas.openxmlformats.org/officeDocument/2006/relationships/hyperlink" Target="javascript:openWindow('/servlet/IncidentDetailServlet?incidentId=SD11704088%27);" TargetMode="External"/><Relationship Id="rId900" Type="http://schemas.openxmlformats.org/officeDocument/2006/relationships/hyperlink" Target="mailto:ali.cloud@hkstp.org" TargetMode="External"/><Relationship Id="rId125" Type="http://schemas.openxmlformats.org/officeDocument/2006/relationships/hyperlink" Target="mailto:kester.leung@hkairport.com" TargetMode="External"/><Relationship Id="rId332" Type="http://schemas.openxmlformats.org/officeDocument/2006/relationships/hyperlink" Target="http://10.10.10.209/OASIS_FILE_MANAGER/zip_files_download.php?qid=1373459&amp;serialno=UB25-00001237&amp;itemno=1&amp;token=acddc3ef143d61133d36ebdde799eab9" TargetMode="External"/><Relationship Id="rId777" Type="http://schemas.openxmlformats.org/officeDocument/2006/relationships/hyperlink" Target="mailto:ehr.ai6sup@ha.org.hk" TargetMode="External"/><Relationship Id="rId984" Type="http://schemas.openxmlformats.org/officeDocument/2006/relationships/hyperlink" Target="mailto:allencheung@maxims.com.hk" TargetMode="External"/><Relationship Id="rId637" Type="http://schemas.openxmlformats.org/officeDocument/2006/relationships/hyperlink" Target="mailto:minnie.ty.liu@hkairport.com" TargetMode="External"/><Relationship Id="rId844" Type="http://schemas.openxmlformats.org/officeDocument/2006/relationships/hyperlink" Target="mailto:cus006@biznegvigator.com/ctfhkt@hkt_cloud.com%20pw:Hkt68233" TargetMode="External"/><Relationship Id="rId276" Type="http://schemas.openxmlformats.org/officeDocument/2006/relationships/hyperlink" Target="http://10.10.10.209/OASIS_FILE_MANAGER/zip_files_download.php?qid=1411152&amp;serialno=UB25-00003094&amp;itemno=1&amp;token=a964a32236e9d92cb29b0b25f27a5288" TargetMode="External"/><Relationship Id="rId483" Type="http://schemas.openxmlformats.org/officeDocument/2006/relationships/hyperlink" Target="http://10.10.10.209/OASIS_FILE_MANAGER/zip_files_download.php?qid=1327428&amp;serialno=UE24-00004918&amp;itemno=1&amp;token=3fe28986e3408121df10cdcd105d2535" TargetMode="External"/><Relationship Id="rId690" Type="http://schemas.openxmlformats.org/officeDocument/2006/relationships/hyperlink" Target="http://10.10.10.209/OASIS_FILE_MANAGER/zip_files_download.php?qid=1223483&amp;serialno=UB24-00001800&amp;itemno=1&amp;token=87276d7537153c071cf1e3757f9286fb" TargetMode="External"/><Relationship Id="rId704" Type="http://schemas.openxmlformats.org/officeDocument/2006/relationships/hyperlink" Target="http://10.10.10.209/OASIS_FILE_MANAGER/zip_files_download.php?qid=1225407&amp;serialno=UD24-00001552&amp;itemno=1&amp;token=e3c8c002a5d723f8cc9ec5a10009fe8f" TargetMode="External"/><Relationship Id="rId911" Type="http://schemas.openxmlformats.org/officeDocument/2006/relationships/hyperlink" Target="mailto:sfpbc-prod@rd-eqmdqa.aliyunid.com" TargetMode="External"/><Relationship Id="rId40" Type="http://schemas.openxmlformats.org/officeDocument/2006/relationships/hyperlink" Target="mailto:nelson.wong@ha.org.hk" TargetMode="External"/><Relationship Id="rId136" Type="http://schemas.openxmlformats.org/officeDocument/2006/relationships/hyperlink" Target="mailto:kccitshio@ha.org.hk" TargetMode="External"/><Relationship Id="rId343" Type="http://schemas.openxmlformats.org/officeDocument/2006/relationships/hyperlink" Target="mailto:kin.luk@ha.org.hk" TargetMode="External"/><Relationship Id="rId550" Type="http://schemas.openxmlformats.org/officeDocument/2006/relationships/hyperlink" Target="javascript:openWindow('/servlet/IncidentDetailServlet?incidentId=SD11691368%27);" TargetMode="External"/><Relationship Id="rId788" Type="http://schemas.openxmlformats.org/officeDocument/2006/relationships/hyperlink" Target="http://10.10.10.209/OASIS_FILE_MANAGER/zip_files_download.php?qid=1181440&amp;serialno=CB24-00001360&amp;itemno=1&amp;token=6846eac8eff0831566cf6e4382db1f12" TargetMode="External"/><Relationship Id="rId995" Type="http://schemas.openxmlformats.org/officeDocument/2006/relationships/hyperlink" Target="mailto:allencheung@maxims.com.hk" TargetMode="External"/><Relationship Id="rId203" Type="http://schemas.openxmlformats.org/officeDocument/2006/relationships/hyperlink" Target="http://10.10.10.209/OASIS_FILE_MANAGER/zip_files_download.php?qid=1435993&amp;serialno=BBSMA25-00000428&amp;itemno=1&amp;token=0cc88db95574e130f1ff0784c353575e" TargetMode="External"/><Relationship Id="rId648" Type="http://schemas.openxmlformats.org/officeDocument/2006/relationships/hyperlink" Target="http://10.10.10.209/OASIS_FILE_MANAGER/zip_files_download.php?qid=1234772&amp;serialno=UB24-00002306&amp;itemno=1&amp;token=a964a32236e9d92cb29b0b25f27a5288" TargetMode="External"/><Relationship Id="rId855" Type="http://schemas.openxmlformats.org/officeDocument/2006/relationships/hyperlink" Target="mailto:kennethwong@sfc.hk" TargetMode="External"/><Relationship Id="rId287" Type="http://schemas.openxmlformats.org/officeDocument/2006/relationships/hyperlink" Target="http://10.10.10.209/OASIS_FILE_MANAGER/zip_files_download.php?qid=1406906&amp;serialno=UB25-00002819&amp;itemno=1&amp;token=d23f31f95c7e154f012227d36ac5a7e2" TargetMode="External"/><Relationship Id="rId410" Type="http://schemas.openxmlformats.org/officeDocument/2006/relationships/hyperlink" Target="mailto:tony.ng@hkairport.com" TargetMode="External"/><Relationship Id="rId494" Type="http://schemas.openxmlformats.org/officeDocument/2006/relationships/hyperlink" Target="mailto:waichung@chowtaifook.com" TargetMode="External"/><Relationship Id="rId508" Type="http://schemas.openxmlformats.org/officeDocument/2006/relationships/hyperlink" Target="mailto:tommy.hui@jardines.com" TargetMode="External"/><Relationship Id="rId715" Type="http://schemas.openxmlformats.org/officeDocument/2006/relationships/hyperlink" Target="mailto:ivanwan@youthsquare.hk" TargetMode="External"/><Relationship Id="rId922" Type="http://schemas.openxmlformats.org/officeDocument/2006/relationships/hyperlink" Target="mailto:sbkh_app_pro_4588@maxims.com.hk" TargetMode="External"/><Relationship Id="rId147" Type="http://schemas.openxmlformats.org/officeDocument/2006/relationships/hyperlink" Target="http://10.10.10.209/OASIS_FILE_MANAGER/zip_files_download.php?qid=1476589&amp;serialno=UB25-00004997&amp;itemno=1&amp;token=acddc3ef143d61133d36ebdde799eab9" TargetMode="External"/><Relationship Id="rId354" Type="http://schemas.openxmlformats.org/officeDocument/2006/relationships/hyperlink" Target="http://10.10.10.209/OASIS_FILE_MANAGER/zip_files_download.php?qid=1376253&amp;serialno=UB25-00001414&amp;itemno=1&amp;token=af50099303274d2705c0de237b390e2a" TargetMode="External"/><Relationship Id="rId799" Type="http://schemas.openxmlformats.org/officeDocument/2006/relationships/hyperlink" Target="http://10.10.10.209/OASIS_FILE_MANAGER/zip_files_download.php?qid=1174461&amp;serialno=CB24-00001025&amp;itemno=1&amp;token=6846eac8eff0831566cf6e4382db1f12" TargetMode="External"/><Relationship Id="rId51" Type="http://schemas.openxmlformats.org/officeDocument/2006/relationships/hyperlink" Target="http://10.10.10.209/OASIS_FILE_MANAGER/zip_files_download.php?qid=1517194&amp;serialno=UD25-00005746&amp;itemno=1&amp;token=d2fcc63539ab421111515b95e3d48e8c" TargetMode="External"/><Relationship Id="rId561" Type="http://schemas.openxmlformats.org/officeDocument/2006/relationships/hyperlink" Target="javascript:openWindow('/servlet/IncidentDetailServlet?incidentId=SD11687428%27);" TargetMode="External"/><Relationship Id="rId659" Type="http://schemas.openxmlformats.org/officeDocument/2006/relationships/hyperlink" Target="mailto:steven.kc.fung@pccw.com" TargetMode="External"/><Relationship Id="rId866" Type="http://schemas.openxmlformats.org/officeDocument/2006/relationships/hyperlink" Target="mailto:andylau@hangheung.com.hk" TargetMode="External"/><Relationship Id="rId214" Type="http://schemas.openxmlformats.org/officeDocument/2006/relationships/hyperlink" Target="mailto:soc@ha.org.hk" TargetMode="External"/><Relationship Id="rId298" Type="http://schemas.openxmlformats.org/officeDocument/2006/relationships/hyperlink" Target="mailto:terence.lee@hkairport.com" TargetMode="External"/><Relationship Id="rId421" Type="http://schemas.openxmlformats.org/officeDocument/2006/relationships/hyperlink" Target="mailto:pw.cheng@leverstyle.com" TargetMode="External"/><Relationship Id="rId519" Type="http://schemas.openxmlformats.org/officeDocument/2006/relationships/hyperlink" Target="http://10.10.10.209/OASIS_FILE_MANAGER/zip_files_download.php?qid=1315061&amp;serialno=UD24-00004501&amp;itemno=1&amp;token=d2fcc63539ab421111515b95e3d48e8c" TargetMode="External"/><Relationship Id="rId158" Type="http://schemas.openxmlformats.org/officeDocument/2006/relationships/hyperlink" Target="mailto:candice.wm.chan@hkairport.com" TargetMode="External"/><Relationship Id="rId726" Type="http://schemas.openxmlformats.org/officeDocument/2006/relationships/hyperlink" Target="mailto:t6support1st@ha.org.hk" TargetMode="External"/><Relationship Id="rId933" Type="http://schemas.openxmlformats.org/officeDocument/2006/relationships/hyperlink" Target="mailto:allencheung@maxims.com.hk" TargetMode="External"/><Relationship Id="rId1009" Type="http://schemas.openxmlformats.org/officeDocument/2006/relationships/hyperlink" Target="mailto:allencheung@maxims.com.hk" TargetMode="External"/><Relationship Id="rId62" Type="http://schemas.openxmlformats.org/officeDocument/2006/relationships/hyperlink" Target="http://10.10.10.209/OASIS_FILE_MANAGER/zip_files_download.php?qid=1512817&amp;serialno=UE25-00005355&amp;itemno=1&amp;token=09d9886beec4eac749bc3afe3b2c0da9" TargetMode="External"/><Relationship Id="rId365" Type="http://schemas.openxmlformats.org/officeDocument/2006/relationships/hyperlink" Target="mailto:kin.luk@ha.org.hk" TargetMode="External"/><Relationship Id="rId572" Type="http://schemas.openxmlformats.org/officeDocument/2006/relationships/hyperlink" Target="mailto:nwg_aws_legacycrm_prd@nwcs.com.hk" TargetMode="External"/><Relationship Id="rId225" Type="http://schemas.openxmlformats.org/officeDocument/2006/relationships/hyperlink" Target="http://10.10.10.209/OASIS_FILE_MANAGER/zip_files_download.php?qid=1435768&amp;serialno=TI25-00003668&amp;itemno=1&amp;token=35a8d3955406018c0aaa17a463f8488b" TargetMode="External"/><Relationship Id="rId432" Type="http://schemas.openxmlformats.org/officeDocument/2006/relationships/hyperlink" Target="mailto:davy.lin@aastocks.com" TargetMode="External"/><Relationship Id="rId877" Type="http://schemas.openxmlformats.org/officeDocument/2006/relationships/hyperlink" Target="mailto:alex.ng@hkstp.org" TargetMode="External"/><Relationship Id="rId737" Type="http://schemas.openxmlformats.org/officeDocument/2006/relationships/hyperlink" Target="mailto:lcy372@ha.org.hk" TargetMode="External"/><Relationship Id="rId944" Type="http://schemas.openxmlformats.org/officeDocument/2006/relationships/hyperlink" Target="mailto:allencheung@maxims.com.hk" TargetMode="External"/><Relationship Id="rId73" Type="http://schemas.openxmlformats.org/officeDocument/2006/relationships/hyperlink" Target="mailto:ftd-cstcb-for-f-office@police.gov.hk" TargetMode="External"/><Relationship Id="rId169" Type="http://schemas.openxmlformats.org/officeDocument/2006/relationships/hyperlink" Target="mailto:pccw_cpe_app_support@pccw.com" TargetMode="External"/><Relationship Id="rId376" Type="http://schemas.openxmlformats.org/officeDocument/2006/relationships/hyperlink" Target="mailto:psc_admin@psuccesshk.com" TargetMode="External"/><Relationship Id="rId583" Type="http://schemas.openxmlformats.org/officeDocument/2006/relationships/hyperlink" Target="http://10.10.10.209/OASIS_FILE_MANAGER/zip_files_download.php?qid=1292344&amp;serialno=UB24-00005110&amp;itemno=1&amp;token=acddc3ef143d61133d36ebdde799eab9" TargetMode="External"/><Relationship Id="rId790" Type="http://schemas.openxmlformats.org/officeDocument/2006/relationships/hyperlink" Target="http://10.10.10.209/OASIS_FILE_MANAGER/zip_files_download.php?qid=1181440&amp;serialno=CB24-00001360&amp;itemno=1&amp;token=6846eac8eff0831566cf6e4382db1f12" TargetMode="External"/><Relationship Id="rId804" Type="http://schemas.openxmlformats.org/officeDocument/2006/relationships/hyperlink" Target="mailto:dennis.tc.chan@pccw.com" TargetMode="External"/><Relationship Id="rId4" Type="http://schemas.openxmlformats.org/officeDocument/2006/relationships/hyperlink" Target="mailto:carmen.km.wong@hkairport.com" TargetMode="External"/><Relationship Id="rId236" Type="http://schemas.openxmlformats.org/officeDocument/2006/relationships/hyperlink" Target="mailto:alicloud_ems_uat@chowtaifook.com" TargetMode="External"/><Relationship Id="rId443" Type="http://schemas.openxmlformats.org/officeDocument/2006/relationships/hyperlink" Target="mailto:xu.zhilei3@huawei.com" TargetMode="External"/><Relationship Id="rId650" Type="http://schemas.openxmlformats.org/officeDocument/2006/relationships/hyperlink" Target="mailto:ecmccsprod@ha.org.hk" TargetMode="External"/><Relationship Id="rId888" Type="http://schemas.openxmlformats.org/officeDocument/2006/relationships/hyperlink" Target="mailto:alex.ng@hkstp.org" TargetMode="External"/><Relationship Id="rId303" Type="http://schemas.openxmlformats.org/officeDocument/2006/relationships/hyperlink" Target="http://10.10.10.209/OASIS_FILE_MANAGER/zip_files_download.php?qid=1402679&amp;serialno=UA25-00001502&amp;itemno=1&amp;token=7c62c99d6dd9a8fec605279ddb15246e" TargetMode="External"/><Relationship Id="rId748" Type="http://schemas.openxmlformats.org/officeDocument/2006/relationships/hyperlink" Target="mailto:nwd_aws_nwdpss_nonprd@nwcs.com.hk" TargetMode="External"/><Relationship Id="rId955" Type="http://schemas.openxmlformats.org/officeDocument/2006/relationships/hyperlink" Target="mailto:allencheung@maxims.com.hk" TargetMode="External"/><Relationship Id="rId84" Type="http://schemas.openxmlformats.org/officeDocument/2006/relationships/hyperlink" Target="mailto:itd_ali_master@wkcda.hk" TargetMode="External"/><Relationship Id="rId387" Type="http://schemas.openxmlformats.org/officeDocument/2006/relationships/hyperlink" Target="http://10.10.10.209/OASIS_FILE_MANAGER/zip_files_download.php?qid=1349799&amp;serialno=UE24-00005613&amp;itemno=1&amp;token=3a577825b6b079b72327513261726934" TargetMode="External"/><Relationship Id="rId510" Type="http://schemas.openxmlformats.org/officeDocument/2006/relationships/hyperlink" Target="mailto:cimsehp12asl@ha.org.hk" TargetMode="External"/><Relationship Id="rId594" Type="http://schemas.openxmlformats.org/officeDocument/2006/relationships/hyperlink" Target="mailto:ridley.man@shacombank.com.hk" TargetMode="External"/><Relationship Id="rId608" Type="http://schemas.openxmlformats.org/officeDocument/2006/relationships/hyperlink" Target="http://10.10.10.209/OASIS_FILE_MANAGER/zip_files_download.php?qid=1261784&amp;serialno=UD24-00002668&amp;itemno=2&amp;token=e3c8c002a5d723f8cc9ec5a10009fe8f" TargetMode="External"/><Relationship Id="rId815" Type="http://schemas.openxmlformats.org/officeDocument/2006/relationships/hyperlink" Target="http://10.10.10.209/OASIS_FILE_MANAGER/zip_files_download.php?qid=1167097&amp;serialno=BBSMA24-00000048&amp;itemno=1&amp;token=0cc88db95574e130f1ff0784c353575e" TargetMode="External"/><Relationship Id="rId247" Type="http://schemas.openxmlformats.org/officeDocument/2006/relationships/hyperlink" Target="mailto:1.2573@value-exch.com" TargetMode="External"/><Relationship Id="rId899" Type="http://schemas.openxmlformats.org/officeDocument/2006/relationships/hyperlink" Target="mailto:alex.ng@hkstp.org" TargetMode="External"/><Relationship Id="rId1000" Type="http://schemas.openxmlformats.org/officeDocument/2006/relationships/hyperlink" Target="mailto:allencheung@maxims.com.hk" TargetMode="External"/><Relationship Id="rId107" Type="http://schemas.openxmlformats.org/officeDocument/2006/relationships/hyperlink" Target="mailto:google_cloud@chowtaifook.com" TargetMode="External"/><Relationship Id="rId454" Type="http://schemas.openxmlformats.org/officeDocument/2006/relationships/hyperlink" Target="mailto:kin.luk@ha.org.hk" TargetMode="External"/><Relationship Id="rId661" Type="http://schemas.openxmlformats.org/officeDocument/2006/relationships/hyperlink" Target="http://10.10.10.209/OASIS_FILE_MANAGER/zip_files_download.php?qid=1223483&amp;serialno=UB24-00001800&amp;itemno=1&amp;token=87276d7537153c071cf1e3757f9286fb" TargetMode="External"/><Relationship Id="rId759" Type="http://schemas.openxmlformats.org/officeDocument/2006/relationships/hyperlink" Target="mailto:hoais1ailabhdevsupp@ha.org.hk" TargetMode="External"/><Relationship Id="rId966" Type="http://schemas.openxmlformats.org/officeDocument/2006/relationships/hyperlink" Target="mailto:allencheung@maxims.com.hk" TargetMode="External"/><Relationship Id="rId11" Type="http://schemas.openxmlformats.org/officeDocument/2006/relationships/hyperlink" Target="http://10.10.10.209/OASIS_FILE_MANAGER/zip_files_download.php?qid=1541193&amp;serialno=UD26-00000220&amp;itemno=1&amp;token=d2fcc63539ab421111515b95e3d48e8c" TargetMode="External"/><Relationship Id="rId314" Type="http://schemas.openxmlformats.org/officeDocument/2006/relationships/hyperlink" Target="http://10.10.10.209/OASIS_FILE_MANAGER/zip_files_download.php?qid=1399183&amp;serialno=UB25-00002483&amp;itemno=1&amp;token=d23f31f95c7e154f012227d36ac5a7e2" TargetMode="External"/><Relationship Id="rId398" Type="http://schemas.openxmlformats.org/officeDocument/2006/relationships/hyperlink" Target="mailto:k11-aws-loyalty-engine-nonprd@nws.com.hk" TargetMode="External"/><Relationship Id="rId521" Type="http://schemas.openxmlformats.org/officeDocument/2006/relationships/hyperlink" Target="mailto:waichung@chowtaifook.com" TargetMode="External"/><Relationship Id="rId619" Type="http://schemas.openxmlformats.org/officeDocument/2006/relationships/hyperlink" Target="mailto:kstang@eduhk.hk" TargetMode="External"/><Relationship Id="rId95" Type="http://schemas.openxmlformats.org/officeDocument/2006/relationships/hyperlink" Target="mailto:ben.yip@modernbeautysalon.com" TargetMode="External"/><Relationship Id="rId160" Type="http://schemas.openxmlformats.org/officeDocument/2006/relationships/hyperlink" Target="http://10.10.10.209/OASIS_FILE_MANAGER/zip_files_download.php?qid=1461949&amp;serialno=UB25-00005448&amp;itemno=1&amp;token=d23f31f95c7e154f012227d36ac5a7e2" TargetMode="External"/><Relationship Id="rId826" Type="http://schemas.openxmlformats.org/officeDocument/2006/relationships/hyperlink" Target="http://10.10.10.209/OASIS_FILE_MANAGER/zip_files_download.php?qid=1151216&amp;serialno=GB23-00007765&amp;itemno=1&amp;token=87276d7537153c071cf1e3757f9286fb" TargetMode="External"/><Relationship Id="rId1011" Type="http://schemas.openxmlformats.org/officeDocument/2006/relationships/hyperlink" Target="mailto:allencheung@maxims.com.hk" TargetMode="External"/><Relationship Id="rId258" Type="http://schemas.openxmlformats.org/officeDocument/2006/relationships/hyperlink" Target="mailto:aws.billing@shacombank.com.hk" TargetMode="External"/><Relationship Id="rId465" Type="http://schemas.openxmlformats.org/officeDocument/2006/relationships/hyperlink" Target="mailto:k11_aws_crm_nonprd@nwcs.com.hk" TargetMode="External"/><Relationship Id="rId672" Type="http://schemas.openxmlformats.org/officeDocument/2006/relationships/hyperlink" Target="http://10.10.10.209/OASIS_FILE_MANAGER/zip_files_download.php?qid=1223483&amp;serialno=UB24-00001800&amp;itemno=1&amp;token=87276d7537153c071cf1e3757f9286fb" TargetMode="External"/><Relationship Id="rId22" Type="http://schemas.openxmlformats.org/officeDocument/2006/relationships/hyperlink" Target="mailto:Vicky.WS.Yuen@pccw.com" TargetMode="External"/><Relationship Id="rId118" Type="http://schemas.openxmlformats.org/officeDocument/2006/relationships/hyperlink" Target="http://10.10.10.209/OASIS_FILE_MANAGER/zip_files_download.php?qid=1480742&amp;serialno=UB25-00006302&amp;itemno=1&amp;token=d23f31f95c7e154f012227d36ac5a7e2" TargetMode="External"/><Relationship Id="rId325" Type="http://schemas.openxmlformats.org/officeDocument/2006/relationships/hyperlink" Target="http://10.10.10.209/OASIS_FILE_MANAGER/zip_files_download.php?qid=1384267&amp;serialno=UB25-00001819&amp;itemno=1&amp;token=da34855977b6597edca13772e897f19a" TargetMode="External"/><Relationship Id="rId532" Type="http://schemas.openxmlformats.org/officeDocument/2006/relationships/hyperlink" Target="http://10.10.10.209/OASIS_FILE_MANAGER/zip_files_download.php?qid=1312943&amp;serialno=UB24-00006047&amp;itemno=1&amp;token=acddc3ef143d61133d36ebdde799eab9" TargetMode="External"/><Relationship Id="rId977" Type="http://schemas.openxmlformats.org/officeDocument/2006/relationships/hyperlink" Target="mailto:allencheung@maxims.com.hk" TargetMode="External"/><Relationship Id="rId171" Type="http://schemas.openxmlformats.org/officeDocument/2006/relationships/hyperlink" Target="http://10.10.10.209/OASIS_FILE_MANAGER/zip_files_download.php?qid=1455925&amp;serialno=BBSMA25-00000497&amp;itemno=1&amp;token=0cc88db95574e130f1ff0784c353575e" TargetMode="External"/><Relationship Id="rId837" Type="http://schemas.openxmlformats.org/officeDocument/2006/relationships/hyperlink" Target="http://10.10.10.209/OASIS_FILE_MANAGER/zip_files_download.php?qid=1147270&amp;serialno=GB23-00004009&amp;itemno=1&amp;token=130994d99428d806a08c466b41518bef" TargetMode="External"/><Relationship Id="rId1022" Type="http://schemas.openxmlformats.org/officeDocument/2006/relationships/hyperlink" Target="mailto:allencheung@maxims.com.hk" TargetMode="External"/><Relationship Id="rId269" Type="http://schemas.openxmlformats.org/officeDocument/2006/relationships/hyperlink" Target="http://10.10.10.209/OASIS_FILE_MANAGER/zip_files_download.php?qid=1416952&amp;serialno=UB25-00003285&amp;itemno=1&amp;token=d23f31f95c7e154f012227d36ac5a7e2" TargetMode="External"/><Relationship Id="rId476" Type="http://schemas.openxmlformats.org/officeDocument/2006/relationships/hyperlink" Target="mailto:cp14cloudserviceuser@ha.org.hk" TargetMode="External"/><Relationship Id="rId683" Type="http://schemas.openxmlformats.org/officeDocument/2006/relationships/hyperlink" Target="http://10.10.10.209/OASIS_FILE_MANAGER/zip_files_download.php?qid=1223483&amp;serialno=UB24-00001800&amp;itemno=1&amp;token=87276d7537153c071cf1e3757f9286fb" TargetMode="External"/><Relationship Id="rId890" Type="http://schemas.openxmlformats.org/officeDocument/2006/relationships/hyperlink" Target="mailto:alex.ng@hkstp.org" TargetMode="External"/><Relationship Id="rId904" Type="http://schemas.openxmlformats.org/officeDocument/2006/relationships/hyperlink" Target="mailto:ali-vpc-hkstp-palmvein-dev@rd-eqmdqa.aliyunid.com" TargetMode="External"/><Relationship Id="rId33" Type="http://schemas.openxmlformats.org/officeDocument/2006/relationships/hyperlink" Target="mailto:allencheung@maxims.com.hk" TargetMode="External"/><Relationship Id="rId129" Type="http://schemas.openxmlformats.org/officeDocument/2006/relationships/hyperlink" Target="mailto:kester.leung@hkairport.com" TargetMode="External"/><Relationship Id="rId336" Type="http://schemas.openxmlformats.org/officeDocument/2006/relationships/hyperlink" Target="http://10.10.10.209/OASIS_FILE_MANAGER/zip_files_download.php?qid=1381798&amp;serialno=TI25-00002047&amp;itemno=1&amp;token=72562a8b90be655179037c2190c3172e" TargetMode="External"/><Relationship Id="rId543" Type="http://schemas.openxmlformats.org/officeDocument/2006/relationships/hyperlink" Target="http://10.10.10.209/OASIS_FILE_MANAGER/zip_files_download.php?qid=1307379&amp;serialno=UB24-00005828&amp;itemno=1&amp;token=acddc3ef143d61133d36ebdde799eab9" TargetMode="External"/><Relationship Id="rId988" Type="http://schemas.openxmlformats.org/officeDocument/2006/relationships/hyperlink" Target="mailto:allencheung@maxims.com.hk" TargetMode="External"/><Relationship Id="rId182" Type="http://schemas.openxmlformats.org/officeDocument/2006/relationships/hyperlink" Target="mailto:ict_awsadmin_wksra@wkcda.hk" TargetMode="External"/><Relationship Id="rId403" Type="http://schemas.openxmlformats.org/officeDocument/2006/relationships/hyperlink" Target="http://10.10.10.209/OASIS_FILE_MANAGER/zip_files_download.php?qid=1347009&amp;serialno=UB24-00007663&amp;itemno=1&amp;token=acddc3ef143d61133d36ebdde799eab9" TargetMode="External"/><Relationship Id="rId750" Type="http://schemas.openxmlformats.org/officeDocument/2006/relationships/hyperlink" Target="mailto:donng@nwcs.com.hk" TargetMode="External"/><Relationship Id="rId848" Type="http://schemas.openxmlformats.org/officeDocument/2006/relationships/hyperlink" Target="mailto:it_uat1@hksi.org" TargetMode="External"/><Relationship Id="rId487" Type="http://schemas.openxmlformats.org/officeDocument/2006/relationships/hyperlink" Target="mailto:kin.luk@ha.org.hk" TargetMode="External"/><Relationship Id="rId610" Type="http://schemas.openxmlformats.org/officeDocument/2006/relationships/hyperlink" Target="mailto:t7odcdev@ha.org.hk" TargetMode="External"/><Relationship Id="rId694" Type="http://schemas.openxmlformats.org/officeDocument/2006/relationships/hyperlink" Target="http://10.10.10.209/OASIS_FILE_MANAGER/zip_files_download.php?qid=1223483&amp;serialno=UB24-00001800&amp;itemno=1&amp;token=87276d7537153c071cf1e3757f9286fb" TargetMode="External"/><Relationship Id="rId708" Type="http://schemas.openxmlformats.org/officeDocument/2006/relationships/hyperlink" Target="http://10.10.10.209/OASIS_FILE_MANAGER/zip_files_download.php?qid=1225407&amp;serialno=UD24-00001552&amp;itemno=1&amp;token=e3c8c002a5d723f8cc9ec5a10009fe8f" TargetMode="External"/><Relationship Id="rId915" Type="http://schemas.openxmlformats.org/officeDocument/2006/relationships/hyperlink" Target="http://10.10.10.209/OASIS_FILE_MANAGER/zip_files_download.php?qid=1563312&amp;serialno=UC26-00001551&amp;itemno=1&amp;token=684f3a74b3d1e917d2decd6e306125b8" TargetMode="External"/><Relationship Id="rId347" Type="http://schemas.openxmlformats.org/officeDocument/2006/relationships/hyperlink" Target="mailto:kitson_ng@hiphing.com.hk" TargetMode="External"/><Relationship Id="rId999" Type="http://schemas.openxmlformats.org/officeDocument/2006/relationships/hyperlink" Target="mailto:allencheung@maxims.com.hk" TargetMode="External"/><Relationship Id="rId44" Type="http://schemas.openxmlformats.org/officeDocument/2006/relationships/hyperlink" Target="mailto:aws_network@nwd.com.hk" TargetMode="External"/><Relationship Id="rId554" Type="http://schemas.openxmlformats.org/officeDocument/2006/relationships/hyperlink" Target="mailto:waichung@chowtaifook.com" TargetMode="External"/><Relationship Id="rId761" Type="http://schemas.openxmlformats.org/officeDocument/2006/relationships/hyperlink" Target="http://10.10.10.209/OASIS_FILE_MANAGER/zip_files_download.php?qid=1196030&amp;serialno=UD24-00000501&amp;itemno=1&amp;token=3236c2237035e7dbdfa1ba58f278916e" TargetMode="External"/><Relationship Id="rId859" Type="http://schemas.openxmlformats.org/officeDocument/2006/relationships/hyperlink" Target="mailto:alicloud_hip_uat@chowtaifook.com" TargetMode="External"/><Relationship Id="rId193" Type="http://schemas.openxmlformats.org/officeDocument/2006/relationships/hyperlink" Target="mailto:ict_awsadmin_dr@wkcda.hk" TargetMode="External"/><Relationship Id="rId207" Type="http://schemas.openxmlformats.org/officeDocument/2006/relationships/hyperlink" Target="mailto:andy.auyeung@jardines.com" TargetMode="External"/><Relationship Id="rId414" Type="http://schemas.openxmlformats.org/officeDocument/2006/relationships/hyperlink" Target="mailto:simonwong@bschk.com" TargetMode="External"/><Relationship Id="rId498" Type="http://schemas.openxmlformats.org/officeDocument/2006/relationships/hyperlink" Target="http://10.10.10.209/OASIS_FILE_MANAGER/zip_files_download.php?qid=1325532&amp;serialno=UC24-00006956&amp;itemno=1&amp;token=5ec2997e53fb37238f0358c51f50024f" TargetMode="External"/><Relationship Id="rId621" Type="http://schemas.openxmlformats.org/officeDocument/2006/relationships/hyperlink" Target="javascript:openWindow('/servlet/IncidentDetailServlet?incidentId=SD11669264%27);" TargetMode="External"/><Relationship Id="rId260" Type="http://schemas.openxmlformats.org/officeDocument/2006/relationships/hyperlink" Target="mailto:cyrus@monmonkeygroup.com" TargetMode="External"/><Relationship Id="rId719" Type="http://schemas.openxmlformats.org/officeDocument/2006/relationships/hyperlink" Target="http://10.10.10.209/OASIS_FILE_MANAGER/zip_files_download.php?qid=1221079&amp;serialno=UB24-00001721&amp;itemno=1&amp;token=a964a32236e9d92cb29b0b25f27a5288" TargetMode="External"/><Relationship Id="rId926" Type="http://schemas.openxmlformats.org/officeDocument/2006/relationships/hyperlink" Target="mailto:sboa@maxims.com.hk" TargetMode="External"/><Relationship Id="rId55" Type="http://schemas.openxmlformats.org/officeDocument/2006/relationships/hyperlink" Target="mailto:aws_tmarkwebappuat@chowtaifook.com" TargetMode="External"/><Relationship Id="rId120" Type="http://schemas.openxmlformats.org/officeDocument/2006/relationships/hyperlink" Target="mailto:aaws.hkiaapdt.socc@hkairport.com%20(PROD)" TargetMode="External"/><Relationship Id="rId358" Type="http://schemas.openxmlformats.org/officeDocument/2006/relationships/hyperlink" Target="mailto:haru.ng@hkairport.com" TargetMode="External"/><Relationship Id="rId565" Type="http://schemas.openxmlformats.org/officeDocument/2006/relationships/hyperlink" Target="mailto:FUNGGKC@hkairport.com" TargetMode="External"/><Relationship Id="rId772" Type="http://schemas.openxmlformats.org/officeDocument/2006/relationships/hyperlink" Target="mailto:halocamapsyssupp@ha.org.hk" TargetMode="External"/><Relationship Id="rId218" Type="http://schemas.openxmlformats.org/officeDocument/2006/relationships/hyperlink" Target="http://10.10.10.209/OASIS_FILE_MANAGER/zip_files_download.php?qid=1437579&amp;serialno=UB25-00004324&amp;itemno=1&amp;token=d23f31f95c7e154f012227d36ac5a7e2" TargetMode="External"/><Relationship Id="rId425" Type="http://schemas.openxmlformats.org/officeDocument/2006/relationships/hyperlink" Target="mailto:alicloud_gravityprd@chowtaifook.com" TargetMode="External"/><Relationship Id="rId632" Type="http://schemas.openxmlformats.org/officeDocument/2006/relationships/hyperlink" Target="mailto:n3incidentsupp@ha.org.hk;%20chanhca@ha.org.hk;%20leo.lam@ha.org.hk" TargetMode="External"/><Relationship Id="rId271" Type="http://schemas.openxmlformats.org/officeDocument/2006/relationships/hyperlink" Target="mailto:lamho@hkairport.com" TargetMode="External"/><Relationship Id="rId937" Type="http://schemas.openxmlformats.org/officeDocument/2006/relationships/hyperlink" Target="mailto:allencheung@maxims.com.hk" TargetMode="External"/><Relationship Id="rId66" Type="http://schemas.openxmlformats.org/officeDocument/2006/relationships/hyperlink" Target="mailto:kin.luk@ha.org.hk" TargetMode="External"/><Relationship Id="rId131" Type="http://schemas.openxmlformats.org/officeDocument/2006/relationships/hyperlink" Target="http://10.10.10.209/OASIS_FILE_MANAGER/zip_files_download.php?qid=1478799&amp;serialno=UB25-00006163&amp;itemno=1&amp;token=d23f31f95c7e154f012227d36ac5a7e2" TargetMode="External"/><Relationship Id="rId369" Type="http://schemas.openxmlformats.org/officeDocument/2006/relationships/hyperlink" Target="mailto:kin.luk@ha.org.hk" TargetMode="External"/><Relationship Id="rId576" Type="http://schemas.openxmlformats.org/officeDocument/2006/relationships/hyperlink" Target="mailto:waichung@chowtaifook.com" TargetMode="External"/><Relationship Id="rId783" Type="http://schemas.openxmlformats.org/officeDocument/2006/relationships/hyperlink" Target="mailto:hsa-aws-shared-nonprod@nwcs.com.hk" TargetMode="External"/><Relationship Id="rId990" Type="http://schemas.openxmlformats.org/officeDocument/2006/relationships/hyperlink" Target="mailto:allencheung@maxims.com.hk" TargetMode="External"/><Relationship Id="rId229" Type="http://schemas.openxmlformats.org/officeDocument/2006/relationships/hyperlink" Target="http://10.10.10.209/OASIS_FILE_MANAGER/zip_files_download.php?qid=1410754&amp;serialno=TI25-00003668&amp;itemno=1&amp;token=35a8d3955406018c0aaa17a463f8488b" TargetMode="External"/><Relationship Id="rId436" Type="http://schemas.openxmlformats.org/officeDocument/2006/relationships/hyperlink" Target="mailto:waichung@chowtaifook.com" TargetMode="External"/><Relationship Id="rId643" Type="http://schemas.openxmlformats.org/officeDocument/2006/relationships/hyperlink" Target="mailto:virginia.lau@hkairport.com" TargetMode="External"/><Relationship Id="rId850" Type="http://schemas.openxmlformats.org/officeDocument/2006/relationships/hyperlink" Target="mailto:aws_admin@incomepartners.com" TargetMode="External"/><Relationship Id="rId948" Type="http://schemas.openxmlformats.org/officeDocument/2006/relationships/hyperlink" Target="mailto:allencheung@maxims.com.hk" TargetMode="External"/><Relationship Id="rId77" Type="http://schemas.openxmlformats.org/officeDocument/2006/relationships/hyperlink" Target="mailto:alicloud@consumer.org.hk" TargetMode="External"/><Relationship Id="rId282" Type="http://schemas.openxmlformats.org/officeDocument/2006/relationships/hyperlink" Target="http://10.10.10.209/OASIS_FILE_MANAGER/zip_files_download.php?qid=1409188&amp;serialno=UB25-00002983&amp;itemno=1&amp;token=acddc3ef143d61133d36ebdde799eab9" TargetMode="External"/><Relationship Id="rId503" Type="http://schemas.openxmlformats.org/officeDocument/2006/relationships/hyperlink" Target="mailto:bis1nonprdopsupport@ha.org.hk" TargetMode="External"/><Relationship Id="rId587" Type="http://schemas.openxmlformats.org/officeDocument/2006/relationships/hyperlink" Target="mailto:gary.fung@shacombank.com.hk" TargetMode="External"/><Relationship Id="rId710" Type="http://schemas.openxmlformats.org/officeDocument/2006/relationships/hyperlink" Target="http://10.10.10.209/OASIS_FILE_MANAGER/zip_files_download.php?qid=1224843&amp;serialno=UB24-00001859&amp;itemno=1&amp;token=61ab8cd8d23432b22af0854ed48ab6cf" TargetMode="External"/><Relationship Id="rId808" Type="http://schemas.openxmlformats.org/officeDocument/2006/relationships/hyperlink" Target="mailto:Stanley.yk.chan@pccw.com" TargetMode="External"/><Relationship Id="rId8" Type="http://schemas.openxmlformats.org/officeDocument/2006/relationships/hyperlink" Target="http://10.10.10.209/OASIS_FILE_MANAGER/zip_files_download.php?qid=1538613&amp;serialno=UB26-00000368&amp;itemno=1&amp;token=d23f31f95c7e154f012227d36ac5a7e2" TargetMode="External"/><Relationship Id="rId142" Type="http://schemas.openxmlformats.org/officeDocument/2006/relationships/hyperlink" Target="mailto:radek.chan@wkcda.hk" TargetMode="External"/><Relationship Id="rId447" Type="http://schemas.openxmlformats.org/officeDocument/2006/relationships/hyperlink" Target="http://10.10.10.209/OASIS_FILE_MANAGER/zip_files_download.php?qid=1338481&amp;serialno=UB24-00007239&amp;itemno=1&amp;token=a964a32236e9d92cb29b0b25f27a5288" TargetMode="External"/><Relationship Id="rId794" Type="http://schemas.openxmlformats.org/officeDocument/2006/relationships/hyperlink" Target="http://10.10.10.209/OASIS_FILE_MANAGER/zip_files_download.php?qid=1170097&amp;serialno=GB24-00000901&amp;itemno=1&amp;token=a964a32236e9d92cb29b0b25f27a5288" TargetMode="External"/><Relationship Id="rId654" Type="http://schemas.openxmlformats.org/officeDocument/2006/relationships/hyperlink" Target="http://10.10.10.209/OASIS_FILE_MANAGER/zip_files_download.php?qid=1153963&amp;serialno=GA24-00000064&amp;itemno=1&amp;token=237b31a7d1fa1e345e3690308e4b677c" TargetMode="External"/><Relationship Id="rId861" Type="http://schemas.openxmlformats.org/officeDocument/2006/relationships/hyperlink" Target="http://10.10.10.209/OASIS_FILE_MANAGER/zip_files_download.php?qid=1547776&amp;serialno=UD26-00000499&amp;itemno=1&amp;token=d2fcc63539ab421111515b95e3d48e8c" TargetMode="External"/><Relationship Id="rId959" Type="http://schemas.openxmlformats.org/officeDocument/2006/relationships/hyperlink" Target="mailto:allencheung@maxims.com.hk" TargetMode="External"/><Relationship Id="rId293" Type="http://schemas.openxmlformats.org/officeDocument/2006/relationships/hyperlink" Target="mailto:it-cloud-team@pccw.com" TargetMode="External"/><Relationship Id="rId307" Type="http://schemas.openxmlformats.org/officeDocument/2006/relationships/hyperlink" Target="http://10.10.10.209/OASIS_FILE_MANAGER/zip_files_download.php?qid=1399899&amp;serialno=UB25-00002525&amp;itemno=1&amp;token=d23f31f95c7e154f012227d36ac5a7e2" TargetMode="External"/><Relationship Id="rId514" Type="http://schemas.openxmlformats.org/officeDocument/2006/relationships/hyperlink" Target="mailto:davy.lin@aastocks.com" TargetMode="External"/><Relationship Id="rId721" Type="http://schemas.openxmlformats.org/officeDocument/2006/relationships/hyperlink" Target="mailto:kin.luk@ha.org.hk" TargetMode="External"/><Relationship Id="rId88" Type="http://schemas.openxmlformats.org/officeDocument/2006/relationships/hyperlink" Target="http://10.10.10.209/OASIS_FILE_MANAGER/zip_files_download.php?qid=1492211&amp;serialno=UB25-00006844&amp;itemno=1&amp;token=d23f31f95c7e154f012227d36ac5a7e2" TargetMode="External"/><Relationship Id="rId153" Type="http://schemas.openxmlformats.org/officeDocument/2006/relationships/hyperlink" Target="mailto:johnson.wong@uobkayhian.com.hk" TargetMode="External"/><Relationship Id="rId360" Type="http://schemas.openxmlformats.org/officeDocument/2006/relationships/hyperlink" Target="http://10.10.10.209/OASIS_FILE_MANAGER/zip_files_download.php?qid=1373582&amp;serialno=UB25-00001247&amp;itemno=1&amp;token=a964a32236e9d92cb29b0b25f27a5288" TargetMode="External"/><Relationship Id="rId598" Type="http://schemas.openxmlformats.org/officeDocument/2006/relationships/hyperlink" Target="http://10.10.10.209/OASIS_FILE_MANAGER/zip_files_download.php?qid=1281606&amp;serialno=UD24-00003293&amp;itemno=1&amp;token=d2fcc63539ab421111515b95e3d48e8c" TargetMode="External"/><Relationship Id="rId819" Type="http://schemas.openxmlformats.org/officeDocument/2006/relationships/hyperlink" Target="http://10.10.10.209/OASIS_FILE_MANAGER/zip_files_download.php?qid=1160778&amp;serialno=CA23-00011909&amp;itemno=1&amp;token=3c7bd89e447a74f822154e4023a9e10e" TargetMode="External"/><Relationship Id="rId1004" Type="http://schemas.openxmlformats.org/officeDocument/2006/relationships/hyperlink" Target="mailto:allencheung@maxims.com.hk" TargetMode="External"/><Relationship Id="rId220" Type="http://schemas.openxmlformats.org/officeDocument/2006/relationships/hyperlink" Target="http://10.10.10.209/OASIS_FILE_MANAGER/zip_files_download.php?qid=1435934&amp;serialno=BBSMA25-00000427&amp;itemno=1&amp;token=0cc88db95574e130f1ff0784c353575e" TargetMode="External"/><Relationship Id="rId458" Type="http://schemas.openxmlformats.org/officeDocument/2006/relationships/hyperlink" Target="mailto:nwcs_aws_crm_modules_prd@nwcs.com.hk" TargetMode="External"/><Relationship Id="rId665" Type="http://schemas.openxmlformats.org/officeDocument/2006/relationships/hyperlink" Target="http://10.10.10.209/OASIS_FILE_MANAGER/zip_files_download.php?qid=1223483&amp;serialno=UB24-00001800&amp;itemno=1&amp;token=87276d7537153c071cf1e3757f9286fb" TargetMode="External"/><Relationship Id="rId872" Type="http://schemas.openxmlformats.org/officeDocument/2006/relationships/hyperlink" Target="http://10.10.10.209/OASIS_FILE_MANAGER/zip_files_download.php?qid=1552849&amp;serialno=TI26-00001240&amp;itemno=1&amp;token=1108ff531753950bd757eb25ee092d41" TargetMode="External"/><Relationship Id="rId15" Type="http://schemas.openxmlformats.org/officeDocument/2006/relationships/hyperlink" Target="mailto:ftd-cstcb-for-d-office@police.gov.hk" TargetMode="External"/><Relationship Id="rId318" Type="http://schemas.openxmlformats.org/officeDocument/2006/relationships/hyperlink" Target="mailto:hkt-redlab@hkt-cloud.com" TargetMode="External"/><Relationship Id="rId525" Type="http://schemas.openxmlformats.org/officeDocument/2006/relationships/hyperlink" Target="mailto:waichung@chowtaifook.com" TargetMode="External"/><Relationship Id="rId732" Type="http://schemas.openxmlformats.org/officeDocument/2006/relationships/hyperlink" Target="mailto:hoitt6support@ha.org.hk;%20john.pun@ha.org.hk;%20lct893@ha.org.hk;%20clt207@ha.org.hk;%20aldan.lau@ha.org.hk;%20harvey.chow@ha.org.hk" TargetMode="External"/><Relationship Id="rId99" Type="http://schemas.openxmlformats.org/officeDocument/2006/relationships/hyperlink" Target="http://10.10.10.209/OASIS_FILE_MANAGER/zip_files_download.php?qid=1485445&amp;serialno=UC25-00007273&amp;itemno=1&amp;token=b48aaf9389272a221f346aa78283d332" TargetMode="External"/><Relationship Id="rId164" Type="http://schemas.openxmlformats.org/officeDocument/2006/relationships/hyperlink" Target="mailto:aiopspubcloudadmin@ha.org.hk" TargetMode="External"/><Relationship Id="rId371" Type="http://schemas.openxmlformats.org/officeDocument/2006/relationships/hyperlink" Target="mailto:support@hkgolfclub.org" TargetMode="External"/><Relationship Id="rId1015" Type="http://schemas.openxmlformats.org/officeDocument/2006/relationships/hyperlink" Target="mailto:allencheung@maxims.com.hk" TargetMode="External"/><Relationship Id="rId469" Type="http://schemas.openxmlformats.org/officeDocument/2006/relationships/hyperlink" Target="http://10.10.10.209/OASIS_FILE_MANAGER/zip_files_download.php?qid=1331943&amp;serialno=UE24-00005071&amp;itemno=1&amp;token=3a577825b6b079b72327513261726934" TargetMode="External"/><Relationship Id="rId676" Type="http://schemas.openxmlformats.org/officeDocument/2006/relationships/hyperlink" Target="http://10.10.10.209/OASIS_FILE_MANAGER/zip_files_download.php?qid=1223483&amp;serialno=UB24-00001800&amp;itemno=1&amp;token=87276d7537153c071cf1e3757f9286fb" TargetMode="External"/><Relationship Id="rId883" Type="http://schemas.openxmlformats.org/officeDocument/2006/relationships/hyperlink" Target="mailto:alicloud_customerfacing_prd@chowtaifook.com" TargetMode="External"/><Relationship Id="rId26" Type="http://schemas.openxmlformats.org/officeDocument/2006/relationships/hyperlink" Target="mailto:itd_ali_poc@wkcda.hk" TargetMode="External"/><Relationship Id="rId231" Type="http://schemas.openxmlformats.org/officeDocument/2006/relationships/hyperlink" Target="http://10.10.10.209/OASIS_FILE_MANAGER/zip_files_download.php?qid=1410754&amp;serialno=TI25-00003668&amp;itemno=1&amp;token=35a8d3955406018c0aaa17a463f8488b" TargetMode="External"/><Relationship Id="rId329" Type="http://schemas.openxmlformats.org/officeDocument/2006/relationships/hyperlink" Target="http://10.10.10.209/OASIS_FILE_MANAGER/zip_files_download.php?qid=1389203&amp;serialno=UE25-00001312&amp;itemno=1&amp;token=3236c2237035e7dbdfa1ba58f278916e" TargetMode="External"/><Relationship Id="rId536" Type="http://schemas.openxmlformats.org/officeDocument/2006/relationships/hyperlink" Target="mailto:infraadmin@hysan.com.hk" TargetMode="External"/><Relationship Id="rId175" Type="http://schemas.openxmlformats.org/officeDocument/2006/relationships/hyperlink" Target="mailto:aws.registration@vincentmedical.com" TargetMode="External"/><Relationship Id="rId743" Type="http://schemas.openxmlformats.org/officeDocument/2006/relationships/hyperlink" Target="http://10.10.10.209/OASIS_FILE_MANAGER/zip_files_download.php?qid=1204682&amp;serialno=UC24-00000962&amp;itemno=1&amp;token=1f7415a01d6652b715b0d92d62a0d006" TargetMode="External"/><Relationship Id="rId950" Type="http://schemas.openxmlformats.org/officeDocument/2006/relationships/hyperlink" Target="mailto:allencheung@maxims.com.hk" TargetMode="External"/><Relationship Id="rId1026" Type="http://schemas.openxmlformats.org/officeDocument/2006/relationships/hyperlink" Target="mailto:allencheung@maxims.com.hk" TargetMode="External"/><Relationship Id="rId382" Type="http://schemas.openxmlformats.org/officeDocument/2006/relationships/hyperlink" Target="mailto:Tony.Chan@jardines.com" TargetMode="External"/><Relationship Id="rId603" Type="http://schemas.openxmlformats.org/officeDocument/2006/relationships/hyperlink" Target="mailto:ehealthazuredev@ha.org.hk;%20alex.lk.wong@ha.org.hk" TargetMode="External"/><Relationship Id="rId687" Type="http://schemas.openxmlformats.org/officeDocument/2006/relationships/hyperlink" Target="http://10.10.10.209/OASIS_FILE_MANAGER/zip_files_download.php?qid=1223483&amp;serialno=UB24-00001800&amp;itemno=1&amp;token=87276d7537153c071cf1e3757f9286fb" TargetMode="External"/><Relationship Id="rId810" Type="http://schemas.openxmlformats.org/officeDocument/2006/relationships/hyperlink" Target="mailto:Benkychiu@tps.cntaiping.com" TargetMode="External"/><Relationship Id="rId908" Type="http://schemas.openxmlformats.org/officeDocument/2006/relationships/hyperlink" Target="mailto:infrastructure@rd-eqmdqa.aliyunid.com" TargetMode="External"/><Relationship Id="rId242" Type="http://schemas.openxmlformats.org/officeDocument/2006/relationships/hyperlink" Target="http://10.10.10.209/OASIS_FILE_MANAGER/zip_files_download.php?qid=1434834&amp;serialno=UD25-00002976&amp;itemno=1&amp;token=d2fcc63539ab421111515b95e3d48e8c" TargetMode="External"/><Relationship Id="rId894" Type="http://schemas.openxmlformats.org/officeDocument/2006/relationships/hyperlink" Target="mailto:alex.ng@hkstp.org" TargetMode="External"/><Relationship Id="rId37" Type="http://schemas.openxmlformats.org/officeDocument/2006/relationships/hyperlink" Target="mailto:hagohabotsubsprd@ha.org.hk" TargetMode="External"/><Relationship Id="rId102" Type="http://schemas.openxmlformats.org/officeDocument/2006/relationships/hyperlink" Target="mailto:KENNETH.TK.CHUI@BGCA.ORG.HK" TargetMode="External"/><Relationship Id="rId547" Type="http://schemas.openxmlformats.org/officeDocument/2006/relationships/hyperlink" Target="http://10.10.10.209/OASIS_FILE_MANAGER/zip_files_download.php?qid=1305246&amp;serialno=UD24-00004082&amp;itemno=1&amp;token=d2fcc63539ab421111515b95e3d48e8c" TargetMode="External"/><Relationship Id="rId754" Type="http://schemas.openxmlformats.org/officeDocument/2006/relationships/hyperlink" Target="http://10.10.10.209/OASIS_FILE_MANAGER/zip_files_download.php?qid=1203453&amp;serialno=UE24-00000604&amp;itemno=1&amp;token=3a577825b6b079b72327513261726934" TargetMode="External"/><Relationship Id="rId961" Type="http://schemas.openxmlformats.org/officeDocument/2006/relationships/hyperlink" Target="mailto:allencheung@maxims.com.hk" TargetMode="External"/><Relationship Id="rId90" Type="http://schemas.openxmlformats.org/officeDocument/2006/relationships/hyperlink" Target="http://10.10.10.209/OASIS_FILE_MANAGER/zip_files_download.php?qid=1489594&amp;serialno=UB25-00006668&amp;itemno=1&amp;token=d23f31f95c7e154f012227d36ac5a7e2" TargetMode="External"/><Relationship Id="rId186" Type="http://schemas.openxmlformats.org/officeDocument/2006/relationships/hyperlink" Target="mailto:ict_awsadmin_mpingallery@mplus.org.hk" TargetMode="External"/><Relationship Id="rId393" Type="http://schemas.openxmlformats.org/officeDocument/2006/relationships/hyperlink" Target="http://10.10.10.209/OASIS_FILE_MANAGER/zip_files_download.php?qid=1351113&amp;serialno=UE25-00000099&amp;itemno=1&amp;token=3a577825b6b079b72327513261726934" TargetMode="External"/><Relationship Id="rId407" Type="http://schemas.openxmlformats.org/officeDocument/2006/relationships/hyperlink" Target="http://10.10.10.209/OASIS_FILE_MANAGER/zip_files_download.php?qid=1346740&amp;serialno=UB24-00007653&amp;itemno=1&amp;token=87276d7537153c071cf1e3757f9286fb" TargetMode="External"/><Relationship Id="rId614" Type="http://schemas.openxmlformats.org/officeDocument/2006/relationships/hyperlink" Target="http://10.10.10.209/OASIS_FILE_MANAGER/zip_files_download.php?qid=1269847&amp;serialno=UB24-00003983&amp;itemno=1&amp;token=a964a32236e9d92cb29b0b25f27a5288" TargetMode="External"/><Relationship Id="rId821" Type="http://schemas.openxmlformats.org/officeDocument/2006/relationships/hyperlink" Target="mailto:googleone_support@hkcsl.com" TargetMode="External"/><Relationship Id="rId253" Type="http://schemas.openxmlformats.org/officeDocument/2006/relationships/hyperlink" Target="mailto:soc@ha.org.hk" TargetMode="External"/><Relationship Id="rId460" Type="http://schemas.openxmlformats.org/officeDocument/2006/relationships/hyperlink" Target="javascript:openWindow('/servlet/IncidentDetailServlet?incidentId=SD11704088%27);" TargetMode="External"/><Relationship Id="rId698" Type="http://schemas.openxmlformats.org/officeDocument/2006/relationships/hyperlink" Target="http://10.10.10.209/OASIS_FILE_MANAGER/zip_files_download.php?qid=1223483&amp;serialno=UB24-00001800&amp;itemno=1&amp;token=87276d7537153c071cf1e3757f9286fb" TargetMode="External"/><Relationship Id="rId919" Type="http://schemas.openxmlformats.org/officeDocument/2006/relationships/hyperlink" Target="mailto:Jerry.KF.Wong@pccw.com" TargetMode="External"/><Relationship Id="rId48" Type="http://schemas.openxmlformats.org/officeDocument/2006/relationships/hyperlink" Target="javascript:openWindow('/servlet/IncidentDetailServlet?incidentId=SD11803168%27);" TargetMode="External"/><Relationship Id="rId113" Type="http://schemas.openxmlformats.org/officeDocument/2006/relationships/hyperlink" Target="mailto:sc2hwcldservicebill@ha.org.hk" TargetMode="External"/><Relationship Id="rId320" Type="http://schemas.openxmlformats.org/officeDocument/2006/relationships/hyperlink" Target="http://10.10.10.209/OASIS_FILE_MANAGER/zip_files_download.php?qid=1396962&amp;serialno=BBSMA25-00000240&amp;itemno=1&amp;token=0cc88db95574e130f1ff0784c353575e" TargetMode="External"/><Relationship Id="rId558" Type="http://schemas.openxmlformats.org/officeDocument/2006/relationships/hyperlink" Target="http://10.10.10.209/OASIS_FILE_MANAGER/zip_files_download.php?qid=1299134&amp;serialno=UB24-00005362&amp;itemno=1&amp;token=acddc3ef143d61133d36ebdde799eab9" TargetMode="External"/><Relationship Id="rId765" Type="http://schemas.openxmlformats.org/officeDocument/2006/relationships/hyperlink" Target="http://10.10.10.209/OASIS_FILE_MANAGER/zip_files_download.php?qid=1196442&amp;serialno=UB24-00000655&amp;itemno=1&amp;token=6a4b9161fe3388f0bdd10456249dca09" TargetMode="External"/><Relationship Id="rId972" Type="http://schemas.openxmlformats.org/officeDocument/2006/relationships/hyperlink" Target="mailto:allencheung@maxims.com.hk" TargetMode="External"/><Relationship Id="rId197" Type="http://schemas.openxmlformats.org/officeDocument/2006/relationships/hyperlink" Target="mailto:ict_awsadmin_tix@wkcda.hk" TargetMode="External"/><Relationship Id="rId418" Type="http://schemas.openxmlformats.org/officeDocument/2006/relationships/hyperlink" Target="mailto:ringolau@takhk.com" TargetMode="External"/><Relationship Id="rId625" Type="http://schemas.openxmlformats.org/officeDocument/2006/relationships/hyperlink" Target="mailto:AWSZAPIGSQCC@hkairport.com" TargetMode="External"/><Relationship Id="rId832" Type="http://schemas.openxmlformats.org/officeDocument/2006/relationships/hyperlink" Target="mailto:yves.yueh@hkairport.com" TargetMode="External"/><Relationship Id="rId264" Type="http://schemas.openxmlformats.org/officeDocument/2006/relationships/hyperlink" Target="mailto:poonhoinam@bochk.com" TargetMode="External"/><Relationship Id="rId471" Type="http://schemas.openxmlformats.org/officeDocument/2006/relationships/hyperlink" Target="http://10.10.10.209/OASIS_FILE_MANAGER/zip_files_download.php?qid=1331943&amp;serialno=UE24-00005071&amp;itemno=1&amp;token=3a577825b6b079b72327513261726934" TargetMode="External"/><Relationship Id="rId59" Type="http://schemas.openxmlformats.org/officeDocument/2006/relationships/hyperlink" Target="http://10.10.10.209/OASIS_FILE_MANAGER/zip_files_download.php?qid=1520626&amp;serialno=TI25-00009220&amp;itemno=1&amp;token=a327c543c1f68300421f4d77f1df956f" TargetMode="External"/><Relationship Id="rId124" Type="http://schemas.openxmlformats.org/officeDocument/2006/relationships/hyperlink" Target="mailto:virginia.lau@hkairport.com" TargetMode="External"/><Relationship Id="rId569" Type="http://schemas.openxmlformats.org/officeDocument/2006/relationships/hyperlink" Target="http://10.10.10.209/OASIS_FILE_MANAGER/zip_files_download.php?qid=1290625&amp;serialno=UB24-00005026&amp;itemno=1&amp;token=61ab8cd8d23432b22af0854ed48ab6cf" TargetMode="External"/><Relationship Id="rId776" Type="http://schemas.openxmlformats.org/officeDocument/2006/relationships/hyperlink" Target="http://10.10.10.209/OASIS_FILE_MANAGER/zip_files_download.php?qid=1187141&amp;serialno=UB24-00000197&amp;itemno=1&amp;token=a964a32236e9d92cb29b0b25f27a5288" TargetMode="External"/><Relationship Id="rId983" Type="http://schemas.openxmlformats.org/officeDocument/2006/relationships/hyperlink" Target="mailto:allencheung@maxims.com.hk" TargetMode="External"/><Relationship Id="rId331" Type="http://schemas.openxmlformats.org/officeDocument/2006/relationships/hyperlink" Target="http://10.10.10.209/OASIS_FILE_MANAGER/zip_files_download.php?qid=1389217&amp;serialno=TI25-00002487&amp;itemno=1&amp;token=6a018acb188f88fcba14dcc50c3a9345" TargetMode="External"/><Relationship Id="rId429" Type="http://schemas.openxmlformats.org/officeDocument/2006/relationships/hyperlink" Target="mailto:sec-it-infra-ali-stag@crypto.com" TargetMode="External"/><Relationship Id="rId636" Type="http://schemas.openxmlformats.org/officeDocument/2006/relationships/hyperlink" Target="mailto:sc2hwcldservicebill@ha.org.hk" TargetMode="External"/><Relationship Id="rId843" Type="http://schemas.openxmlformats.org/officeDocument/2006/relationships/hyperlink" Target="mailto:dennis@dbpower.com.hk" TargetMode="External"/><Relationship Id="rId275" Type="http://schemas.openxmlformats.org/officeDocument/2006/relationships/hyperlink" Target="mailto:kin.luk@ha.org.hk" TargetMode="External"/><Relationship Id="rId482" Type="http://schemas.openxmlformats.org/officeDocument/2006/relationships/hyperlink" Target="mailto:cyrus@monmonkeygroup.com" TargetMode="External"/><Relationship Id="rId703" Type="http://schemas.openxmlformats.org/officeDocument/2006/relationships/hyperlink" Target="mailto:waichung@chowtaifook.com" TargetMode="External"/><Relationship Id="rId910" Type="http://schemas.openxmlformats.org/officeDocument/2006/relationships/hyperlink" Target="mailto:logging@rd-eqmdqa.aliyunid.com" TargetMode="External"/><Relationship Id="rId135" Type="http://schemas.openxmlformats.org/officeDocument/2006/relationships/hyperlink" Target="mailto:tracy.cs.wong@hkairport.com" TargetMode="External"/><Relationship Id="rId342" Type="http://schemas.openxmlformats.org/officeDocument/2006/relationships/hyperlink" Target="mailto:n5dmzsupport@ha.org.hk" TargetMode="External"/><Relationship Id="rId787" Type="http://schemas.openxmlformats.org/officeDocument/2006/relationships/hyperlink" Target="mailto:donng@nwcs.com.hk" TargetMode="External"/><Relationship Id="rId994" Type="http://schemas.openxmlformats.org/officeDocument/2006/relationships/hyperlink" Target="mailto:allencheung@maxims.com.hk" TargetMode="External"/><Relationship Id="rId202" Type="http://schemas.openxmlformats.org/officeDocument/2006/relationships/hyperlink" Target="mailto:no_reply_hktsme@pccw.com" TargetMode="External"/><Relationship Id="rId647" Type="http://schemas.openxmlformats.org/officeDocument/2006/relationships/hyperlink" Target="mailto:camssupport@ha.org.hk" TargetMode="External"/><Relationship Id="rId854" Type="http://schemas.openxmlformats.org/officeDocument/2006/relationships/hyperlink" Target="mailto:wwlng@sfc.hk" TargetMode="External"/><Relationship Id="rId286" Type="http://schemas.openxmlformats.org/officeDocument/2006/relationships/hyperlink" Target="mailto:roy.tsang@hkairport.com" TargetMode="External"/><Relationship Id="rId493" Type="http://schemas.openxmlformats.org/officeDocument/2006/relationships/hyperlink" Target="mailto:Joe.wan@ha.org.hk" TargetMode="External"/><Relationship Id="rId507" Type="http://schemas.openxmlformats.org/officeDocument/2006/relationships/hyperlink" Target="http://10.10.10.209/OASIS_FILE_MANAGER/zip_files_download.php?qid=1322692&amp;serialno=UE24-00004103&amp;itemno=1&amp;token=3a577825b6b079b72327513261726934" TargetMode="External"/><Relationship Id="rId714" Type="http://schemas.openxmlformats.org/officeDocument/2006/relationships/hyperlink" Target="mailto:seamus@fano.ai" TargetMode="External"/><Relationship Id="rId921" Type="http://schemas.openxmlformats.org/officeDocument/2006/relationships/hyperlink" Target="mailto:nelson.wong@ha.org.hk" TargetMode="External"/><Relationship Id="rId50" Type="http://schemas.openxmlformats.org/officeDocument/2006/relationships/hyperlink" Target="http://10.10.10.209/OASIS_FILE_MANAGER/zip_files_download.php?qid=1517194&amp;serialno=UD25-00005746&amp;itemno=1&amp;token=d2fcc63539ab421111515b95e3d48e8c" TargetMode="External"/><Relationship Id="rId146" Type="http://schemas.openxmlformats.org/officeDocument/2006/relationships/hyperlink" Target="http://10.10.10.209/OASIS_FILE_MANAGER/zip_files_download.php?qid=1476589&amp;serialno=UB25-00004997&amp;itemno=1&amp;token=acddc3ef143d61133d36ebdde799eab9" TargetMode="External"/><Relationship Id="rId353" Type="http://schemas.openxmlformats.org/officeDocument/2006/relationships/hyperlink" Target="mailto:zhanhong.wang@uisee.com" TargetMode="External"/><Relationship Id="rId560" Type="http://schemas.openxmlformats.org/officeDocument/2006/relationships/hyperlink" Target="http://10.10.10.209/OASIS_FILE_MANAGER/zip_files_download.php?qid=1299134&amp;serialno=UB24-00005362&amp;itemno=1&amp;token=acddc3ef143d61133d36ebdde799eab9" TargetMode="External"/><Relationship Id="rId798" Type="http://schemas.openxmlformats.org/officeDocument/2006/relationships/hyperlink" Target="http://10.10.10.209/OASIS_FILE_MANAGER/zip_files_download.php?qid=1174461&amp;serialno=CB24-00001025&amp;itemno=1&amp;token=6846eac8eff0831566cf6e4382db1f12" TargetMode="External"/><Relationship Id="rId213" Type="http://schemas.openxmlformats.org/officeDocument/2006/relationships/hyperlink" Target="mailto:soc@ha.org.hk" TargetMode="External"/><Relationship Id="rId420" Type="http://schemas.openxmlformats.org/officeDocument/2006/relationships/hyperlink" Target="mailto:pw.cheng@leverstyle.com" TargetMode="External"/><Relationship Id="rId658" Type="http://schemas.openxmlformats.org/officeDocument/2006/relationships/hyperlink" Target="mailto:donng@nwcs.com.hk" TargetMode="External"/><Relationship Id="rId865" Type="http://schemas.openxmlformats.org/officeDocument/2006/relationships/hyperlink" Target="mailto:meiwah.yip@hangheung.com.hk" TargetMode="External"/><Relationship Id="rId297" Type="http://schemas.openxmlformats.org/officeDocument/2006/relationships/hyperlink" Target="mailto:rickychoy@hkma.org.hk" TargetMode="External"/><Relationship Id="rId518" Type="http://schemas.openxmlformats.org/officeDocument/2006/relationships/hyperlink" Target="http://10.10.10.209/OASIS_FILE_MANAGER/zip_files_download.php?qid=1315061&amp;serialno=UD24-00004501&amp;itemno=1&amp;token=d2fcc63539ab421111515b95e3d48e8c" TargetMode="External"/><Relationship Id="rId725" Type="http://schemas.openxmlformats.org/officeDocument/2006/relationships/hyperlink" Target="http://10.10.10.209/OASIS_FILE_MANAGER/zip_files_download.php?qid=1173081&amp;serialno=GA24-00000974&amp;itemno=1&amp;token=4c9c8052ef72fa96bad22a04d363ee62" TargetMode="External"/><Relationship Id="rId932" Type="http://schemas.openxmlformats.org/officeDocument/2006/relationships/hyperlink" Target="mailto:allencheung@maxims.com.hk" TargetMode="External"/><Relationship Id="rId157" Type="http://schemas.openxmlformats.org/officeDocument/2006/relationships/hyperlink" Target="http://10.10.10.209/OASIS_FILE_MANAGER/zip_files_download.php?qid=1461953&amp;serialno=UB25-00005450&amp;itemno=1&amp;token=d23f31f95c7e154f012227d36ac5a7e2" TargetMode="External"/><Relationship Id="rId364" Type="http://schemas.openxmlformats.org/officeDocument/2006/relationships/hyperlink" Target="mailto:kin.luk@ha.org.hk" TargetMode="External"/><Relationship Id="rId1008" Type="http://schemas.openxmlformats.org/officeDocument/2006/relationships/hyperlink" Target="mailto:allencheung@maxims.com.hk" TargetMode="External"/><Relationship Id="rId61" Type="http://schemas.openxmlformats.org/officeDocument/2006/relationships/hyperlink" Target="mailto:conan.choi@crypto.com" TargetMode="External"/><Relationship Id="rId571" Type="http://schemas.openxmlformats.org/officeDocument/2006/relationships/hyperlink" Target="javascript:openWindow('/servlet/IncidentDetailServlet?incidentId=SD11686381%27);" TargetMode="External"/><Relationship Id="rId669" Type="http://schemas.openxmlformats.org/officeDocument/2006/relationships/hyperlink" Target="http://10.10.10.209/OASIS_FILE_MANAGER/zip_files_download.php?qid=1223483&amp;serialno=UB24-00001800&amp;itemno=1&amp;token=87276d7537153c071cf1e3757f9286fb" TargetMode="External"/><Relationship Id="rId876" Type="http://schemas.openxmlformats.org/officeDocument/2006/relationships/hyperlink" Target="mailto:ehrdvpportaldev@ha.org.hk" TargetMode="External"/><Relationship Id="rId19" Type="http://schemas.openxmlformats.org/officeDocument/2006/relationships/hyperlink" Target="mailto:nelson.wong@ha.org.hk" TargetMode="External"/><Relationship Id="rId224" Type="http://schemas.openxmlformats.org/officeDocument/2006/relationships/hyperlink" Target="http://10.10.10.209/OASIS_FILE_MANAGER/zip_files_download.php?qid=1435768&amp;serialno=TI25-00003668&amp;itemno=1&amp;token=35a8d3955406018c0aaa17a463f8488b" TargetMode="External"/><Relationship Id="rId431" Type="http://schemas.openxmlformats.org/officeDocument/2006/relationships/hyperlink" Target="mailto:system_hk@aastocks.com" TargetMode="External"/><Relationship Id="rId529" Type="http://schemas.openxmlformats.org/officeDocument/2006/relationships/hyperlink" Target="mailto:kester.leung@hkairport.com" TargetMode="External"/><Relationship Id="rId736" Type="http://schemas.openxmlformats.org/officeDocument/2006/relationships/hyperlink" Target="mailto:hoitcp3@ha.org.hk" TargetMode="External"/><Relationship Id="rId168" Type="http://schemas.openxmlformats.org/officeDocument/2006/relationships/hyperlink" Target="mailto:candice.wm.chan@hkairport.com" TargetMode="External"/><Relationship Id="rId943" Type="http://schemas.openxmlformats.org/officeDocument/2006/relationships/hyperlink" Target="mailto:allencheung@maxims.com.hk" TargetMode="External"/><Relationship Id="rId1019" Type="http://schemas.openxmlformats.org/officeDocument/2006/relationships/hyperlink" Target="mailto:allencheung@maxims.com.hk" TargetMode="External"/><Relationship Id="rId72" Type="http://schemas.openxmlformats.org/officeDocument/2006/relationships/hyperlink" Target="mailto:CSTCB2024@gmail.com" TargetMode="External"/><Relationship Id="rId375" Type="http://schemas.openxmlformats.org/officeDocument/2006/relationships/hyperlink" Target="mailto:psc_admin@psuccesshk.com" TargetMode="External"/><Relationship Id="rId582" Type="http://schemas.openxmlformats.org/officeDocument/2006/relationships/hyperlink" Target="mailto:donng@nwcs.com.hk" TargetMode="External"/><Relationship Id="rId803" Type="http://schemas.openxmlformats.org/officeDocument/2006/relationships/hyperlink" Target="http://10.10.10.209/OASIS_FILE_MANAGER/zip_files_download.php?qid=1171835&amp;serialno=GB24-00000980&amp;itemno=1&amp;token=130994d99428d806a08c466b41518bef" TargetMode="External"/><Relationship Id="rId3" Type="http://schemas.openxmlformats.org/officeDocument/2006/relationships/hyperlink" Target="http://10.10.10.209/OASIS_FILE_MANAGER/zip_files_download.php?qid=1546416&amp;serialno=UB26-00000719&amp;itemno=1&amp;token=acddc3ef143d61133d36ebdde799eab9" TargetMode="External"/><Relationship Id="rId235" Type="http://schemas.openxmlformats.org/officeDocument/2006/relationships/hyperlink" Target="http://10.10.10.209/OASIS_FILE_MANAGER/zip_files_download.php?qid=1410754&amp;serialno=TI25-00003668&amp;itemno=1&amp;token=35a8d3955406018c0aaa17a463f8488b" TargetMode="External"/><Relationship Id="rId442" Type="http://schemas.openxmlformats.org/officeDocument/2006/relationships/hyperlink" Target="mailto:xu.zhilei3@huawei.com" TargetMode="External"/><Relationship Id="rId887" Type="http://schemas.openxmlformats.org/officeDocument/2006/relationships/hyperlink" Target="mailto:alex.ng@hkstp.org" TargetMode="External"/><Relationship Id="rId302" Type="http://schemas.openxmlformats.org/officeDocument/2006/relationships/hyperlink" Target="http://10.10.10.209/OASIS_FILE_MANAGER/zip_files_download.php?qid=1402679&amp;serialno=UA25-00001502&amp;itemno=1&amp;token=7c62c99d6dd9a8fec605279ddb15246e" TargetMode="External"/><Relationship Id="rId747" Type="http://schemas.openxmlformats.org/officeDocument/2006/relationships/hyperlink" Target="mailto:nwd_aws_nwdpss_prd@nwcs.com.hk" TargetMode="External"/><Relationship Id="rId954" Type="http://schemas.openxmlformats.org/officeDocument/2006/relationships/hyperlink" Target="mailto:allencheung@maxims.com.hk" TargetMode="External"/><Relationship Id="rId83" Type="http://schemas.openxmlformats.org/officeDocument/2006/relationships/hyperlink" Target="mailto:radek.chan@wkcda.hk" TargetMode="External"/><Relationship Id="rId179" Type="http://schemas.openxmlformats.org/officeDocument/2006/relationships/hyperlink" Target="mailto:ict_awsadmin_hkpmcms@hkpm.org.hk" TargetMode="External"/><Relationship Id="rId386" Type="http://schemas.openxmlformats.org/officeDocument/2006/relationships/hyperlink" Target="mailto:andrew.fung@hactl.com" TargetMode="External"/><Relationship Id="rId593" Type="http://schemas.openxmlformats.org/officeDocument/2006/relationships/hyperlink" Target="mailto:ridley.man@shacombank.com.hk" TargetMode="External"/><Relationship Id="rId607" Type="http://schemas.openxmlformats.org/officeDocument/2006/relationships/hyperlink" Target="http://10.10.10.209/OASIS_FILE_MANAGER/zip_files_download.php?qid=1273798&amp;serialno=UB24-00004154&amp;itemno=1&amp;token=acddc3ef143d61133d36ebdde799eab9" TargetMode="External"/><Relationship Id="rId814" Type="http://schemas.openxmlformats.org/officeDocument/2006/relationships/hyperlink" Target="mailto:admin@hkttts.onmicrosoft.com" TargetMode="External"/><Relationship Id="rId246" Type="http://schemas.openxmlformats.org/officeDocument/2006/relationships/hyperlink" Target="http://10.10.10.209/OASIS_FILE_MANAGER/zip_files_download.php?qid=1433850&amp;serialno=UB25-00004119&amp;itemno=1&amp;token=a964a32236e9d92cb29b0b25f27a5288" TargetMode="External"/><Relationship Id="rId453" Type="http://schemas.openxmlformats.org/officeDocument/2006/relationships/hyperlink" Target="http://10.10.10.209/OASIS_FILE_MANAGER/zip_files_download.php?qid=1336888&amp;serialno=UB24-00007172&amp;itemno=1&amp;token=a964a32236e9d92cb29b0b25f27a5288" TargetMode="External"/><Relationship Id="rId660" Type="http://schemas.openxmlformats.org/officeDocument/2006/relationships/hyperlink" Target="http://10.10.10.209/OASIS_FILE_MANAGER/zip_files_download.php?qid=1223483&amp;serialno=UB24-00001800&amp;itemno=1&amp;token=87276d7537153c071cf1e3757f9286fb" TargetMode="External"/><Relationship Id="rId898" Type="http://schemas.openxmlformats.org/officeDocument/2006/relationships/hyperlink" Target="mailto:alex.ng@hkstp.org" TargetMode="External"/><Relationship Id="rId106" Type="http://schemas.openxmlformats.org/officeDocument/2006/relationships/hyperlink" Target="mailto:google_cloud@chowtaifook.com" TargetMode="External"/><Relationship Id="rId313" Type="http://schemas.openxmlformats.org/officeDocument/2006/relationships/hyperlink" Target="mailto:sylvia.ky.chan@hkairport.com" TargetMode="External"/><Relationship Id="rId758" Type="http://schemas.openxmlformats.org/officeDocument/2006/relationships/hyperlink" Target="mailto:hoais1ailabhdevsupp@ha.org.hk" TargetMode="External"/><Relationship Id="rId965" Type="http://schemas.openxmlformats.org/officeDocument/2006/relationships/hyperlink" Target="mailto:allencheung@maxims.com.hk" TargetMode="External"/><Relationship Id="rId10" Type="http://schemas.openxmlformats.org/officeDocument/2006/relationships/hyperlink" Target="http://10.10.10.209/OASIS_FILE_MANAGER/zip_files_download.php?qid=1541193&amp;serialno=UD26-00000220&amp;itemno=1&amp;token=d2fcc63539ab421111515b95e3d48e8c" TargetMode="External"/><Relationship Id="rId94" Type="http://schemas.openxmlformats.org/officeDocument/2006/relationships/hyperlink" Target="mailto:modernitd2025@gmail.com" TargetMode="External"/><Relationship Id="rId397" Type="http://schemas.openxmlformats.org/officeDocument/2006/relationships/hyperlink" Target="mailto:nwd-aws-nwc-loyalty-engine-nonprd@nws.com.hk" TargetMode="External"/><Relationship Id="rId520" Type="http://schemas.openxmlformats.org/officeDocument/2006/relationships/hyperlink" Target="http://10.10.10.209/OASIS_FILE_MANAGER/zip_files_download.php?qid=1315061&amp;serialno=UD24-00004501&amp;itemno=1&amp;token=d2fcc63539ab421111515b95e3d48e8c" TargetMode="External"/><Relationship Id="rId618" Type="http://schemas.openxmlformats.org/officeDocument/2006/relationships/hyperlink" Target="mailto:dickywong@nwcs.com.hk/%2025231056" TargetMode="External"/><Relationship Id="rId825" Type="http://schemas.openxmlformats.org/officeDocument/2006/relationships/hyperlink" Target="http://10.10.10.209/OASIS_FILE_MANAGER/zip_files_download.php?qid=1154553&amp;serialno=GB23-00007764&amp;itemno=1&amp;token=87276d7537153c071cf1e3757f9286fb" TargetMode="External"/><Relationship Id="rId257" Type="http://schemas.openxmlformats.org/officeDocument/2006/relationships/hyperlink" Target="http://10.10.10.209/OASIS_FILE_MANAGER/zip_files_download.php?qid=1424037&amp;serialno=UB25-00003701&amp;itemno=1&amp;token=61ab8cd8d23432b22af0854ed48ab6cf" TargetMode="External"/><Relationship Id="rId464" Type="http://schemas.openxmlformats.org/officeDocument/2006/relationships/hyperlink" Target="mailto:nwd_aws_nwc_crm_nonprd@nwcs.com.hk" TargetMode="External"/><Relationship Id="rId1010" Type="http://schemas.openxmlformats.org/officeDocument/2006/relationships/hyperlink" Target="mailto:allencheung@maxims.com.hk" TargetMode="External"/><Relationship Id="rId117" Type="http://schemas.openxmlformats.org/officeDocument/2006/relationships/hyperlink" Target="http://10.10.10.209/OASIS_FILE_MANAGER/zip_files_download.php?qid=1480733&amp;serialno=UB25-00006301&amp;itemno=1&amp;token=d23f31f95c7e154f012227d36ac5a7e2" TargetMode="External"/><Relationship Id="rId671" Type="http://schemas.openxmlformats.org/officeDocument/2006/relationships/hyperlink" Target="http://10.10.10.209/OASIS_FILE_MANAGER/zip_files_download.php?qid=1223483&amp;serialno=UB24-00001800&amp;itemno=1&amp;token=87276d7537153c071cf1e3757f9286fb" TargetMode="External"/><Relationship Id="rId769" Type="http://schemas.openxmlformats.org/officeDocument/2006/relationships/hyperlink" Target="http://10.10.10.209/OASIS_FILE_MANAGER/zip_files_download.php?qid=1190790&amp;serialno=UD24-00000300&amp;itemno=1&amp;token=d2fcc63539ab421111515b95e3d48e8c" TargetMode="External"/><Relationship Id="rId976" Type="http://schemas.openxmlformats.org/officeDocument/2006/relationships/hyperlink" Target="mailto:allencheung@maxims.com.h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542F7-90D3-4413-8F1A-354216E31CBE}">
  <dimension ref="A1:AD1065"/>
  <sheetViews>
    <sheetView tabSelected="1" topLeftCell="A963" workbookViewId="0">
      <selection activeCell="A965" sqref="A965"/>
    </sheetView>
  </sheetViews>
  <sheetFormatPr defaultRowHeight="14.5"/>
  <cols>
    <col min="1" max="1" width="20.6328125" bestFit="1" customWidth="1"/>
    <col min="2" max="2" width="15.7265625" bestFit="1" customWidth="1"/>
    <col min="3" max="3" width="30.7265625" bestFit="1" customWidth="1"/>
    <col min="4" max="4" width="36.26953125" bestFit="1" customWidth="1"/>
    <col min="5" max="5" width="31.36328125" bestFit="1" customWidth="1"/>
    <col min="6" max="6" width="71.1796875" bestFit="1" customWidth="1"/>
    <col min="7" max="7" width="83.453125" bestFit="1" customWidth="1"/>
    <col min="8" max="8" width="64.08984375" bestFit="1" customWidth="1"/>
    <col min="9" max="9" width="25.1796875" bestFit="1" customWidth="1"/>
    <col min="10" max="10" width="43.26953125" bestFit="1" customWidth="1"/>
    <col min="11" max="11" width="36.1796875" bestFit="1" customWidth="1"/>
    <col min="12" max="12" width="62.08984375" bestFit="1" customWidth="1"/>
    <col min="13" max="13" width="66.36328125" bestFit="1" customWidth="1"/>
    <col min="14" max="14" width="12.7265625" bestFit="1" customWidth="1"/>
    <col min="15" max="15" width="42.1796875" bestFit="1" customWidth="1"/>
    <col min="16" max="16" width="134.26953125" bestFit="1" customWidth="1"/>
    <col min="17" max="17" width="10.08984375" bestFit="1" customWidth="1"/>
    <col min="18" max="18" width="10.81640625" bestFit="1" customWidth="1"/>
    <col min="19" max="19" width="15.6328125" bestFit="1" customWidth="1"/>
    <col min="20" max="20" width="26.6328125" bestFit="1" customWidth="1"/>
    <col min="21" max="21" width="22.08984375" bestFit="1" customWidth="1"/>
    <col min="22" max="22" width="13.90625" bestFit="1" customWidth="1"/>
    <col min="23" max="23" width="26.1796875" bestFit="1" customWidth="1"/>
    <col min="24" max="24" width="17" bestFit="1" customWidth="1"/>
    <col min="25" max="25" width="72.90625" bestFit="1" customWidth="1"/>
    <col min="26" max="26" width="12.7265625" bestFit="1" customWidth="1"/>
    <col min="27" max="27" width="11.81640625" bestFit="1" customWidth="1"/>
    <col min="28" max="28" width="12.08984375" bestFit="1" customWidth="1"/>
    <col min="29" max="29" width="8" bestFit="1" customWidth="1"/>
    <col min="30" max="30" width="150.90625" bestFit="1" customWidth="1"/>
  </cols>
  <sheetData>
    <row r="1" spans="1:30" ht="52.5">
      <c r="A1" s="24" t="s">
        <v>328</v>
      </c>
      <c r="B1" s="25" t="s">
        <v>329</v>
      </c>
      <c r="C1" s="26" t="s">
        <v>330</v>
      </c>
      <c r="D1" s="27" t="s">
        <v>331</v>
      </c>
      <c r="E1" s="28" t="s">
        <v>6548</v>
      </c>
      <c r="F1" s="1" t="s">
        <v>6549</v>
      </c>
      <c r="G1" s="1" t="s">
        <v>0</v>
      </c>
      <c r="H1" s="29" t="s">
        <v>332</v>
      </c>
      <c r="I1" s="30" t="s">
        <v>333</v>
      </c>
      <c r="J1" s="31" t="s">
        <v>6550</v>
      </c>
      <c r="K1" s="31" t="s">
        <v>6551</v>
      </c>
      <c r="L1" s="32" t="s">
        <v>6552</v>
      </c>
      <c r="M1" s="30" t="s">
        <v>334</v>
      </c>
      <c r="N1" s="30" t="s">
        <v>335</v>
      </c>
      <c r="O1" s="30" t="s">
        <v>336</v>
      </c>
      <c r="P1" s="33" t="s">
        <v>337</v>
      </c>
      <c r="Q1" s="34" t="s">
        <v>338</v>
      </c>
      <c r="R1" s="35" t="s">
        <v>339</v>
      </c>
      <c r="S1" s="36" t="s">
        <v>340</v>
      </c>
      <c r="T1" s="37" t="s">
        <v>341</v>
      </c>
      <c r="U1" s="38" t="s">
        <v>342</v>
      </c>
      <c r="V1" s="39" t="s">
        <v>343</v>
      </c>
      <c r="W1" s="37" t="s">
        <v>344</v>
      </c>
      <c r="X1" s="38" t="s">
        <v>345</v>
      </c>
      <c r="Y1" s="40" t="s">
        <v>346</v>
      </c>
      <c r="Z1" s="41" t="s">
        <v>6553</v>
      </c>
      <c r="AA1" s="42" t="s">
        <v>347</v>
      </c>
      <c r="AB1" s="43" t="s">
        <v>6554</v>
      </c>
      <c r="AC1" s="44" t="s">
        <v>348</v>
      </c>
      <c r="AD1" s="45" t="s">
        <v>349</v>
      </c>
    </row>
    <row r="2" spans="1:30" ht="15">
      <c r="A2" s="3" t="s">
        <v>350</v>
      </c>
      <c r="B2" s="46"/>
      <c r="C2" s="3"/>
      <c r="D2" s="3" t="s">
        <v>351</v>
      </c>
      <c r="E2" s="6">
        <v>23038766</v>
      </c>
      <c r="F2" s="47"/>
      <c r="G2" s="3" t="s">
        <v>2</v>
      </c>
      <c r="H2" s="13" t="str">
        <f>IFERROR(VLOOKUP(G2, Sheet2!$A:$B, 2, FALSE), A2)</f>
        <v>WING FUNG REALTY INVESTMENT LIMITED</v>
      </c>
      <c r="I2" s="6" t="s">
        <v>352</v>
      </c>
      <c r="J2" s="48"/>
      <c r="K2" s="48"/>
      <c r="L2" s="9"/>
      <c r="M2" s="15" t="s">
        <v>353</v>
      </c>
      <c r="N2" s="15" t="s">
        <v>354</v>
      </c>
      <c r="O2" s="11"/>
      <c r="P2" s="15"/>
      <c r="Q2" s="8">
        <v>43885</v>
      </c>
      <c r="R2" s="8"/>
      <c r="S2" s="8">
        <v>43885</v>
      </c>
      <c r="T2" s="3" t="s">
        <v>355</v>
      </c>
      <c r="U2" s="49" t="s">
        <v>356</v>
      </c>
      <c r="V2" s="19" t="s">
        <v>357</v>
      </c>
      <c r="W2" s="8"/>
      <c r="X2" s="49"/>
      <c r="Y2" s="15"/>
      <c r="Z2" s="50"/>
      <c r="AA2" s="3"/>
      <c r="AB2" s="3"/>
      <c r="AC2" s="3"/>
      <c r="AD2" s="3"/>
    </row>
    <row r="3" spans="1:30" ht="93">
      <c r="A3" s="5" t="s">
        <v>350</v>
      </c>
      <c r="B3" s="46"/>
      <c r="C3" s="3"/>
      <c r="D3" s="4" t="s">
        <v>358</v>
      </c>
      <c r="E3" s="6">
        <v>23038766</v>
      </c>
      <c r="F3" s="47"/>
      <c r="G3" s="4" t="s">
        <v>2</v>
      </c>
      <c r="H3" s="13" t="str">
        <f>IFERROR(VLOOKUP(G3, Sheet2!$A:$B, 2, FALSE), A3)</f>
        <v>WING FUNG REALTY INVESTMENT LIMITED</v>
      </c>
      <c r="I3" s="6" t="s">
        <v>359</v>
      </c>
      <c r="J3" s="48"/>
      <c r="K3" s="48" t="s">
        <v>360</v>
      </c>
      <c r="L3" s="9"/>
      <c r="M3" s="51" t="s">
        <v>361</v>
      </c>
      <c r="N3" s="51"/>
      <c r="O3" s="9"/>
      <c r="P3" s="51"/>
      <c r="Q3" s="8">
        <v>44092</v>
      </c>
      <c r="R3" s="8"/>
      <c r="S3" s="8">
        <v>44123</v>
      </c>
      <c r="T3" s="4" t="s">
        <v>362</v>
      </c>
      <c r="U3" s="4" t="s">
        <v>363</v>
      </c>
      <c r="V3" s="52">
        <v>102456</v>
      </c>
      <c r="W3" s="8"/>
      <c r="X3" s="4"/>
      <c r="Y3" s="9" t="s">
        <v>364</v>
      </c>
      <c r="Z3" s="53" t="s">
        <v>365</v>
      </c>
      <c r="AA3" s="4">
        <v>1</v>
      </c>
      <c r="AB3" s="54"/>
      <c r="AC3" s="54" t="s">
        <v>366</v>
      </c>
      <c r="AD3" s="3"/>
    </row>
    <row r="4" spans="1:30" ht="73.5">
      <c r="A4" s="3" t="s">
        <v>350</v>
      </c>
      <c r="B4" s="46"/>
      <c r="C4" s="3"/>
      <c r="D4" s="4" t="s">
        <v>358</v>
      </c>
      <c r="E4" s="6">
        <v>23038766</v>
      </c>
      <c r="F4" s="47" t="s">
        <v>367</v>
      </c>
      <c r="G4" s="4" t="s">
        <v>3</v>
      </c>
      <c r="H4" s="13" t="str">
        <f>IFERROR(VLOOKUP(G4, Sheet2!$A:$B, 2, FALSE), A4)</f>
        <v>WING FUNG PRECIOUS METALS LIMITED</v>
      </c>
      <c r="I4" s="6" t="s">
        <v>352</v>
      </c>
      <c r="J4" s="48" t="s">
        <v>353</v>
      </c>
      <c r="K4" s="48" t="s">
        <v>368</v>
      </c>
      <c r="L4" s="55" t="s">
        <v>369</v>
      </c>
      <c r="M4" s="15" t="s">
        <v>370</v>
      </c>
      <c r="N4" s="15"/>
      <c r="O4" s="7"/>
      <c r="P4" s="15"/>
      <c r="Q4" s="8">
        <v>44042</v>
      </c>
      <c r="R4" s="8"/>
      <c r="S4" s="8">
        <v>44042</v>
      </c>
      <c r="T4" s="4" t="s">
        <v>371</v>
      </c>
      <c r="U4" s="4" t="s">
        <v>372</v>
      </c>
      <c r="V4" s="52" t="s">
        <v>373</v>
      </c>
      <c r="W4" s="8"/>
      <c r="X4" s="4"/>
      <c r="Y4" s="9" t="s">
        <v>374</v>
      </c>
      <c r="Z4" s="53"/>
      <c r="AA4" s="8"/>
      <c r="AB4" s="5" t="s">
        <v>375</v>
      </c>
      <c r="AC4" s="3"/>
      <c r="AD4" s="3"/>
    </row>
    <row r="5" spans="1:30" ht="58.5">
      <c r="A5" s="4" t="s">
        <v>350</v>
      </c>
      <c r="B5" s="46"/>
      <c r="C5" s="3"/>
      <c r="D5" s="4" t="s">
        <v>358</v>
      </c>
      <c r="E5" s="6">
        <v>23038766</v>
      </c>
      <c r="F5" s="47"/>
      <c r="G5" s="5" t="s">
        <v>5</v>
      </c>
      <c r="H5" s="13" t="str">
        <f>IFERROR(VLOOKUP(G5, Sheet2!$A:$B, 2, FALSE), A5)</f>
        <v>WING FUNG FUTURES LIMITED</v>
      </c>
      <c r="I5" s="6" t="s">
        <v>352</v>
      </c>
      <c r="J5" s="48"/>
      <c r="K5" s="48" t="s">
        <v>376</v>
      </c>
      <c r="L5" s="9"/>
      <c r="M5" s="15" t="s">
        <v>377</v>
      </c>
      <c r="N5" s="15"/>
      <c r="O5" s="7"/>
      <c r="P5" s="15"/>
      <c r="Q5" s="8">
        <v>44047</v>
      </c>
      <c r="R5" s="8"/>
      <c r="S5" s="8">
        <v>44047</v>
      </c>
      <c r="T5" s="4" t="s">
        <v>378</v>
      </c>
      <c r="U5" s="4" t="s">
        <v>379</v>
      </c>
      <c r="V5" s="52" t="s">
        <v>380</v>
      </c>
      <c r="W5" s="8"/>
      <c r="X5" s="4"/>
      <c r="Y5" s="9" t="s">
        <v>381</v>
      </c>
      <c r="Z5" s="53"/>
      <c r="AA5" s="8"/>
      <c r="AB5" s="3"/>
      <c r="AC5" s="3"/>
      <c r="AD5" s="3"/>
    </row>
    <row r="6" spans="1:30" ht="87">
      <c r="A6" s="3" t="s">
        <v>350</v>
      </c>
      <c r="B6" s="46"/>
      <c r="C6" s="3"/>
      <c r="D6" s="56" t="s">
        <v>351</v>
      </c>
      <c r="E6" s="6">
        <v>23038766</v>
      </c>
      <c r="F6" s="57" t="s">
        <v>382</v>
      </c>
      <c r="G6" s="3" t="s">
        <v>7</v>
      </c>
      <c r="H6" s="13" t="str">
        <f>IFERROR(VLOOKUP(G6, Sheet2!$A:$B, 2, FALSE), A6)</f>
        <v>WING FUNG BULLION INVESTMENT LIMITED</v>
      </c>
      <c r="I6" s="6" t="s">
        <v>352</v>
      </c>
      <c r="J6" s="48"/>
      <c r="K6" s="48" t="s">
        <v>383</v>
      </c>
      <c r="L6" s="7"/>
      <c r="M6" s="15" t="s">
        <v>384</v>
      </c>
      <c r="N6" s="15"/>
      <c r="O6" s="7"/>
      <c r="P6" s="15" t="s">
        <v>385</v>
      </c>
      <c r="Q6" s="8">
        <v>43902</v>
      </c>
      <c r="R6" s="8"/>
      <c r="S6" s="8">
        <v>43909</v>
      </c>
      <c r="T6" s="5" t="s">
        <v>386</v>
      </c>
      <c r="U6" s="3" t="s">
        <v>387</v>
      </c>
      <c r="V6" s="19" t="s">
        <v>388</v>
      </c>
      <c r="W6" s="8"/>
      <c r="X6" s="3"/>
      <c r="Y6" s="15" t="s">
        <v>389</v>
      </c>
      <c r="Z6" s="53"/>
      <c r="AA6" s="8"/>
      <c r="AB6" s="3"/>
      <c r="AC6" s="3"/>
      <c r="AD6" s="3"/>
    </row>
    <row r="7" spans="1:30" ht="58">
      <c r="A7" s="5" t="s">
        <v>350</v>
      </c>
      <c r="B7" s="46"/>
      <c r="C7" s="3"/>
      <c r="D7" s="4" t="s">
        <v>390</v>
      </c>
      <c r="E7" s="58" t="s">
        <v>391</v>
      </c>
      <c r="F7" s="57" t="s">
        <v>392</v>
      </c>
      <c r="G7" s="4" t="s">
        <v>8</v>
      </c>
      <c r="H7" s="13" t="str">
        <f>IFERROR(VLOOKUP(G7, Sheet2!$A:$B, 2, FALSE), A7)</f>
        <v>UMADX ONLINE (MALAYSIA) SDN. BHD</v>
      </c>
      <c r="I7" s="6" t="s">
        <v>393</v>
      </c>
      <c r="J7" s="48"/>
      <c r="K7" s="48"/>
      <c r="L7" s="9"/>
      <c r="M7" s="5" t="s">
        <v>394</v>
      </c>
      <c r="N7" s="5"/>
      <c r="O7" s="9" t="s">
        <v>395</v>
      </c>
      <c r="P7" s="5"/>
      <c r="Q7" s="8">
        <v>44055</v>
      </c>
      <c r="R7" s="8"/>
      <c r="S7" s="8">
        <v>44050</v>
      </c>
      <c r="T7" s="4" t="s">
        <v>396</v>
      </c>
      <c r="U7" s="4" t="s">
        <v>397</v>
      </c>
      <c r="V7" s="52" t="s">
        <v>398</v>
      </c>
      <c r="W7" s="8"/>
      <c r="X7" s="4"/>
      <c r="Y7" s="9" t="s">
        <v>399</v>
      </c>
      <c r="Z7" s="53"/>
      <c r="AA7" s="8"/>
      <c r="AB7" s="3"/>
      <c r="AC7" s="3"/>
      <c r="AD7" s="3"/>
    </row>
    <row r="8" spans="1:30" ht="58">
      <c r="A8" s="14" t="s">
        <v>350</v>
      </c>
      <c r="B8" s="46"/>
      <c r="C8" s="3"/>
      <c r="D8" s="6" t="s">
        <v>400</v>
      </c>
      <c r="E8" s="59" t="s">
        <v>401</v>
      </c>
      <c r="F8" s="60"/>
      <c r="G8" s="6" t="s">
        <v>10</v>
      </c>
      <c r="H8" s="13" t="str">
        <f>IFERROR(VLOOKUP(G8, Sheet2!$A:$B, 2, FALSE), A8)</f>
        <v>TYSAN MANAGEMENT LIMITED</v>
      </c>
      <c r="I8" s="6" t="s">
        <v>352</v>
      </c>
      <c r="J8" s="61"/>
      <c r="K8" s="62" t="s">
        <v>402</v>
      </c>
      <c r="L8" s="17"/>
      <c r="M8" s="17" t="s">
        <v>403</v>
      </c>
      <c r="N8" s="17"/>
      <c r="O8" s="63"/>
      <c r="P8" s="17"/>
      <c r="Q8" s="64">
        <v>43977</v>
      </c>
      <c r="R8" s="8"/>
      <c r="S8" s="64">
        <v>43983</v>
      </c>
      <c r="T8" s="6" t="s">
        <v>404</v>
      </c>
      <c r="U8" s="6" t="s">
        <v>405</v>
      </c>
      <c r="V8" s="19">
        <v>102382</v>
      </c>
      <c r="W8" s="64"/>
      <c r="X8" s="6"/>
      <c r="Y8" s="18" t="s">
        <v>406</v>
      </c>
      <c r="Z8" s="65"/>
      <c r="AA8" s="59"/>
      <c r="AB8" s="64"/>
      <c r="AC8" s="64"/>
      <c r="AD8" s="14"/>
    </row>
    <row r="9" spans="1:30" ht="58">
      <c r="A9" s="5" t="s">
        <v>350</v>
      </c>
      <c r="B9" s="46"/>
      <c r="C9" s="3"/>
      <c r="D9" s="66" t="s">
        <v>407</v>
      </c>
      <c r="E9" s="58" t="s">
        <v>408</v>
      </c>
      <c r="F9" s="57" t="s">
        <v>409</v>
      </c>
      <c r="G9" s="5" t="s">
        <v>11</v>
      </c>
      <c r="H9" s="13" t="str">
        <f>IFERROR(VLOOKUP(G9, Sheet2!$A:$B, 2, FALSE), A9)</f>
        <v>TRAVELSKY TECHNOLOGY (HONGKONG) LTD.</v>
      </c>
      <c r="I9" s="6" t="s">
        <v>410</v>
      </c>
      <c r="J9" s="48"/>
      <c r="K9" s="48"/>
      <c r="L9" s="9"/>
      <c r="M9" s="5" t="s">
        <v>411</v>
      </c>
      <c r="N9" s="5"/>
      <c r="O9" s="7"/>
      <c r="P9" s="5"/>
      <c r="Q9" s="8">
        <v>44053</v>
      </c>
      <c r="R9" s="8"/>
      <c r="S9" s="8">
        <v>44054</v>
      </c>
      <c r="T9" s="4" t="s">
        <v>412</v>
      </c>
      <c r="U9" s="4" t="s">
        <v>413</v>
      </c>
      <c r="V9" s="52" t="s">
        <v>414</v>
      </c>
      <c r="W9" s="8"/>
      <c r="X9" s="4"/>
      <c r="Y9" s="15" t="s">
        <v>415</v>
      </c>
      <c r="Z9" s="53"/>
      <c r="AA9" s="8"/>
      <c r="AB9" s="3"/>
      <c r="AC9" s="3"/>
      <c r="AD9" s="3"/>
    </row>
    <row r="10" spans="1:30" ht="134.5">
      <c r="A10" s="5" t="s">
        <v>350</v>
      </c>
      <c r="B10" s="46"/>
      <c r="C10" s="3"/>
      <c r="D10" s="15" t="s">
        <v>416</v>
      </c>
      <c r="E10" s="67" t="s">
        <v>417</v>
      </c>
      <c r="F10" s="68"/>
      <c r="G10" s="5" t="s">
        <v>13</v>
      </c>
      <c r="H10" s="13" t="str">
        <f>IFERROR(VLOOKUP(G10, Sheet2!$A:$B, 2, FALSE), A10)</f>
        <v>Techtronic Industries Co. Ltd</v>
      </c>
      <c r="I10" s="6" t="s">
        <v>352</v>
      </c>
      <c r="J10" s="48"/>
      <c r="K10" s="48" t="s">
        <v>418</v>
      </c>
      <c r="L10" s="9" t="s">
        <v>14</v>
      </c>
      <c r="M10" s="15" t="s">
        <v>419</v>
      </c>
      <c r="N10" s="15"/>
      <c r="O10" s="9" t="s">
        <v>420</v>
      </c>
      <c r="P10" s="15"/>
      <c r="Q10" s="8">
        <v>43591</v>
      </c>
      <c r="R10" s="8"/>
      <c r="S10" s="8">
        <v>44298</v>
      </c>
      <c r="T10" s="69" t="s">
        <v>421</v>
      </c>
      <c r="U10" s="4" t="s">
        <v>422</v>
      </c>
      <c r="V10" s="19" t="s">
        <v>423</v>
      </c>
      <c r="W10" s="8"/>
      <c r="X10" s="4"/>
      <c r="Y10" s="15" t="s">
        <v>424</v>
      </c>
      <c r="Z10" s="70" t="s">
        <v>425</v>
      </c>
      <c r="AA10" s="4"/>
      <c r="AB10" s="3"/>
      <c r="AC10" s="3"/>
      <c r="AD10" s="3"/>
    </row>
    <row r="11" spans="1:30" ht="49.5">
      <c r="A11" s="4" t="s">
        <v>350</v>
      </c>
      <c r="B11" s="46"/>
      <c r="C11" s="3"/>
      <c r="D11" s="9" t="s">
        <v>426</v>
      </c>
      <c r="E11" s="67" t="s">
        <v>427</v>
      </c>
      <c r="F11" s="68"/>
      <c r="G11" s="4" t="s">
        <v>15</v>
      </c>
      <c r="H11" s="13" t="str">
        <f>IFERROR(VLOOKUP(G11, Sheet2!$A:$B, 2, FALSE), A11)</f>
        <v>SOFI SECURITIES LIMITED (SOFI SERVICES ( HONG KONG ) LTD)</v>
      </c>
      <c r="I11" s="6" t="s">
        <v>359</v>
      </c>
      <c r="J11" s="48"/>
      <c r="K11" s="48" t="s">
        <v>428</v>
      </c>
      <c r="L11" s="9"/>
      <c r="M11" s="3"/>
      <c r="N11" s="3"/>
      <c r="O11" s="7"/>
      <c r="P11" s="3"/>
      <c r="Q11" s="8">
        <v>44027</v>
      </c>
      <c r="R11" s="8"/>
      <c r="S11" s="8">
        <v>44027</v>
      </c>
      <c r="T11" s="4" t="s">
        <v>429</v>
      </c>
      <c r="U11" s="8"/>
      <c r="V11" s="52" t="s">
        <v>430</v>
      </c>
      <c r="W11" s="8"/>
      <c r="X11" s="8"/>
      <c r="Y11" s="9" t="s">
        <v>431</v>
      </c>
      <c r="Z11" s="53"/>
      <c r="AA11" s="8"/>
      <c r="AB11" s="3"/>
      <c r="AC11" s="3"/>
      <c r="AD11" s="3"/>
    </row>
    <row r="12" spans="1:30" ht="74">
      <c r="A12" s="5" t="s">
        <v>350</v>
      </c>
      <c r="B12" s="46"/>
      <c r="C12" s="3"/>
      <c r="D12" s="15" t="s">
        <v>432</v>
      </c>
      <c r="E12" s="67" t="s">
        <v>433</v>
      </c>
      <c r="F12" s="68"/>
      <c r="G12" s="5" t="s">
        <v>17</v>
      </c>
      <c r="H12" s="13" t="str">
        <f>IFERROR(VLOOKUP(G12, Sheet2!$A:$B, 2, FALSE), A12)</f>
        <v>PROFIT CHART DEVELOPMENT LIMITED</v>
      </c>
      <c r="I12" s="6" t="s">
        <v>352</v>
      </c>
      <c r="J12" s="48"/>
      <c r="K12" s="71" t="s">
        <v>434</v>
      </c>
      <c r="L12" s="9"/>
      <c r="M12" s="15" t="s">
        <v>435</v>
      </c>
      <c r="N12" s="15"/>
      <c r="O12" s="72" t="s">
        <v>436</v>
      </c>
      <c r="P12" s="15"/>
      <c r="Q12" s="8">
        <v>44096</v>
      </c>
      <c r="R12" s="8"/>
      <c r="S12" s="8">
        <v>44097</v>
      </c>
      <c r="T12" s="5" t="s">
        <v>437</v>
      </c>
      <c r="U12" s="49" t="s">
        <v>438</v>
      </c>
      <c r="V12" s="52" t="s">
        <v>439</v>
      </c>
      <c r="W12" s="8"/>
      <c r="X12" s="49"/>
      <c r="Y12" s="15" t="s">
        <v>440</v>
      </c>
      <c r="Z12" s="70" t="s">
        <v>365</v>
      </c>
      <c r="AA12" s="73"/>
      <c r="AB12" s="3"/>
      <c r="AC12" s="3"/>
      <c r="AD12" s="3"/>
    </row>
    <row r="13" spans="1:30" ht="75.5">
      <c r="A13" s="5" t="s">
        <v>350</v>
      </c>
      <c r="B13" s="46"/>
      <c r="C13" s="3"/>
      <c r="D13" s="4" t="s">
        <v>441</v>
      </c>
      <c r="E13" s="58" t="s">
        <v>442</v>
      </c>
      <c r="F13" s="57">
        <f>F15</f>
        <v>0</v>
      </c>
      <c r="G13" s="7" t="s">
        <v>19</v>
      </c>
      <c r="H13" s="13" t="str">
        <f>IFERROR(VLOOKUP(G13, Sheet2!$A:$B, 2, FALSE), A13)</f>
        <v>ASCENTAS CAPITAL MANAGEMENT LIMITED</v>
      </c>
      <c r="I13" s="6" t="s">
        <v>359</v>
      </c>
      <c r="J13" s="48"/>
      <c r="K13" s="62" t="s">
        <v>443</v>
      </c>
      <c r="L13" s="9"/>
      <c r="M13" s="51" t="s">
        <v>444</v>
      </c>
      <c r="N13" s="51"/>
      <c r="O13" s="9"/>
      <c r="P13" s="51"/>
      <c r="Q13" s="8">
        <v>44119</v>
      </c>
      <c r="R13" s="8"/>
      <c r="S13" s="8">
        <v>44117</v>
      </c>
      <c r="T13" s="4" t="s">
        <v>445</v>
      </c>
      <c r="U13" s="4" t="s">
        <v>446</v>
      </c>
      <c r="V13" s="52" t="s">
        <v>447</v>
      </c>
      <c r="W13" s="8"/>
      <c r="X13" s="4"/>
      <c r="Y13" s="15" t="s">
        <v>448</v>
      </c>
      <c r="Z13" s="70" t="s">
        <v>425</v>
      </c>
      <c r="AA13" s="4"/>
      <c r="AB13" s="3"/>
      <c r="AC13" s="3"/>
      <c r="AD13" s="3"/>
    </row>
    <row r="14" spans="1:30" ht="43.5">
      <c r="A14" s="3" t="s">
        <v>350</v>
      </c>
      <c r="B14" s="46"/>
      <c r="C14" s="3"/>
      <c r="D14" s="8" t="s">
        <v>449</v>
      </c>
      <c r="E14" s="6" t="s">
        <v>450</v>
      </c>
      <c r="F14" s="74" t="s">
        <v>451</v>
      </c>
      <c r="G14" s="8" t="s">
        <v>21</v>
      </c>
      <c r="H14" s="13" t="str">
        <f>IFERROR(VLOOKUP(G14, Sheet2!$A:$B, 2, FALSE), A14)</f>
        <v>LEVER SHIRT LIMITED</v>
      </c>
      <c r="I14" s="6" t="s">
        <v>393</v>
      </c>
      <c r="J14" s="75"/>
      <c r="K14" s="75"/>
      <c r="L14" s="72"/>
      <c r="M14" s="76"/>
      <c r="N14" s="76"/>
      <c r="O14" s="7"/>
      <c r="P14" s="76"/>
      <c r="Q14" s="8">
        <v>43830</v>
      </c>
      <c r="R14" s="8"/>
      <c r="S14" s="8">
        <v>43909</v>
      </c>
      <c r="T14" s="8" t="s">
        <v>452</v>
      </c>
      <c r="U14" s="8" t="s">
        <v>453</v>
      </c>
      <c r="V14" s="19" t="s">
        <v>454</v>
      </c>
      <c r="W14" s="8"/>
      <c r="X14" s="8"/>
      <c r="Y14" s="72" t="s">
        <v>455</v>
      </c>
      <c r="Z14" s="53"/>
      <c r="AA14" s="8"/>
      <c r="AB14" s="3"/>
      <c r="AC14" s="3"/>
      <c r="AD14" s="3"/>
    </row>
    <row r="15" spans="1:30" ht="43.5">
      <c r="A15" s="3" t="s">
        <v>350</v>
      </c>
      <c r="B15" s="46"/>
      <c r="C15" s="3"/>
      <c r="D15" s="8" t="s">
        <v>456</v>
      </c>
      <c r="E15" s="6" t="s">
        <v>457</v>
      </c>
      <c r="F15" s="47"/>
      <c r="G15" s="8" t="s">
        <v>22</v>
      </c>
      <c r="H15" s="13" t="str">
        <f>IFERROR(VLOOKUP(G15, Sheet2!$A:$B, 2, FALSE), A15)</f>
        <v>LEIGH &amp; ORANGE LTD</v>
      </c>
      <c r="I15" s="6" t="s">
        <v>352</v>
      </c>
      <c r="J15" s="48"/>
      <c r="K15" s="77" t="s">
        <v>458</v>
      </c>
      <c r="L15" s="9"/>
      <c r="M15" s="15" t="s">
        <v>459</v>
      </c>
      <c r="N15" s="15"/>
      <c r="O15" s="7"/>
      <c r="P15" s="15"/>
      <c r="Q15" s="8">
        <v>43852</v>
      </c>
      <c r="R15" s="8"/>
      <c r="S15" s="8">
        <v>43892</v>
      </c>
      <c r="T15" s="8" t="s">
        <v>460</v>
      </c>
      <c r="U15" s="8" t="s">
        <v>461</v>
      </c>
      <c r="V15" s="19" t="s">
        <v>462</v>
      </c>
      <c r="W15" s="8"/>
      <c r="X15" s="8"/>
      <c r="Y15" s="15" t="s">
        <v>463</v>
      </c>
      <c r="Z15" s="53"/>
      <c r="AA15" s="8"/>
      <c r="AB15" s="3"/>
      <c r="AC15" s="3"/>
      <c r="AD15" s="3"/>
    </row>
    <row r="16" spans="1:30" ht="15">
      <c r="A16" s="3" t="s">
        <v>350</v>
      </c>
      <c r="B16" s="46"/>
      <c r="C16" s="3"/>
      <c r="D16" s="3"/>
      <c r="E16" s="6"/>
      <c r="F16" s="47"/>
      <c r="G16" s="3" t="s">
        <v>23</v>
      </c>
      <c r="H16" s="13" t="str">
        <f>IFERROR(VLOOKUP(G16, Sheet2!$A:$B, 2, FALSE), A16)</f>
        <v>LEGAL AID DEPT</v>
      </c>
      <c r="I16" s="6" t="s">
        <v>410</v>
      </c>
      <c r="J16" s="48"/>
      <c r="K16" s="48"/>
      <c r="L16" s="9"/>
      <c r="M16" s="3"/>
      <c r="N16" s="3"/>
      <c r="O16" s="7"/>
      <c r="P16" s="3"/>
      <c r="Q16" s="8">
        <v>43741</v>
      </c>
      <c r="R16" s="8"/>
      <c r="S16" s="8"/>
      <c r="T16" s="3" t="s">
        <v>464</v>
      </c>
      <c r="U16" s="78" t="s">
        <v>465</v>
      </c>
      <c r="V16" s="19">
        <v>102190</v>
      </c>
      <c r="W16" s="8"/>
      <c r="X16" s="78"/>
      <c r="Y16" s="15" t="s">
        <v>466</v>
      </c>
      <c r="Z16" s="53"/>
      <c r="AA16" s="8"/>
      <c r="AB16" s="3"/>
      <c r="AC16" s="3"/>
      <c r="AD16" s="3"/>
    </row>
    <row r="17" spans="1:30" ht="113.5">
      <c r="A17" s="5" t="s">
        <v>350</v>
      </c>
      <c r="B17" s="46"/>
      <c r="C17" s="3"/>
      <c r="D17" s="4" t="s">
        <v>467</v>
      </c>
      <c r="E17" s="58" t="s">
        <v>468</v>
      </c>
      <c r="F17" s="57" t="s">
        <v>469</v>
      </c>
      <c r="G17" s="5" t="s">
        <v>24</v>
      </c>
      <c r="H17" s="13" t="str">
        <f>IFERROR(VLOOKUP(G17, Sheet2!$A:$B, 2, FALSE), A17)</f>
        <v>KBQUEST HONG KONG LIMITED OGCIO</v>
      </c>
      <c r="I17" s="6" t="s">
        <v>393</v>
      </c>
      <c r="J17" s="79"/>
      <c r="K17" s="79"/>
      <c r="L17" s="56"/>
      <c r="M17" s="5" t="s">
        <v>470</v>
      </c>
      <c r="N17" s="5"/>
      <c r="O17" s="7"/>
      <c r="P17" s="5"/>
      <c r="Q17" s="8">
        <v>44047</v>
      </c>
      <c r="R17" s="8"/>
      <c r="S17" s="8">
        <v>44047</v>
      </c>
      <c r="T17" s="5" t="s">
        <v>471</v>
      </c>
      <c r="U17" s="5" t="s">
        <v>472</v>
      </c>
      <c r="V17" s="52" t="s">
        <v>473</v>
      </c>
      <c r="W17" s="8"/>
      <c r="X17" s="5"/>
      <c r="Y17" s="56" t="s">
        <v>474</v>
      </c>
      <c r="Z17" s="53"/>
      <c r="AA17" s="8"/>
      <c r="AB17" s="3"/>
      <c r="AC17" s="3"/>
      <c r="AD17" s="3"/>
    </row>
    <row r="18" spans="1:30" ht="16">
      <c r="A18" s="3" t="s">
        <v>350</v>
      </c>
      <c r="B18" s="46"/>
      <c r="C18" s="3"/>
      <c r="D18" s="8" t="s">
        <v>475</v>
      </c>
      <c r="E18" s="6" t="s">
        <v>476</v>
      </c>
      <c r="F18" s="74" t="s">
        <v>477</v>
      </c>
      <c r="G18" s="3" t="s">
        <v>25</v>
      </c>
      <c r="H18" s="13" t="str">
        <f>IFERROR(VLOOKUP(G18, Sheet2!$A:$B, 2, FALSE), A18)</f>
        <v>ITAK (INTERNATIONAL) LIMITED</v>
      </c>
      <c r="I18" s="6" t="s">
        <v>393</v>
      </c>
      <c r="J18" s="48"/>
      <c r="K18" s="48"/>
      <c r="L18" s="7"/>
      <c r="M18" s="80"/>
      <c r="N18" s="80"/>
      <c r="O18" s="7"/>
      <c r="P18" s="80"/>
      <c r="Q18" s="8">
        <v>43930</v>
      </c>
      <c r="R18" s="8"/>
      <c r="S18" s="8">
        <v>43930</v>
      </c>
      <c r="T18" s="5" t="s">
        <v>478</v>
      </c>
      <c r="U18" s="3" t="s">
        <v>479</v>
      </c>
      <c r="V18" s="19" t="s">
        <v>480</v>
      </c>
      <c r="W18" s="8"/>
      <c r="X18" s="3"/>
      <c r="Y18" s="11" t="s">
        <v>481</v>
      </c>
      <c r="Z18" s="53"/>
      <c r="AA18" s="8"/>
      <c r="AB18" s="3"/>
      <c r="AC18" s="3"/>
      <c r="AD18" s="3"/>
    </row>
    <row r="19" spans="1:30" ht="116">
      <c r="A19" s="4" t="s">
        <v>350</v>
      </c>
      <c r="B19" s="46"/>
      <c r="C19" s="3"/>
      <c r="D19" s="4" t="s">
        <v>482</v>
      </c>
      <c r="E19" s="58" t="s">
        <v>391</v>
      </c>
      <c r="F19" s="57" t="s">
        <v>392</v>
      </c>
      <c r="G19" s="4" t="s">
        <v>26</v>
      </c>
      <c r="H19" s="13" t="str">
        <f>IFERROR(VLOOKUP(G19, Sheet2!$A:$B, 2, FALSE), A19)</f>
        <v>HONOUR MAILING AND PRINTING LTD</v>
      </c>
      <c r="I19" s="6" t="s">
        <v>483</v>
      </c>
      <c r="J19" s="48"/>
      <c r="K19" s="48"/>
      <c r="L19" s="9"/>
      <c r="M19" s="5" t="s">
        <v>484</v>
      </c>
      <c r="N19" s="5"/>
      <c r="O19" s="9" t="s">
        <v>395</v>
      </c>
      <c r="P19" s="5"/>
      <c r="Q19" s="8">
        <v>44061</v>
      </c>
      <c r="R19" s="8"/>
      <c r="S19" s="8">
        <v>44109</v>
      </c>
      <c r="T19" s="4" t="s">
        <v>485</v>
      </c>
      <c r="U19" s="4" t="s">
        <v>486</v>
      </c>
      <c r="V19" s="52" t="s">
        <v>487</v>
      </c>
      <c r="W19" s="8"/>
      <c r="X19" s="4"/>
      <c r="Y19" s="9" t="s">
        <v>488</v>
      </c>
      <c r="Z19" s="81" t="s">
        <v>489</v>
      </c>
      <c r="AA19" s="8"/>
      <c r="AB19" s="8"/>
      <c r="AC19" s="8"/>
      <c r="AD19" s="3"/>
    </row>
    <row r="20" spans="1:30" ht="90.5">
      <c r="A20" s="3" t="s">
        <v>350</v>
      </c>
      <c r="B20" s="46"/>
      <c r="C20" s="3"/>
      <c r="D20" s="4" t="s">
        <v>490</v>
      </c>
      <c r="E20" s="58" t="s">
        <v>491</v>
      </c>
      <c r="F20" s="57" t="s">
        <v>492</v>
      </c>
      <c r="G20" s="4" t="s">
        <v>28</v>
      </c>
      <c r="H20" s="13" t="str">
        <f>IFERROR(VLOOKUP(G20, Sheet2!$A:$B, 2, FALSE), A20)</f>
        <v>HONG KONG AERO ENGINE SERVICES LTD</v>
      </c>
      <c r="I20" s="6" t="s">
        <v>352</v>
      </c>
      <c r="J20" s="48"/>
      <c r="K20" s="62" t="s">
        <v>493</v>
      </c>
      <c r="L20" s="9"/>
      <c r="M20" s="51" t="s">
        <v>494</v>
      </c>
      <c r="N20" s="51"/>
      <c r="O20" s="7"/>
      <c r="P20" s="51"/>
      <c r="Q20" s="8">
        <v>44021</v>
      </c>
      <c r="R20" s="8"/>
      <c r="S20" s="8">
        <v>44025</v>
      </c>
      <c r="T20" s="4" t="s">
        <v>495</v>
      </c>
      <c r="U20" s="4" t="s">
        <v>496</v>
      </c>
      <c r="V20" s="52" t="s">
        <v>497</v>
      </c>
      <c r="W20" s="8"/>
      <c r="X20" s="4"/>
      <c r="Y20" s="9" t="s">
        <v>498</v>
      </c>
      <c r="Z20" s="53"/>
      <c r="AA20" s="8"/>
      <c r="AB20" s="3"/>
      <c r="AC20" s="3"/>
      <c r="AD20" s="3"/>
    </row>
    <row r="21" spans="1:30" ht="58">
      <c r="A21" s="5" t="s">
        <v>350</v>
      </c>
      <c r="B21" s="46"/>
      <c r="C21" s="3"/>
      <c r="D21" s="4" t="s">
        <v>490</v>
      </c>
      <c r="E21" s="58" t="s">
        <v>491</v>
      </c>
      <c r="F21" s="57"/>
      <c r="G21" s="4" t="s">
        <v>28</v>
      </c>
      <c r="H21" s="13" t="str">
        <f>IFERROR(VLOOKUP(G21, Sheet2!$A:$B, 2, FALSE), A21)</f>
        <v>HONG KONG AERO ENGINE SERVICES LTD</v>
      </c>
      <c r="I21" s="6" t="s">
        <v>483</v>
      </c>
      <c r="J21" s="48"/>
      <c r="K21" s="48"/>
      <c r="L21" s="9"/>
      <c r="M21" s="51"/>
      <c r="N21" s="51"/>
      <c r="O21" s="9"/>
      <c r="P21" s="51"/>
      <c r="Q21" s="8">
        <v>44056</v>
      </c>
      <c r="R21" s="8"/>
      <c r="S21" s="8">
        <v>44055</v>
      </c>
      <c r="T21" s="4" t="s">
        <v>495</v>
      </c>
      <c r="U21" s="4" t="s">
        <v>499</v>
      </c>
      <c r="V21" s="52" t="s">
        <v>497</v>
      </c>
      <c r="W21" s="8"/>
      <c r="X21" s="4"/>
      <c r="Y21" s="9" t="s">
        <v>500</v>
      </c>
      <c r="Z21" s="81" t="s">
        <v>489</v>
      </c>
      <c r="AA21" s="4"/>
      <c r="AB21" s="54"/>
      <c r="AC21" s="54"/>
      <c r="AD21" s="3"/>
    </row>
    <row r="22" spans="1:30" ht="43.5">
      <c r="A22" s="4" t="s">
        <v>350</v>
      </c>
      <c r="B22" s="46"/>
      <c r="C22" s="3"/>
      <c r="D22" s="4" t="s">
        <v>501</v>
      </c>
      <c r="E22" s="6"/>
      <c r="F22" s="82" t="s">
        <v>502</v>
      </c>
      <c r="G22" s="4" t="s">
        <v>30</v>
      </c>
      <c r="H22" s="13" t="str">
        <f>IFERROR(VLOOKUP(G22, Sheet2!$A:$B, 2, FALSE), A22)</f>
        <v>HKT Limited ( HKT Wireless Business )</v>
      </c>
      <c r="I22" s="6" t="s">
        <v>352</v>
      </c>
      <c r="J22" s="75"/>
      <c r="K22" s="75"/>
      <c r="L22" s="72"/>
      <c r="M22" s="15" t="s">
        <v>503</v>
      </c>
      <c r="N22" s="15"/>
      <c r="O22" s="7"/>
      <c r="P22" s="15"/>
      <c r="Q22" s="8"/>
      <c r="R22" s="8"/>
      <c r="S22" s="8">
        <v>44021</v>
      </c>
      <c r="T22" s="4" t="s">
        <v>504</v>
      </c>
      <c r="U22" s="4" t="s">
        <v>504</v>
      </c>
      <c r="V22" s="19"/>
      <c r="W22" s="8"/>
      <c r="X22" s="4"/>
      <c r="Y22" s="72" t="s">
        <v>505</v>
      </c>
      <c r="Z22" s="53"/>
      <c r="AA22" s="8"/>
      <c r="AB22" s="3"/>
      <c r="AC22" s="3"/>
      <c r="AD22" s="3"/>
    </row>
    <row r="23" spans="1:30" ht="102">
      <c r="A23" s="5" t="s">
        <v>350</v>
      </c>
      <c r="B23" s="46"/>
      <c r="C23" s="3"/>
      <c r="D23" s="5" t="s">
        <v>506</v>
      </c>
      <c r="E23" s="58" t="s">
        <v>507</v>
      </c>
      <c r="F23" s="57"/>
      <c r="G23" s="5" t="s">
        <v>32</v>
      </c>
      <c r="H23" s="13" t="str">
        <f>IFERROR(VLOOKUP(G23, Sheet2!$A:$B, 2, FALSE), A23)</f>
        <v>HKT Green Mini Bus</v>
      </c>
      <c r="I23" s="6" t="s">
        <v>352</v>
      </c>
      <c r="J23" s="83"/>
      <c r="K23" s="62" t="s">
        <v>508</v>
      </c>
      <c r="L23" s="84" t="s">
        <v>509</v>
      </c>
      <c r="M23" s="15" t="s">
        <v>510</v>
      </c>
      <c r="N23" s="15"/>
      <c r="O23" s="9"/>
      <c r="P23" s="15"/>
      <c r="Q23" s="8">
        <v>44116</v>
      </c>
      <c r="R23" s="8"/>
      <c r="S23" s="8">
        <v>44113</v>
      </c>
      <c r="T23" s="85" t="s">
        <v>511</v>
      </c>
      <c r="U23" s="5" t="s">
        <v>512</v>
      </c>
      <c r="V23" s="52" t="s">
        <v>513</v>
      </c>
      <c r="W23" s="8"/>
      <c r="X23" s="5"/>
      <c r="Y23" s="86" t="s">
        <v>514</v>
      </c>
      <c r="Z23" s="70" t="s">
        <v>425</v>
      </c>
      <c r="AA23" s="4"/>
      <c r="AB23" s="3"/>
      <c r="AC23" s="3"/>
      <c r="AD23" s="54"/>
    </row>
    <row r="24" spans="1:30" ht="72.5">
      <c r="A24" s="5" t="s">
        <v>515</v>
      </c>
      <c r="B24" s="46"/>
      <c r="C24" s="3"/>
      <c r="D24" s="8" t="s">
        <v>516</v>
      </c>
      <c r="E24" s="6" t="s">
        <v>517</v>
      </c>
      <c r="F24" s="57" t="s">
        <v>509</v>
      </c>
      <c r="G24" s="3" t="s">
        <v>33</v>
      </c>
      <c r="H24" s="13" t="str">
        <f>IFERROR(VLOOKUP(G24, Sheet2!$A:$B, 2, FALSE), A24)</f>
        <v>FIRST ASIA MERCHANTS BULLION LIMITED</v>
      </c>
      <c r="I24" s="6" t="s">
        <v>352</v>
      </c>
      <c r="J24" s="48"/>
      <c r="K24" s="62" t="s">
        <v>518</v>
      </c>
      <c r="L24" s="9"/>
      <c r="M24" s="11" t="s">
        <v>519</v>
      </c>
      <c r="N24" s="11"/>
      <c r="O24" s="7"/>
      <c r="P24" s="11"/>
      <c r="Q24" s="8">
        <v>43969</v>
      </c>
      <c r="R24" s="8"/>
      <c r="S24" s="8"/>
      <c r="T24" s="8" t="s">
        <v>520</v>
      </c>
      <c r="U24" s="8" t="s">
        <v>521</v>
      </c>
      <c r="V24" s="19" t="s">
        <v>522</v>
      </c>
      <c r="W24" s="8"/>
      <c r="X24" s="8"/>
      <c r="Y24" s="15" t="s">
        <v>523</v>
      </c>
      <c r="Z24" s="53"/>
      <c r="AA24" s="8"/>
      <c r="AB24" s="3"/>
      <c r="AC24" s="3"/>
      <c r="AD24" s="3"/>
    </row>
    <row r="25" spans="1:30" ht="29.5">
      <c r="A25" s="5" t="s">
        <v>515</v>
      </c>
      <c r="B25" s="46"/>
      <c r="C25" s="3"/>
      <c r="D25" s="8" t="s">
        <v>516</v>
      </c>
      <c r="E25" s="6" t="s">
        <v>517</v>
      </c>
      <c r="F25" s="47"/>
      <c r="G25" s="3" t="s">
        <v>33</v>
      </c>
      <c r="H25" s="13" t="str">
        <f>IFERROR(VLOOKUP(G25, Sheet2!$A:$B, 2, FALSE), A25)</f>
        <v>FIRST ASIA MERCHANTS BULLION LIMITED</v>
      </c>
      <c r="I25" s="6" t="s">
        <v>352</v>
      </c>
      <c r="J25" s="48"/>
      <c r="K25" s="62" t="s">
        <v>524</v>
      </c>
      <c r="L25" s="9"/>
      <c r="M25" s="15" t="s">
        <v>525</v>
      </c>
      <c r="N25" s="15"/>
      <c r="O25" s="7"/>
      <c r="P25" s="15"/>
      <c r="Q25" s="8">
        <v>43969</v>
      </c>
      <c r="R25" s="8"/>
      <c r="S25" s="8"/>
      <c r="T25" s="8" t="s">
        <v>526</v>
      </c>
      <c r="U25" s="3" t="s">
        <v>527</v>
      </c>
      <c r="V25" s="19" t="s">
        <v>528</v>
      </c>
      <c r="W25" s="8"/>
      <c r="X25" s="3"/>
      <c r="Y25" s="15" t="s">
        <v>529</v>
      </c>
      <c r="Z25" s="53"/>
      <c r="AA25" s="8"/>
      <c r="AB25" s="3"/>
      <c r="AC25" s="3"/>
      <c r="AD25" s="3"/>
    </row>
    <row r="26" spans="1:30" ht="29.5">
      <c r="A26" s="5" t="s">
        <v>515</v>
      </c>
      <c r="B26" s="46"/>
      <c r="C26" s="3"/>
      <c r="D26" s="8" t="s">
        <v>516</v>
      </c>
      <c r="E26" s="6" t="s">
        <v>517</v>
      </c>
      <c r="F26" s="47"/>
      <c r="G26" s="3" t="s">
        <v>33</v>
      </c>
      <c r="H26" s="13" t="str">
        <f>IFERROR(VLOOKUP(G26, Sheet2!$A:$B, 2, FALSE), A26)</f>
        <v>FIRST ASIA MERCHANTS BULLION LIMITED</v>
      </c>
      <c r="I26" s="6" t="s">
        <v>352</v>
      </c>
      <c r="J26" s="48"/>
      <c r="K26" s="48" t="s">
        <v>530</v>
      </c>
      <c r="L26" s="9"/>
      <c r="M26" s="15" t="s">
        <v>531</v>
      </c>
      <c r="N26" s="15"/>
      <c r="O26" s="7"/>
      <c r="P26" s="15"/>
      <c r="Q26" s="8">
        <v>43969</v>
      </c>
      <c r="R26" s="8"/>
      <c r="S26" s="8"/>
      <c r="T26" s="3" t="s">
        <v>532</v>
      </c>
      <c r="U26" s="8" t="s">
        <v>533</v>
      </c>
      <c r="V26" s="19" t="s">
        <v>534</v>
      </c>
      <c r="W26" s="8"/>
      <c r="X26" s="8"/>
      <c r="Y26" s="15" t="s">
        <v>529</v>
      </c>
      <c r="Z26" s="53"/>
      <c r="AA26" s="8"/>
      <c r="AB26" s="3"/>
      <c r="AC26" s="3"/>
      <c r="AD26" s="3"/>
    </row>
    <row r="27" spans="1:30" ht="29.5">
      <c r="A27" s="5" t="s">
        <v>515</v>
      </c>
      <c r="B27" s="46"/>
      <c r="C27" s="3"/>
      <c r="D27" s="8" t="s">
        <v>516</v>
      </c>
      <c r="E27" s="6" t="s">
        <v>517</v>
      </c>
      <c r="F27" s="47"/>
      <c r="G27" s="3" t="s">
        <v>33</v>
      </c>
      <c r="H27" s="13" t="str">
        <f>IFERROR(VLOOKUP(G27, Sheet2!$A:$B, 2, FALSE), A27)</f>
        <v>FIRST ASIA MERCHANTS BULLION LIMITED</v>
      </c>
      <c r="I27" s="6" t="s">
        <v>352</v>
      </c>
      <c r="J27" s="48"/>
      <c r="K27" s="48" t="s">
        <v>535</v>
      </c>
      <c r="L27" s="9"/>
      <c r="M27" s="15" t="s">
        <v>536</v>
      </c>
      <c r="N27" s="15"/>
      <c r="O27" s="7"/>
      <c r="P27" s="15"/>
      <c r="Q27" s="8">
        <v>43969</v>
      </c>
      <c r="R27" s="8"/>
      <c r="S27" s="8"/>
      <c r="T27" s="8" t="s">
        <v>537</v>
      </c>
      <c r="U27" s="8" t="s">
        <v>538</v>
      </c>
      <c r="V27" s="19" t="s">
        <v>539</v>
      </c>
      <c r="W27" s="8"/>
      <c r="X27" s="8"/>
      <c r="Y27" s="15" t="s">
        <v>529</v>
      </c>
      <c r="Z27" s="53"/>
      <c r="AA27" s="8"/>
      <c r="AB27" s="3"/>
      <c r="AC27" s="3"/>
      <c r="AD27" s="3"/>
    </row>
    <row r="28" spans="1:30" ht="29.5">
      <c r="A28" s="5" t="s">
        <v>515</v>
      </c>
      <c r="B28" s="46"/>
      <c r="C28" s="3"/>
      <c r="D28" s="8" t="s">
        <v>516</v>
      </c>
      <c r="E28" s="6" t="s">
        <v>517</v>
      </c>
      <c r="F28" s="47"/>
      <c r="G28" s="3" t="s">
        <v>33</v>
      </c>
      <c r="H28" s="13" t="str">
        <f>IFERROR(VLOOKUP(G28, Sheet2!$A:$B, 2, FALSE), A28)</f>
        <v>FIRST ASIA MERCHANTS BULLION LIMITED</v>
      </c>
      <c r="I28" s="6" t="s">
        <v>352</v>
      </c>
      <c r="J28" s="48"/>
      <c r="K28" s="62" t="s">
        <v>540</v>
      </c>
      <c r="L28" s="9"/>
      <c r="M28" s="15" t="s">
        <v>541</v>
      </c>
      <c r="N28" s="15"/>
      <c r="O28" s="87"/>
      <c r="P28" s="15"/>
      <c r="Q28" s="8">
        <v>43969</v>
      </c>
      <c r="R28" s="8"/>
      <c r="S28" s="8"/>
      <c r="T28" s="3" t="s">
        <v>542</v>
      </c>
      <c r="U28" s="88" t="s">
        <v>543</v>
      </c>
      <c r="V28" s="19" t="s">
        <v>544</v>
      </c>
      <c r="W28" s="8"/>
      <c r="X28" s="88"/>
      <c r="Y28" s="15" t="s">
        <v>529</v>
      </c>
      <c r="Z28" s="50"/>
      <c r="AA28" s="89"/>
      <c r="AB28" s="11"/>
      <c r="AC28" s="11"/>
      <c r="AD28" s="3"/>
    </row>
    <row r="29" spans="1:30" ht="73">
      <c r="A29" s="4" t="s">
        <v>545</v>
      </c>
      <c r="B29" s="46"/>
      <c r="C29" s="3"/>
      <c r="D29" s="8" t="s">
        <v>546</v>
      </c>
      <c r="E29" s="6">
        <v>68226722</v>
      </c>
      <c r="F29" s="47"/>
      <c r="G29" s="4" t="s">
        <v>34</v>
      </c>
      <c r="H29" s="13" t="str">
        <f>IFERROR(VLOOKUP(G29, Sheet2!$A:$B, 2, FALSE), A29)</f>
        <v>EMPERIO GOLD AND SILVER COINS (HK) LTD</v>
      </c>
      <c r="I29" s="6" t="s">
        <v>352</v>
      </c>
      <c r="J29" s="83"/>
      <c r="K29" s="83" t="s">
        <v>547</v>
      </c>
      <c r="L29" s="90"/>
      <c r="M29" s="15" t="s">
        <v>548</v>
      </c>
      <c r="N29" s="15"/>
      <c r="O29" s="9"/>
      <c r="P29" s="15"/>
      <c r="Q29" s="8">
        <v>44097</v>
      </c>
      <c r="R29" s="8"/>
      <c r="S29" s="8">
        <v>44091</v>
      </c>
      <c r="T29" s="4" t="s">
        <v>549</v>
      </c>
      <c r="U29" s="8" t="s">
        <v>550</v>
      </c>
      <c r="V29" s="52" t="s">
        <v>551</v>
      </c>
      <c r="W29" s="8"/>
      <c r="X29" s="8"/>
      <c r="Y29" s="90" t="s">
        <v>552</v>
      </c>
      <c r="Z29" s="53" t="s">
        <v>365</v>
      </c>
      <c r="AA29" s="4"/>
      <c r="AB29" s="3"/>
      <c r="AC29" s="3"/>
      <c r="AD29" s="3"/>
    </row>
    <row r="30" spans="1:30" ht="120">
      <c r="A30" s="5" t="s">
        <v>545</v>
      </c>
      <c r="B30" s="46"/>
      <c r="C30" s="3"/>
      <c r="D30" s="8" t="s">
        <v>553</v>
      </c>
      <c r="E30" s="6">
        <v>96121651</v>
      </c>
      <c r="F30" s="47"/>
      <c r="G30" s="7" t="s">
        <v>36</v>
      </c>
      <c r="H30" s="13" t="str">
        <f>IFERROR(VLOOKUP(G30, Sheet2!$A:$B, 2, FALSE), A30)</f>
        <v>ULTRON TECHNOLOGY SG PTE. LIMITED</v>
      </c>
      <c r="I30" s="6" t="s">
        <v>359</v>
      </c>
      <c r="J30" s="48"/>
      <c r="K30" s="48" t="s">
        <v>554</v>
      </c>
      <c r="L30" s="9"/>
      <c r="M30" s="15" t="s">
        <v>555</v>
      </c>
      <c r="N30" s="15"/>
      <c r="O30" s="7"/>
      <c r="P30" s="15" t="s">
        <v>556</v>
      </c>
      <c r="Q30" s="91">
        <v>43959</v>
      </c>
      <c r="R30" s="8"/>
      <c r="S30" s="8">
        <v>43964</v>
      </c>
      <c r="T30" s="8" t="s">
        <v>557</v>
      </c>
      <c r="U30" s="8" t="s">
        <v>558</v>
      </c>
      <c r="V30" s="19" t="s">
        <v>559</v>
      </c>
      <c r="W30" s="8"/>
      <c r="X30" s="8"/>
      <c r="Y30" s="9" t="s">
        <v>560</v>
      </c>
      <c r="Z30" s="53"/>
      <c r="AA30" s="8"/>
      <c r="AB30" s="8"/>
      <c r="AC30" s="8"/>
      <c r="AD30" s="3"/>
    </row>
    <row r="31" spans="1:30" ht="60">
      <c r="A31" s="85" t="s">
        <v>515</v>
      </c>
      <c r="B31" s="92"/>
      <c r="C31" s="85"/>
      <c r="D31" s="69" t="s">
        <v>553</v>
      </c>
      <c r="E31" s="93">
        <v>96121651</v>
      </c>
      <c r="F31" s="94" t="s">
        <v>561</v>
      </c>
      <c r="G31" s="56" t="s">
        <v>36</v>
      </c>
      <c r="H31" s="13" t="str">
        <f>IFERROR(VLOOKUP(G31, Sheet2!$A:$B, 2, FALSE), A31)</f>
        <v>ULTRON TECHNOLOGY SG PTE. LIMITED</v>
      </c>
      <c r="I31" s="93" t="s">
        <v>352</v>
      </c>
      <c r="J31" s="79"/>
      <c r="K31" s="79" t="s">
        <v>562</v>
      </c>
      <c r="L31" s="56"/>
      <c r="M31" s="95" t="s">
        <v>563</v>
      </c>
      <c r="N31" s="95"/>
      <c r="O31" s="56"/>
      <c r="P31" s="95"/>
      <c r="Q31" s="96">
        <v>43958</v>
      </c>
      <c r="R31" s="69"/>
      <c r="S31" s="69"/>
      <c r="T31" s="69" t="s">
        <v>564</v>
      </c>
      <c r="U31" s="69" t="s">
        <v>565</v>
      </c>
      <c r="V31" s="97" t="s">
        <v>566</v>
      </c>
      <c r="W31" s="69"/>
      <c r="X31" s="69"/>
      <c r="Y31" s="56" t="s">
        <v>567</v>
      </c>
      <c r="Z31" s="98"/>
      <c r="AA31" s="69"/>
      <c r="AB31" s="85"/>
      <c r="AC31" s="85"/>
      <c r="AD31" s="85"/>
    </row>
    <row r="32" spans="1:30" ht="87">
      <c r="A32" s="5" t="s">
        <v>545</v>
      </c>
      <c r="B32" s="46"/>
      <c r="C32" s="3"/>
      <c r="D32" s="8" t="s">
        <v>553</v>
      </c>
      <c r="E32" s="6">
        <v>96121651</v>
      </c>
      <c r="F32" s="57" t="s">
        <v>561</v>
      </c>
      <c r="G32" s="7" t="s">
        <v>38</v>
      </c>
      <c r="H32" s="13" t="str">
        <f>IFERROR(VLOOKUP(G32, Sheet2!$A:$B, 2, FALSE), A32)</f>
        <v>ULTRON TECHNOLOGY SG PTE. LIMITED</v>
      </c>
      <c r="I32" s="6" t="s">
        <v>352</v>
      </c>
      <c r="J32" s="48"/>
      <c r="K32" s="48" t="s">
        <v>568</v>
      </c>
      <c r="L32" s="9" t="s">
        <v>569</v>
      </c>
      <c r="M32" s="11" t="s">
        <v>570</v>
      </c>
      <c r="N32" s="11"/>
      <c r="O32" s="7"/>
      <c r="P32" s="11"/>
      <c r="Q32" s="8">
        <v>43972</v>
      </c>
      <c r="R32" s="8"/>
      <c r="S32" s="8">
        <v>43969</v>
      </c>
      <c r="T32" s="85" t="s">
        <v>571</v>
      </c>
      <c r="U32" s="3" t="s">
        <v>572</v>
      </c>
      <c r="V32" s="19" t="s">
        <v>573</v>
      </c>
      <c r="W32" s="8"/>
      <c r="X32" s="3"/>
      <c r="Y32" s="15" t="s">
        <v>574</v>
      </c>
      <c r="Z32" s="53"/>
      <c r="AA32" s="8"/>
      <c r="AB32" s="3"/>
      <c r="AC32" s="3"/>
      <c r="AD32" s="3"/>
    </row>
    <row r="33" spans="1:30" ht="58">
      <c r="A33" s="5" t="s">
        <v>545</v>
      </c>
      <c r="B33" s="46"/>
      <c r="C33" s="3"/>
      <c r="D33" s="8" t="s">
        <v>553</v>
      </c>
      <c r="E33" s="6">
        <v>96121651</v>
      </c>
      <c r="F33" s="47"/>
      <c r="G33" s="7" t="s">
        <v>36</v>
      </c>
      <c r="H33" s="13" t="str">
        <f>IFERROR(VLOOKUP(G33, Sheet2!$A:$B, 2, FALSE), A33)</f>
        <v>ULTRON TECHNOLOGY SG PTE. LIMITED</v>
      </c>
      <c r="I33" s="6" t="s">
        <v>359</v>
      </c>
      <c r="J33" s="48"/>
      <c r="K33" s="48" t="s">
        <v>575</v>
      </c>
      <c r="L33" s="9"/>
      <c r="M33" s="15" t="s">
        <v>576</v>
      </c>
      <c r="N33" s="15"/>
      <c r="O33" s="7"/>
      <c r="P33" s="15"/>
      <c r="Q33" s="8">
        <v>43972</v>
      </c>
      <c r="R33" s="8"/>
      <c r="S33" s="8">
        <v>43970</v>
      </c>
      <c r="T33" s="8" t="s">
        <v>577</v>
      </c>
      <c r="U33" s="8" t="s">
        <v>578</v>
      </c>
      <c r="V33" s="19" t="s">
        <v>579</v>
      </c>
      <c r="W33" s="8"/>
      <c r="X33" s="8"/>
      <c r="Y33" s="15" t="s">
        <v>580</v>
      </c>
      <c r="Z33" s="53"/>
      <c r="AA33" s="8"/>
      <c r="AB33" s="3"/>
      <c r="AC33" s="3"/>
      <c r="AD33" s="3"/>
    </row>
    <row r="34" spans="1:30" ht="102">
      <c r="A34" s="5" t="s">
        <v>545</v>
      </c>
      <c r="B34" s="46"/>
      <c r="C34" s="3"/>
      <c r="D34" s="8" t="s">
        <v>553</v>
      </c>
      <c r="E34" s="6">
        <v>96121651</v>
      </c>
      <c r="F34" s="57" t="s">
        <v>561</v>
      </c>
      <c r="G34" s="7" t="s">
        <v>36</v>
      </c>
      <c r="H34" s="13" t="str">
        <f>IFERROR(VLOOKUP(G34, Sheet2!$A:$B, 2, FALSE), A34)</f>
        <v>ULTRON TECHNOLOGY SG PTE. LIMITED</v>
      </c>
      <c r="I34" s="6" t="s">
        <v>352</v>
      </c>
      <c r="J34" s="79"/>
      <c r="K34" s="79" t="s">
        <v>581</v>
      </c>
      <c r="L34" s="99" t="s">
        <v>582</v>
      </c>
      <c r="M34" s="11" t="s">
        <v>583</v>
      </c>
      <c r="N34" s="11"/>
      <c r="O34" s="7"/>
      <c r="P34" s="11"/>
      <c r="Q34" s="8">
        <v>43972</v>
      </c>
      <c r="R34" s="8"/>
      <c r="S34" s="8">
        <v>43971</v>
      </c>
      <c r="T34" s="8" t="s">
        <v>584</v>
      </c>
      <c r="U34" s="8" t="s">
        <v>585</v>
      </c>
      <c r="V34" s="19" t="s">
        <v>586</v>
      </c>
      <c r="W34" s="8"/>
      <c r="X34" s="8"/>
      <c r="Y34" s="95" t="s">
        <v>587</v>
      </c>
      <c r="Z34" s="53"/>
      <c r="AA34" s="8"/>
      <c r="AB34" s="3"/>
      <c r="AC34" s="3"/>
      <c r="AD34" s="3"/>
    </row>
    <row r="35" spans="1:30" ht="58">
      <c r="A35" s="5" t="s">
        <v>545</v>
      </c>
      <c r="B35" s="46"/>
      <c r="C35" s="3"/>
      <c r="D35" s="3" t="s">
        <v>588</v>
      </c>
      <c r="E35" s="6">
        <v>96742005</v>
      </c>
      <c r="F35" s="57" t="s">
        <v>589</v>
      </c>
      <c r="G35" s="5" t="s">
        <v>39</v>
      </c>
      <c r="H35" s="13" t="str">
        <f>IFERROR(VLOOKUP(G35, Sheet2!$A:$B, 2, FALSE), A35)</f>
        <v>DDAAPP LIMITED</v>
      </c>
      <c r="I35" s="6" t="s">
        <v>352</v>
      </c>
      <c r="J35" s="48"/>
      <c r="K35" s="48" t="s">
        <v>590</v>
      </c>
      <c r="L35" s="9"/>
      <c r="M35" s="15" t="s">
        <v>591</v>
      </c>
      <c r="N35" s="15"/>
      <c r="O35" s="11"/>
      <c r="P35" s="15" t="s">
        <v>592</v>
      </c>
      <c r="Q35" s="8">
        <v>43808</v>
      </c>
      <c r="R35" s="8"/>
      <c r="S35" s="8">
        <v>43840</v>
      </c>
      <c r="T35" s="3" t="s">
        <v>593</v>
      </c>
      <c r="U35" s="49" t="s">
        <v>594</v>
      </c>
      <c r="V35" s="19" t="s">
        <v>595</v>
      </c>
      <c r="W35" s="8"/>
      <c r="X35" s="49"/>
      <c r="Y35" s="15" t="s">
        <v>596</v>
      </c>
      <c r="Z35" s="50"/>
      <c r="AA35" s="3"/>
      <c r="AB35" s="3"/>
      <c r="AC35" s="3"/>
      <c r="AD35" s="3"/>
    </row>
    <row r="36" spans="1:30" ht="261">
      <c r="A36" s="5" t="s">
        <v>545</v>
      </c>
      <c r="B36" s="46"/>
      <c r="C36" s="3"/>
      <c r="D36" s="5" t="s">
        <v>597</v>
      </c>
      <c r="E36" s="58" t="s">
        <v>598</v>
      </c>
      <c r="F36" s="57" t="s">
        <v>599</v>
      </c>
      <c r="G36" s="5" t="s">
        <v>41</v>
      </c>
      <c r="H36" s="13" t="str">
        <f>IFERROR(VLOOKUP(G36, Sheet2!$A:$B, 2, FALSE), A36)</f>
        <v>CITYLINE (HONG KONG) LIMITED</v>
      </c>
      <c r="I36" s="6" t="s">
        <v>352</v>
      </c>
      <c r="J36" s="48"/>
      <c r="K36" s="62">
        <v>5943307259</v>
      </c>
      <c r="L36" s="9"/>
      <c r="M36" s="15" t="s">
        <v>600</v>
      </c>
      <c r="N36" s="15"/>
      <c r="O36" s="9" t="s">
        <v>601</v>
      </c>
      <c r="P36" s="15"/>
      <c r="Q36" s="8">
        <v>44111</v>
      </c>
      <c r="R36" s="8"/>
      <c r="S36" s="8">
        <v>44147</v>
      </c>
      <c r="T36" s="5" t="s">
        <v>602</v>
      </c>
      <c r="U36" s="5" t="s">
        <v>603</v>
      </c>
      <c r="V36" s="52" t="s">
        <v>604</v>
      </c>
      <c r="W36" s="8"/>
      <c r="X36" s="5"/>
      <c r="Y36" s="15" t="s">
        <v>605</v>
      </c>
      <c r="Z36" s="53" t="s">
        <v>365</v>
      </c>
      <c r="AA36" s="4"/>
      <c r="AB36" s="3"/>
      <c r="AC36" s="3"/>
      <c r="AD36" s="3"/>
    </row>
    <row r="37" spans="1:30" ht="72.5">
      <c r="A37" s="4" t="s">
        <v>350</v>
      </c>
      <c r="B37" s="46"/>
      <c r="C37" s="3"/>
      <c r="D37" s="5" t="s">
        <v>606</v>
      </c>
      <c r="E37" s="58" t="s">
        <v>607</v>
      </c>
      <c r="F37" s="57" t="s">
        <v>608</v>
      </c>
      <c r="G37" s="5" t="s">
        <v>43</v>
      </c>
      <c r="H37" s="13" t="str">
        <f>IFERROR(VLOOKUP(G37, Sheet2!$A:$B, 2, FALSE), A37)</f>
        <v>CHOW TAI FOOK JEWELLERY CO LTD</v>
      </c>
      <c r="I37" s="6" t="s">
        <v>352</v>
      </c>
      <c r="J37" s="100" t="s">
        <v>609</v>
      </c>
      <c r="K37" s="48" t="s">
        <v>610</v>
      </c>
      <c r="L37" s="9"/>
      <c r="M37" s="15" t="s">
        <v>611</v>
      </c>
      <c r="N37" s="15"/>
      <c r="O37" s="9"/>
      <c r="P37" s="15"/>
      <c r="Q37" s="8">
        <v>44034</v>
      </c>
      <c r="R37" s="8"/>
      <c r="S37" s="8">
        <v>44034</v>
      </c>
      <c r="T37" s="5" t="s">
        <v>612</v>
      </c>
      <c r="U37" s="5" t="s">
        <v>613</v>
      </c>
      <c r="V37" s="52" t="s">
        <v>614</v>
      </c>
      <c r="W37" s="8"/>
      <c r="X37" s="5"/>
      <c r="Y37" s="15" t="s">
        <v>615</v>
      </c>
      <c r="Z37" s="53" t="s">
        <v>425</v>
      </c>
      <c r="AA37" s="4" t="s">
        <v>425</v>
      </c>
      <c r="AB37" s="3"/>
      <c r="AC37" s="3"/>
      <c r="AD37" s="3"/>
    </row>
    <row r="38" spans="1:30" ht="174">
      <c r="A38" s="5" t="s">
        <v>350</v>
      </c>
      <c r="B38" s="46"/>
      <c r="C38" s="3"/>
      <c r="D38" s="5" t="s">
        <v>606</v>
      </c>
      <c r="E38" s="58" t="s">
        <v>607</v>
      </c>
      <c r="F38" s="57"/>
      <c r="G38" s="5" t="s">
        <v>45</v>
      </c>
      <c r="H38" s="13" t="str">
        <f>IFERROR(VLOOKUP(G38, Sheet2!$A:$B, 2, FALSE), A38)</f>
        <v>CHOW TAI FOOK JEWELLERY CO LTD</v>
      </c>
      <c r="I38" s="6" t="s">
        <v>352</v>
      </c>
      <c r="J38" s="100" t="s">
        <v>609</v>
      </c>
      <c r="K38" s="101" t="s">
        <v>616</v>
      </c>
      <c r="L38" s="87"/>
      <c r="M38" s="15" t="s">
        <v>617</v>
      </c>
      <c r="N38" s="15"/>
      <c r="O38" s="9" t="s">
        <v>618</v>
      </c>
      <c r="P38" s="15"/>
      <c r="Q38" s="8">
        <v>44113</v>
      </c>
      <c r="R38" s="8"/>
      <c r="S38" s="8">
        <v>44113</v>
      </c>
      <c r="T38" s="4" t="s">
        <v>619</v>
      </c>
      <c r="U38" s="4" t="s">
        <v>620</v>
      </c>
      <c r="V38" s="52" t="s">
        <v>621</v>
      </c>
      <c r="W38" s="8"/>
      <c r="X38" s="4"/>
      <c r="Y38" s="102" t="s">
        <v>622</v>
      </c>
      <c r="Z38" s="70" t="s">
        <v>425</v>
      </c>
      <c r="AA38" s="4"/>
      <c r="AB38" s="3"/>
      <c r="AC38" s="3"/>
      <c r="AD38" s="3"/>
    </row>
    <row r="39" spans="1:30" ht="43.5">
      <c r="A39" s="3" t="s">
        <v>350</v>
      </c>
      <c r="B39" s="46"/>
      <c r="C39" s="3"/>
      <c r="D39" s="3" t="s">
        <v>623</v>
      </c>
      <c r="E39" s="6">
        <v>63365303</v>
      </c>
      <c r="F39" s="57" t="s">
        <v>624</v>
      </c>
      <c r="G39" s="5" t="s">
        <v>46</v>
      </c>
      <c r="H39" s="13" t="str">
        <f>IFERROR(VLOOKUP(G39, Sheet2!$A:$B, 2, FALSE), A39)</f>
        <v>Celestial Key Ventures Limited</v>
      </c>
      <c r="I39" s="6" t="s">
        <v>393</v>
      </c>
      <c r="J39" s="48"/>
      <c r="K39" s="48"/>
      <c r="L39" s="9"/>
      <c r="M39" s="103" t="s">
        <v>625</v>
      </c>
      <c r="N39" s="103"/>
      <c r="O39" s="11"/>
      <c r="P39" s="103"/>
      <c r="Q39" s="8">
        <v>43993</v>
      </c>
      <c r="R39" s="8"/>
      <c r="S39" s="8">
        <v>43990</v>
      </c>
      <c r="T39" s="3" t="s">
        <v>626</v>
      </c>
      <c r="U39" s="3" t="s">
        <v>627</v>
      </c>
      <c r="V39" s="19" t="s">
        <v>628</v>
      </c>
      <c r="W39" s="8"/>
      <c r="X39" s="3"/>
      <c r="Y39" s="15" t="s">
        <v>629</v>
      </c>
      <c r="Z39" s="50"/>
      <c r="AA39" s="3"/>
      <c r="AB39" s="3"/>
      <c r="AC39" s="3"/>
      <c r="AD39" s="3"/>
    </row>
    <row r="40" spans="1:30" ht="75.5">
      <c r="A40" s="3" t="s">
        <v>350</v>
      </c>
      <c r="B40" s="46"/>
      <c r="C40" s="3"/>
      <c r="D40" s="8" t="s">
        <v>630</v>
      </c>
      <c r="E40" s="104" t="s">
        <v>631</v>
      </c>
      <c r="F40" s="105"/>
      <c r="G40" s="8" t="s">
        <v>48</v>
      </c>
      <c r="H40" s="13" t="str">
        <f>IFERROR(VLOOKUP(G40, Sheet2!$A:$B, 2, FALSE), A40)</f>
        <v>CAM 8 PCCW (Macau) Ltd c/o SJM</v>
      </c>
      <c r="I40" s="6" t="s">
        <v>359</v>
      </c>
      <c r="J40" s="48"/>
      <c r="K40" s="48" t="s">
        <v>632</v>
      </c>
      <c r="L40" s="9"/>
      <c r="M40" s="11" t="s">
        <v>633</v>
      </c>
      <c r="N40" s="11"/>
      <c r="O40" s="7"/>
      <c r="P40" s="11"/>
      <c r="Q40" s="8">
        <v>43887</v>
      </c>
      <c r="R40" s="8"/>
      <c r="S40" s="8">
        <v>43894</v>
      </c>
      <c r="T40" s="8" t="s">
        <v>634</v>
      </c>
      <c r="U40" s="8" t="s">
        <v>635</v>
      </c>
      <c r="V40" s="19" t="s">
        <v>636</v>
      </c>
      <c r="W40" s="8"/>
      <c r="X40" s="8"/>
      <c r="Y40" s="9" t="s">
        <v>637</v>
      </c>
      <c r="Z40" s="53"/>
      <c r="AA40" s="8"/>
      <c r="AB40" s="8"/>
      <c r="AC40" s="8"/>
      <c r="AD40" s="54"/>
    </row>
    <row r="41" spans="1:30" ht="29">
      <c r="A41" s="3" t="s">
        <v>350</v>
      </c>
      <c r="B41" s="46"/>
      <c r="C41" s="3"/>
      <c r="D41" s="11" t="s">
        <v>638</v>
      </c>
      <c r="E41" s="106" t="s">
        <v>639</v>
      </c>
      <c r="F41" s="107"/>
      <c r="G41" s="3" t="s">
        <v>49</v>
      </c>
      <c r="H41" s="13" t="str">
        <f>IFERROR(VLOOKUP(G41, Sheet2!$A:$B, 2, FALSE), A41)</f>
        <v>Bindo Lab Limited</v>
      </c>
      <c r="I41" s="6" t="s">
        <v>410</v>
      </c>
      <c r="J41" s="48"/>
      <c r="K41" s="48"/>
      <c r="L41" s="9"/>
      <c r="M41" s="3"/>
      <c r="N41" s="3"/>
      <c r="O41" s="7"/>
      <c r="P41" s="3"/>
      <c r="Q41" s="8">
        <v>43738</v>
      </c>
      <c r="R41" s="8"/>
      <c r="S41" s="8">
        <v>43756</v>
      </c>
      <c r="T41" s="8" t="s">
        <v>640</v>
      </c>
      <c r="U41" s="4" t="s">
        <v>641</v>
      </c>
      <c r="V41" s="19">
        <v>102210</v>
      </c>
      <c r="W41" s="8"/>
      <c r="X41" s="4"/>
      <c r="Y41" s="15" t="s">
        <v>642</v>
      </c>
      <c r="Z41" s="53"/>
      <c r="AA41" s="8"/>
      <c r="AB41" s="3"/>
      <c r="AC41" s="3"/>
      <c r="AD41" s="108"/>
    </row>
    <row r="42" spans="1:30" ht="43.5">
      <c r="A42" s="3" t="s">
        <v>350</v>
      </c>
      <c r="B42" s="46"/>
      <c r="C42" s="3"/>
      <c r="D42" s="11" t="s">
        <v>643</v>
      </c>
      <c r="E42" s="106" t="s">
        <v>644</v>
      </c>
      <c r="F42" s="107"/>
      <c r="G42" s="3" t="s">
        <v>50</v>
      </c>
      <c r="H42" s="13" t="str">
        <f>IFERROR(VLOOKUP(G42, Sheet2!$A:$B, 2, FALSE), A42)</f>
        <v>AXA CHINA REGION INSURANCE CO LTD</v>
      </c>
      <c r="I42" s="6" t="s">
        <v>352</v>
      </c>
      <c r="J42" s="48"/>
      <c r="K42" s="48" t="s">
        <v>645</v>
      </c>
      <c r="L42" s="7" t="s">
        <v>646</v>
      </c>
      <c r="M42" s="11" t="s">
        <v>647</v>
      </c>
      <c r="N42" s="11"/>
      <c r="O42" s="7"/>
      <c r="P42" s="11"/>
      <c r="Q42" s="8">
        <v>43936</v>
      </c>
      <c r="R42" s="8"/>
      <c r="S42" s="8">
        <v>43930</v>
      </c>
      <c r="T42" s="3" t="s">
        <v>648</v>
      </c>
      <c r="U42" s="49" t="s">
        <v>649</v>
      </c>
      <c r="V42" s="19" t="s">
        <v>650</v>
      </c>
      <c r="W42" s="8"/>
      <c r="X42" s="49"/>
      <c r="Y42" s="11" t="s">
        <v>651</v>
      </c>
      <c r="Z42" s="53"/>
      <c r="AA42" s="8"/>
      <c r="AB42" s="3"/>
      <c r="AC42" s="3"/>
      <c r="AD42" s="3"/>
    </row>
    <row r="43" spans="1:30" ht="87">
      <c r="A43" s="3" t="s">
        <v>350</v>
      </c>
      <c r="B43" s="46"/>
      <c r="C43" s="3"/>
      <c r="D43" s="3" t="s">
        <v>652</v>
      </c>
      <c r="E43" s="6" t="s">
        <v>653</v>
      </c>
      <c r="F43" s="82" t="s">
        <v>654</v>
      </c>
      <c r="G43" s="3" t="s">
        <v>51</v>
      </c>
      <c r="H43" s="13" t="str">
        <f>IFERROR(VLOOKUP(G43, Sheet2!$A:$B, 2, FALSE), A43)</f>
        <v>AIRPORT AUTHORITY</v>
      </c>
      <c r="I43" s="6" t="s">
        <v>352</v>
      </c>
      <c r="J43" s="109" t="s">
        <v>655</v>
      </c>
      <c r="K43" s="48" t="s">
        <v>656</v>
      </c>
      <c r="L43" s="9"/>
      <c r="M43" s="15" t="s">
        <v>657</v>
      </c>
      <c r="N43" s="15"/>
      <c r="O43" s="7"/>
      <c r="P43" s="15"/>
      <c r="Q43" s="8">
        <v>43891</v>
      </c>
      <c r="R43" s="8"/>
      <c r="S43" s="8">
        <v>43889</v>
      </c>
      <c r="T43" s="4" t="s">
        <v>658</v>
      </c>
      <c r="U43" s="8" t="s">
        <v>659</v>
      </c>
      <c r="V43" s="19" t="s">
        <v>660</v>
      </c>
      <c r="W43" s="8"/>
      <c r="X43" s="8"/>
      <c r="Y43" s="15" t="s">
        <v>661</v>
      </c>
      <c r="Z43" s="53"/>
      <c r="AA43" s="8"/>
      <c r="AB43" s="3"/>
      <c r="AC43" s="3"/>
      <c r="AD43" s="3"/>
    </row>
    <row r="44" spans="1:30" ht="43.5">
      <c r="A44" s="3" t="s">
        <v>350</v>
      </c>
      <c r="B44" s="46"/>
      <c r="C44" s="3"/>
      <c r="D44" s="3" t="s">
        <v>652</v>
      </c>
      <c r="E44" s="6" t="s">
        <v>653</v>
      </c>
      <c r="F44" s="110" t="s">
        <v>654</v>
      </c>
      <c r="G44" s="3" t="s">
        <v>51</v>
      </c>
      <c r="H44" s="13" t="str">
        <f>IFERROR(VLOOKUP(G44, Sheet2!$A:$B, 2, FALSE), A44)</f>
        <v>AIRPORT AUTHORITY</v>
      </c>
      <c r="I44" s="6" t="s">
        <v>393</v>
      </c>
      <c r="J44" s="109"/>
      <c r="K44" s="75"/>
      <c r="L44" s="72"/>
      <c r="M44" s="3"/>
      <c r="N44" s="3"/>
      <c r="O44" s="7"/>
      <c r="P44" s="3"/>
      <c r="Q44" s="8">
        <v>43891</v>
      </c>
      <c r="R44" s="8"/>
      <c r="S44" s="8">
        <v>43891</v>
      </c>
      <c r="T44" s="4" t="s">
        <v>658</v>
      </c>
      <c r="U44" s="8" t="s">
        <v>662</v>
      </c>
      <c r="V44" s="19" t="s">
        <v>663</v>
      </c>
      <c r="W44" s="8"/>
      <c r="X44" s="8"/>
      <c r="Y44" s="72" t="s">
        <v>664</v>
      </c>
      <c r="Z44" s="53"/>
      <c r="AA44" s="8"/>
      <c r="AB44" s="3"/>
      <c r="AC44" s="3"/>
      <c r="AD44" s="3"/>
    </row>
    <row r="45" spans="1:30" ht="29">
      <c r="A45" s="3" t="s">
        <v>350</v>
      </c>
      <c r="B45" s="46"/>
      <c r="C45" s="3"/>
      <c r="D45" s="3" t="s">
        <v>652</v>
      </c>
      <c r="E45" s="6" t="s">
        <v>653</v>
      </c>
      <c r="F45" s="110" t="s">
        <v>654</v>
      </c>
      <c r="G45" s="8" t="s">
        <v>51</v>
      </c>
      <c r="H45" s="13" t="str">
        <f>IFERROR(VLOOKUP(G45, Sheet2!$A:$B, 2, FALSE), A45)</f>
        <v>AIRPORT AUTHORITY</v>
      </c>
      <c r="I45" s="6" t="s">
        <v>393</v>
      </c>
      <c r="J45" s="109"/>
      <c r="K45" s="75"/>
      <c r="L45" s="72" t="s">
        <v>665</v>
      </c>
      <c r="M45" s="3"/>
      <c r="N45" s="3"/>
      <c r="O45" s="7"/>
      <c r="P45" s="3"/>
      <c r="Q45" s="8">
        <v>43901</v>
      </c>
      <c r="R45" s="8">
        <v>45385</v>
      </c>
      <c r="S45" s="8">
        <v>43901</v>
      </c>
      <c r="T45" s="8" t="s">
        <v>666</v>
      </c>
      <c r="U45" s="8" t="s">
        <v>667</v>
      </c>
      <c r="V45" s="19" t="s">
        <v>668</v>
      </c>
      <c r="W45" s="8" t="s">
        <v>669</v>
      </c>
      <c r="X45" s="8"/>
      <c r="Y45" s="72" t="s">
        <v>670</v>
      </c>
      <c r="Z45" s="53"/>
      <c r="AA45" s="8"/>
      <c r="AB45" s="3"/>
      <c r="AC45" s="3"/>
      <c r="AD45" s="3"/>
    </row>
    <row r="46" spans="1:30" ht="15">
      <c r="A46" s="3" t="s">
        <v>350</v>
      </c>
      <c r="B46" s="46"/>
      <c r="C46" s="3"/>
      <c r="D46" s="3" t="s">
        <v>652</v>
      </c>
      <c r="E46" s="6" t="s">
        <v>653</v>
      </c>
      <c r="F46" s="110" t="s">
        <v>654</v>
      </c>
      <c r="G46" s="3" t="s">
        <v>51</v>
      </c>
      <c r="H46" s="13" t="str">
        <f>IFERROR(VLOOKUP(G46, Sheet2!$A:$B, 2, FALSE), A46)</f>
        <v>AIRPORT AUTHORITY</v>
      </c>
      <c r="I46" s="6" t="s">
        <v>352</v>
      </c>
      <c r="J46" s="109" t="s">
        <v>655</v>
      </c>
      <c r="K46" s="48"/>
      <c r="L46" s="7"/>
      <c r="M46" s="3"/>
      <c r="N46" s="3"/>
      <c r="O46" s="7"/>
      <c r="P46" s="3"/>
      <c r="Q46" s="8">
        <v>43901</v>
      </c>
      <c r="R46" s="8">
        <v>45385</v>
      </c>
      <c r="S46" s="8">
        <v>43901</v>
      </c>
      <c r="T46" s="69" t="s">
        <v>658</v>
      </c>
      <c r="U46" s="49" t="s">
        <v>671</v>
      </c>
      <c r="V46" s="19" t="s">
        <v>660</v>
      </c>
      <c r="W46" s="8" t="s">
        <v>669</v>
      </c>
      <c r="X46" s="49"/>
      <c r="Y46" s="11" t="s">
        <v>672</v>
      </c>
      <c r="Z46" s="53"/>
      <c r="AA46" s="8"/>
      <c r="AB46" s="3"/>
      <c r="AC46" s="3"/>
      <c r="AD46" s="3"/>
    </row>
    <row r="47" spans="1:30" ht="58">
      <c r="A47" s="5" t="s">
        <v>350</v>
      </c>
      <c r="B47" s="46"/>
      <c r="C47" s="3"/>
      <c r="D47" s="4" t="s">
        <v>673</v>
      </c>
      <c r="E47" s="58" t="s">
        <v>674</v>
      </c>
      <c r="F47" s="57"/>
      <c r="G47" s="5" t="s">
        <v>52</v>
      </c>
      <c r="H47" s="13" t="str">
        <f>IFERROR(VLOOKUP(G47, Sheet2!$A:$B, 2, FALSE), A47)</f>
        <v>AASTOCKS.COM LIMITED</v>
      </c>
      <c r="I47" s="6" t="s">
        <v>675</v>
      </c>
      <c r="J47" s="109"/>
      <c r="K47" s="75"/>
      <c r="L47" s="72"/>
      <c r="M47" s="3"/>
      <c r="N47" s="3"/>
      <c r="O47" s="9"/>
      <c r="P47" s="3"/>
      <c r="Q47" s="8">
        <v>44117</v>
      </c>
      <c r="R47" s="8"/>
      <c r="S47" s="8">
        <v>44116</v>
      </c>
      <c r="T47" s="4" t="s">
        <v>676</v>
      </c>
      <c r="U47" s="4" t="s">
        <v>677</v>
      </c>
      <c r="V47" s="52" t="s">
        <v>678</v>
      </c>
      <c r="W47" s="8"/>
      <c r="X47" s="4"/>
      <c r="Y47" s="111" t="s">
        <v>679</v>
      </c>
      <c r="Z47" s="70" t="s">
        <v>425</v>
      </c>
      <c r="AA47" s="4"/>
      <c r="AB47" s="3"/>
      <c r="AC47" s="3"/>
      <c r="AD47" s="3"/>
    </row>
    <row r="48" spans="1:30" ht="43.5">
      <c r="A48" s="3" t="s">
        <v>350</v>
      </c>
      <c r="B48" s="46"/>
      <c r="C48" s="3"/>
      <c r="D48" s="8"/>
      <c r="E48" s="6"/>
      <c r="F48" s="47"/>
      <c r="G48" s="9" t="s">
        <v>53</v>
      </c>
      <c r="H48" s="13" t="str">
        <f>IFERROR(VLOOKUP(G48, Sheet2!$A:$B, 2, FALSE), A48)</f>
        <v>SOFI SECURITIES LIMITED (SOFI SERVICES ( HONG KONG ) LTD)</v>
      </c>
      <c r="I48" s="6" t="s">
        <v>359</v>
      </c>
      <c r="J48" s="109"/>
      <c r="K48" s="48"/>
      <c r="L48" s="7"/>
      <c r="M48" s="11" t="s">
        <v>680</v>
      </c>
      <c r="N48" s="11"/>
      <c r="O48" s="7"/>
      <c r="P48" s="11"/>
      <c r="Q48" s="8">
        <v>43678</v>
      </c>
      <c r="R48" s="8"/>
      <c r="S48" s="8"/>
      <c r="T48" s="8" t="s">
        <v>681</v>
      </c>
      <c r="U48" s="8" t="s">
        <v>682</v>
      </c>
      <c r="V48" s="19">
        <v>102198</v>
      </c>
      <c r="W48" s="8"/>
      <c r="X48" s="8"/>
      <c r="Y48" s="7" t="s">
        <v>683</v>
      </c>
      <c r="Z48" s="53"/>
      <c r="AA48" s="8"/>
      <c r="AB48" s="3"/>
      <c r="AC48" s="3"/>
      <c r="AD48" s="3"/>
    </row>
    <row r="49" spans="1:30" ht="91.5">
      <c r="A49" s="4" t="s">
        <v>350</v>
      </c>
      <c r="B49" s="46"/>
      <c r="C49" s="3"/>
      <c r="D49" s="5" t="s">
        <v>684</v>
      </c>
      <c r="E49" s="58" t="s">
        <v>685</v>
      </c>
      <c r="F49" s="57"/>
      <c r="G49" s="5" t="s">
        <v>54</v>
      </c>
      <c r="H49" s="13" t="str">
        <f>IFERROR(VLOOKUP(G49, Sheet2!$A:$B, 2, FALSE), A49)</f>
        <v>2GOTRADE LIMITED</v>
      </c>
      <c r="I49" s="6" t="s">
        <v>359</v>
      </c>
      <c r="J49" s="109"/>
      <c r="K49" s="48" t="s">
        <v>686</v>
      </c>
      <c r="L49" s="9"/>
      <c r="M49" s="11" t="s">
        <v>687</v>
      </c>
      <c r="N49" s="11"/>
      <c r="O49" s="7"/>
      <c r="P49" s="11"/>
      <c r="Q49" s="8">
        <v>44074</v>
      </c>
      <c r="R49" s="8"/>
      <c r="S49" s="8">
        <v>44074</v>
      </c>
      <c r="T49" s="4" t="s">
        <v>688</v>
      </c>
      <c r="U49" s="4" t="s">
        <v>689</v>
      </c>
      <c r="V49" s="52" t="s">
        <v>690</v>
      </c>
      <c r="W49" s="8"/>
      <c r="X49" s="4"/>
      <c r="Y49" s="15" t="s">
        <v>691</v>
      </c>
      <c r="Z49" s="53"/>
      <c r="AA49" s="8"/>
      <c r="AB49" s="3"/>
      <c r="AC49" s="3"/>
      <c r="AD49" s="3"/>
    </row>
    <row r="50" spans="1:30" ht="73">
      <c r="A50" s="5" t="s">
        <v>350</v>
      </c>
      <c r="B50" s="46"/>
      <c r="C50" s="3"/>
      <c r="D50" s="5" t="s">
        <v>692</v>
      </c>
      <c r="E50" s="6"/>
      <c r="F50" s="47"/>
      <c r="G50" s="5" t="s">
        <v>56</v>
      </c>
      <c r="H50" s="13" t="str">
        <f>IFERROR(VLOOKUP(G50, Sheet2!$A:$B, 2, FALSE), A50)</f>
        <v>SHISEIDO HONG KONG LIMITED</v>
      </c>
      <c r="I50" s="6" t="s">
        <v>393</v>
      </c>
      <c r="J50" s="109"/>
      <c r="K50" s="79"/>
      <c r="L50" s="56"/>
      <c r="M50" s="3"/>
      <c r="N50" s="3"/>
      <c r="O50" s="112"/>
      <c r="P50" s="3"/>
      <c r="Q50" s="8">
        <v>44123</v>
      </c>
      <c r="R50" s="8"/>
      <c r="S50" s="8">
        <v>44131</v>
      </c>
      <c r="T50" s="5" t="s">
        <v>693</v>
      </c>
      <c r="U50" s="52" t="s">
        <v>694</v>
      </c>
      <c r="V50" s="52" t="s">
        <v>695</v>
      </c>
      <c r="W50" s="8"/>
      <c r="X50" s="52"/>
      <c r="Y50" s="95" t="s">
        <v>696</v>
      </c>
      <c r="Z50" s="113" t="s">
        <v>489</v>
      </c>
      <c r="AA50" s="12"/>
      <c r="AB50" s="3"/>
      <c r="AC50" s="3"/>
      <c r="AD50" s="3"/>
    </row>
    <row r="51" spans="1:30" ht="88">
      <c r="A51" s="4" t="s">
        <v>350</v>
      </c>
      <c r="B51" s="46"/>
      <c r="C51" s="3"/>
      <c r="D51" s="5" t="s">
        <v>697</v>
      </c>
      <c r="E51" s="58" t="s">
        <v>698</v>
      </c>
      <c r="F51" s="57"/>
      <c r="G51" s="5" t="s">
        <v>58</v>
      </c>
      <c r="H51" s="13" t="str">
        <f>IFERROR(VLOOKUP(G51, Sheet2!$A:$B, 2, FALSE), A51)</f>
        <v>MITSUBISHI CORPORATION (HK) LTD</v>
      </c>
      <c r="I51" s="6" t="s">
        <v>352</v>
      </c>
      <c r="J51" s="109"/>
      <c r="K51" s="48" t="s">
        <v>699</v>
      </c>
      <c r="L51" s="9"/>
      <c r="M51" s="15" t="s">
        <v>700</v>
      </c>
      <c r="N51" s="15"/>
      <c r="O51" s="9" t="s">
        <v>701</v>
      </c>
      <c r="P51" s="15"/>
      <c r="Q51" s="8">
        <v>44131</v>
      </c>
      <c r="R51" s="8"/>
      <c r="S51" s="8">
        <v>44127</v>
      </c>
      <c r="T51" s="5" t="s">
        <v>702</v>
      </c>
      <c r="U51" s="5" t="s">
        <v>703</v>
      </c>
      <c r="V51" s="52" t="s">
        <v>704</v>
      </c>
      <c r="W51" s="8"/>
      <c r="X51" s="5"/>
      <c r="Y51" s="15" t="s">
        <v>705</v>
      </c>
      <c r="Z51" s="70" t="s">
        <v>425</v>
      </c>
      <c r="AA51" s="4"/>
      <c r="AB51" s="3"/>
      <c r="AC51" s="3"/>
      <c r="AD51" s="3"/>
    </row>
    <row r="52" spans="1:30" ht="145">
      <c r="A52" s="5" t="s">
        <v>350</v>
      </c>
      <c r="B52" s="46"/>
      <c r="C52" s="3"/>
      <c r="D52" s="5" t="s">
        <v>606</v>
      </c>
      <c r="E52" s="58" t="s">
        <v>607</v>
      </c>
      <c r="F52" s="57"/>
      <c r="G52" s="5" t="s">
        <v>43</v>
      </c>
      <c r="H52" s="13" t="str">
        <f>IFERROR(VLOOKUP(G52, Sheet2!$A:$B, 2, FALSE), A52)</f>
        <v>CHOW TAI FOOK JEWELLERY CO LTD</v>
      </c>
      <c r="I52" s="6" t="s">
        <v>352</v>
      </c>
      <c r="J52" s="100" t="s">
        <v>609</v>
      </c>
      <c r="K52" s="48" t="s">
        <v>610</v>
      </c>
      <c r="L52" s="9"/>
      <c r="M52" s="3" t="s">
        <v>706</v>
      </c>
      <c r="N52" s="3"/>
      <c r="O52" s="56"/>
      <c r="P52" s="3"/>
      <c r="Q52" s="4">
        <v>44134</v>
      </c>
      <c r="R52" s="8"/>
      <c r="S52" s="8">
        <v>44448</v>
      </c>
      <c r="T52" s="8" t="s">
        <v>612</v>
      </c>
      <c r="U52" s="4" t="s">
        <v>707</v>
      </c>
      <c r="V52" s="52" t="s">
        <v>614</v>
      </c>
      <c r="W52" s="8"/>
      <c r="X52" s="4"/>
      <c r="Y52" s="15" t="s">
        <v>708</v>
      </c>
      <c r="Z52" s="50" t="s">
        <v>489</v>
      </c>
      <c r="AA52" s="69" t="s">
        <v>425</v>
      </c>
      <c r="AB52" s="3"/>
      <c r="AC52" s="3"/>
      <c r="AD52" s="3"/>
    </row>
    <row r="53" spans="1:30" ht="159.5">
      <c r="A53" s="5" t="s">
        <v>350</v>
      </c>
      <c r="B53" s="46"/>
      <c r="C53" s="3"/>
      <c r="D53" s="5" t="s">
        <v>606</v>
      </c>
      <c r="E53" s="58" t="s">
        <v>607</v>
      </c>
      <c r="F53" s="57"/>
      <c r="G53" s="5" t="s">
        <v>45</v>
      </c>
      <c r="H53" s="13" t="str">
        <f>IFERROR(VLOOKUP(G53, Sheet2!$A:$B, 2, FALSE), A53)</f>
        <v>CHOW TAI FOOK JEWELLERY CO LTD</v>
      </c>
      <c r="I53" s="6" t="s">
        <v>352</v>
      </c>
      <c r="J53" s="100">
        <v>726125834629</v>
      </c>
      <c r="K53" s="62" t="s">
        <v>709</v>
      </c>
      <c r="L53" s="9"/>
      <c r="M53" s="3" t="s">
        <v>710</v>
      </c>
      <c r="N53" s="3"/>
      <c r="O53" s="56"/>
      <c r="P53" s="3"/>
      <c r="Q53" s="4">
        <v>44134</v>
      </c>
      <c r="R53" s="8"/>
      <c r="S53" s="8">
        <v>44448</v>
      </c>
      <c r="T53" s="69" t="s">
        <v>619</v>
      </c>
      <c r="U53" s="8" t="s">
        <v>711</v>
      </c>
      <c r="V53" s="19" t="s">
        <v>712</v>
      </c>
      <c r="W53" s="8"/>
      <c r="X53" s="8"/>
      <c r="Y53" s="15" t="s">
        <v>713</v>
      </c>
      <c r="Z53" s="114" t="s">
        <v>489</v>
      </c>
      <c r="AA53" s="69"/>
      <c r="AB53" s="3"/>
      <c r="AC53" s="3"/>
      <c r="AD53" s="3"/>
    </row>
    <row r="54" spans="1:30" ht="102">
      <c r="A54" s="5" t="s">
        <v>350</v>
      </c>
      <c r="B54" s="46"/>
      <c r="C54" s="3"/>
      <c r="D54" s="5" t="s">
        <v>506</v>
      </c>
      <c r="E54" s="58" t="s">
        <v>507</v>
      </c>
      <c r="F54" s="82" t="s">
        <v>714</v>
      </c>
      <c r="G54" s="9" t="s">
        <v>60</v>
      </c>
      <c r="H54" s="13" t="str">
        <f>IFERROR(VLOOKUP(G54, Sheet2!$A:$B, 2, FALSE), A54)</f>
        <v>CAM 8 AWS account for Green Motor Bus
 (for customer production workload)</v>
      </c>
      <c r="I54" s="6" t="s">
        <v>352</v>
      </c>
      <c r="J54" s="109"/>
      <c r="K54" s="62" t="s">
        <v>715</v>
      </c>
      <c r="L54" s="90" t="s">
        <v>716</v>
      </c>
      <c r="M54" s="15" t="s">
        <v>717</v>
      </c>
      <c r="N54" s="15"/>
      <c r="O54" s="9"/>
      <c r="P54" s="15"/>
      <c r="Q54" s="4">
        <v>44134</v>
      </c>
      <c r="R54" s="8"/>
      <c r="S54" s="8">
        <v>44131</v>
      </c>
      <c r="T54" s="4" t="s">
        <v>718</v>
      </c>
      <c r="U54" s="4" t="s">
        <v>719</v>
      </c>
      <c r="V54" s="52" t="s">
        <v>720</v>
      </c>
      <c r="W54" s="8"/>
      <c r="X54" s="4"/>
      <c r="Y54" s="86" t="s">
        <v>721</v>
      </c>
      <c r="Z54" s="70" t="s">
        <v>425</v>
      </c>
      <c r="AA54" s="4"/>
      <c r="AB54" s="3"/>
      <c r="AC54" s="3"/>
      <c r="AD54" s="3"/>
    </row>
    <row r="55" spans="1:30" ht="88">
      <c r="A55" s="4" t="s">
        <v>350</v>
      </c>
      <c r="B55" s="46"/>
      <c r="C55" s="3"/>
      <c r="D55" s="5" t="s">
        <v>722</v>
      </c>
      <c r="E55" s="58" t="s">
        <v>723</v>
      </c>
      <c r="F55" s="57"/>
      <c r="G55" s="5" t="s">
        <v>61</v>
      </c>
      <c r="H55" s="13" t="str">
        <f>IFERROR(VLOOKUP(G55, Sheet2!$A:$B, 2, FALSE), A55)</f>
        <v>HKT Cloud EMS</v>
      </c>
      <c r="I55" s="6" t="s">
        <v>352</v>
      </c>
      <c r="J55" s="109"/>
      <c r="K55" s="62" t="s">
        <v>724</v>
      </c>
      <c r="L55" s="9"/>
      <c r="M55" s="15" t="s">
        <v>725</v>
      </c>
      <c r="N55" s="15"/>
      <c r="O55" s="9"/>
      <c r="P55" s="15"/>
      <c r="Q55" s="4">
        <v>44134</v>
      </c>
      <c r="R55" s="8"/>
      <c r="S55" s="8">
        <v>44134</v>
      </c>
      <c r="T55" s="5" t="s">
        <v>726</v>
      </c>
      <c r="U55" s="5" t="s">
        <v>727</v>
      </c>
      <c r="V55" s="52" t="s">
        <v>728</v>
      </c>
      <c r="W55" s="8"/>
      <c r="X55" s="5"/>
      <c r="Y55" s="15" t="s">
        <v>729</v>
      </c>
      <c r="Z55" s="70" t="s">
        <v>425</v>
      </c>
      <c r="AA55" s="4"/>
      <c r="AB55" s="3"/>
      <c r="AC55" s="3"/>
      <c r="AD55" s="3"/>
    </row>
    <row r="56" spans="1:30" ht="44.5">
      <c r="A56" s="4" t="s">
        <v>350</v>
      </c>
      <c r="B56" s="46"/>
      <c r="C56" s="3"/>
      <c r="D56" s="5" t="s">
        <v>722</v>
      </c>
      <c r="E56" s="58" t="s">
        <v>723</v>
      </c>
      <c r="F56" s="57"/>
      <c r="G56" s="5" t="s">
        <v>61</v>
      </c>
      <c r="H56" s="13" t="str">
        <f>IFERROR(VLOOKUP(G56, Sheet2!$A:$B, 2, FALSE), A56)</f>
        <v>HKT Cloud EMS</v>
      </c>
      <c r="I56" s="6" t="s">
        <v>393</v>
      </c>
      <c r="J56" s="109"/>
      <c r="K56" s="48"/>
      <c r="L56" s="9"/>
      <c r="M56" s="3"/>
      <c r="N56" s="3"/>
      <c r="O56" s="9"/>
      <c r="P56" s="3"/>
      <c r="Q56" s="4">
        <v>44134</v>
      </c>
      <c r="R56" s="8"/>
      <c r="S56" s="8">
        <v>44133</v>
      </c>
      <c r="T56" s="115" t="s">
        <v>730</v>
      </c>
      <c r="U56" s="116" t="s">
        <v>730</v>
      </c>
      <c r="V56" s="117" t="s">
        <v>730</v>
      </c>
      <c r="W56" s="8"/>
      <c r="X56" s="116"/>
      <c r="Y56" s="15" t="s">
        <v>731</v>
      </c>
      <c r="Z56" s="70" t="s">
        <v>425</v>
      </c>
      <c r="AA56" s="4"/>
      <c r="AB56" s="3"/>
      <c r="AC56" s="3"/>
      <c r="AD56" s="3"/>
    </row>
    <row r="57" spans="1:30" ht="58">
      <c r="A57" s="5" t="s">
        <v>350</v>
      </c>
      <c r="B57" s="46"/>
      <c r="C57" s="3"/>
      <c r="D57" s="4" t="s">
        <v>673</v>
      </c>
      <c r="E57" s="58" t="s">
        <v>674</v>
      </c>
      <c r="F57" s="57"/>
      <c r="G57" s="5" t="s">
        <v>732</v>
      </c>
      <c r="H57" s="13" t="str">
        <f>IFERROR(VLOOKUP(G57, Sheet2!$A:$B, 2, FALSE), A57)</f>
        <v>AASTOCKS.COM LIMITED</v>
      </c>
      <c r="I57" s="6" t="s">
        <v>675</v>
      </c>
      <c r="J57" s="109"/>
      <c r="K57" s="75"/>
      <c r="L57" s="72"/>
      <c r="M57" s="3"/>
      <c r="N57" s="3"/>
      <c r="O57" s="9"/>
      <c r="P57" s="3"/>
      <c r="Q57" s="8">
        <v>44148</v>
      </c>
      <c r="R57" s="8"/>
      <c r="S57" s="8">
        <v>44116</v>
      </c>
      <c r="T57" s="5" t="s">
        <v>733</v>
      </c>
      <c r="U57" s="5" t="s">
        <v>734</v>
      </c>
      <c r="V57" s="52" t="s">
        <v>735</v>
      </c>
      <c r="W57" s="8"/>
      <c r="X57" s="5"/>
      <c r="Y57" s="111" t="s">
        <v>736</v>
      </c>
      <c r="Z57" s="70" t="s">
        <v>425</v>
      </c>
      <c r="AA57" s="4"/>
      <c r="AB57" s="3"/>
      <c r="AC57" s="3"/>
      <c r="AD57" s="3"/>
    </row>
    <row r="58" spans="1:30" ht="29">
      <c r="A58" s="4" t="s">
        <v>350</v>
      </c>
      <c r="B58" s="46"/>
      <c r="C58" s="3"/>
      <c r="D58" s="4" t="s">
        <v>737</v>
      </c>
      <c r="E58" s="58" t="s">
        <v>738</v>
      </c>
      <c r="F58" s="57" t="s">
        <v>739</v>
      </c>
      <c r="G58" s="4" t="s">
        <v>63</v>
      </c>
      <c r="H58" s="13" t="str">
        <f>IFERROR(VLOOKUP(G58, Sheet2!$A:$B, 2, FALSE), A58)</f>
        <v>CCC CP29</v>
      </c>
      <c r="I58" s="6" t="s">
        <v>393</v>
      </c>
      <c r="J58" s="109"/>
      <c r="K58" s="48"/>
      <c r="L58" s="9"/>
      <c r="M58" s="5" t="s">
        <v>740</v>
      </c>
      <c r="N58" s="5"/>
      <c r="O58" s="9"/>
      <c r="P58" s="5"/>
      <c r="Q58" s="8">
        <v>44158</v>
      </c>
      <c r="R58" s="8"/>
      <c r="S58" s="8">
        <v>44152</v>
      </c>
      <c r="T58" s="4" t="s">
        <v>741</v>
      </c>
      <c r="U58" s="4" t="s">
        <v>742</v>
      </c>
      <c r="V58" s="52" t="s">
        <v>743</v>
      </c>
      <c r="W58" s="8"/>
      <c r="X58" s="4"/>
      <c r="Y58" s="9" t="s">
        <v>744</v>
      </c>
      <c r="Z58" s="70" t="s">
        <v>425</v>
      </c>
      <c r="AA58" s="4"/>
      <c r="AB58" s="3"/>
      <c r="AC58" s="3"/>
      <c r="AD58" s="3"/>
    </row>
    <row r="59" spans="1:30" ht="72.5">
      <c r="A59" s="4" t="s">
        <v>350</v>
      </c>
      <c r="B59" s="46"/>
      <c r="C59" s="3"/>
      <c r="D59" s="6" t="s">
        <v>745</v>
      </c>
      <c r="E59" s="6">
        <v>21692109</v>
      </c>
      <c r="F59" s="57" t="s">
        <v>746</v>
      </c>
      <c r="G59" s="5" t="s">
        <v>65</v>
      </c>
      <c r="H59" s="13" t="str">
        <f>IFERROR(VLOOKUP(G59, Sheet2!$A:$B, 2, FALSE), A59)</f>
        <v>INCOME PARTNERS ASSET MANAGEMENT(HK)LTD</v>
      </c>
      <c r="I59" s="6" t="s">
        <v>352</v>
      </c>
      <c r="J59" s="109"/>
      <c r="K59" s="118" t="s">
        <v>747</v>
      </c>
      <c r="L59" s="7"/>
      <c r="M59" s="15" t="s">
        <v>748</v>
      </c>
      <c r="N59" s="15"/>
      <c r="O59" s="9" t="s">
        <v>749</v>
      </c>
      <c r="P59" s="15"/>
      <c r="Q59" s="64">
        <v>44154</v>
      </c>
      <c r="R59" s="8"/>
      <c r="S59" s="8">
        <v>44152</v>
      </c>
      <c r="T59" s="6" t="s">
        <v>750</v>
      </c>
      <c r="U59" s="6" t="s">
        <v>751</v>
      </c>
      <c r="V59" s="119">
        <v>102500</v>
      </c>
      <c r="W59" s="8"/>
      <c r="X59" s="6"/>
      <c r="Y59" s="9" t="s">
        <v>752</v>
      </c>
      <c r="Z59" s="70" t="s">
        <v>425</v>
      </c>
      <c r="AA59" s="4"/>
      <c r="AB59" s="54"/>
      <c r="AC59" s="54"/>
      <c r="AD59" s="108"/>
    </row>
    <row r="60" spans="1:30" ht="131">
      <c r="A60" s="4" t="s">
        <v>350</v>
      </c>
      <c r="B60" s="46"/>
      <c r="C60" s="3"/>
      <c r="D60" s="4" t="s">
        <v>753</v>
      </c>
      <c r="E60" s="6">
        <v>23711810</v>
      </c>
      <c r="F60" s="57" t="s">
        <v>754</v>
      </c>
      <c r="G60" s="4" t="s">
        <v>67</v>
      </c>
      <c r="H60" s="13" t="str">
        <f>IFERROR(VLOOKUP(G60, Sheet2!$A:$B, 2, FALSE), A60)</f>
        <v>LAWS FASHION GROUP LIMITED</v>
      </c>
      <c r="I60" s="6" t="s">
        <v>352</v>
      </c>
      <c r="J60" s="109"/>
      <c r="K60" s="109" t="s">
        <v>755</v>
      </c>
      <c r="L60" s="120"/>
      <c r="M60" s="15" t="s">
        <v>756</v>
      </c>
      <c r="N60" s="15"/>
      <c r="O60" s="9" t="s">
        <v>757</v>
      </c>
      <c r="P60" s="15"/>
      <c r="Q60" s="64">
        <v>44165</v>
      </c>
      <c r="R60" s="8"/>
      <c r="S60" s="8">
        <v>44165</v>
      </c>
      <c r="T60" s="69" t="s">
        <v>758</v>
      </c>
      <c r="U60" s="64" t="s">
        <v>759</v>
      </c>
      <c r="V60" s="119" t="s">
        <v>760</v>
      </c>
      <c r="W60" s="8"/>
      <c r="X60" s="64"/>
      <c r="Y60" s="56" t="s">
        <v>761</v>
      </c>
      <c r="Z60" s="70" t="s">
        <v>425</v>
      </c>
      <c r="AA60" s="4"/>
      <c r="AB60" s="3"/>
      <c r="AC60" s="3"/>
      <c r="AD60" s="3"/>
    </row>
    <row r="61" spans="1:30" ht="58.5">
      <c r="A61" s="54" t="s">
        <v>730</v>
      </c>
      <c r="B61" s="46"/>
      <c r="C61" s="3"/>
      <c r="D61" s="4" t="s">
        <v>762</v>
      </c>
      <c r="E61" s="58" t="s">
        <v>763</v>
      </c>
      <c r="F61" s="57" t="s">
        <v>764</v>
      </c>
      <c r="G61" s="4" t="s">
        <v>69</v>
      </c>
      <c r="H61" s="13" t="str">
        <f>IFERROR(VLOOKUP(G61, Sheet2!$A:$B, 2, FALSE), A61)</f>
        <v>MODERN BEAUTY SALON (HK) LTD</v>
      </c>
      <c r="I61" s="6" t="s">
        <v>352</v>
      </c>
      <c r="J61" s="109"/>
      <c r="K61" s="109" t="s">
        <v>765</v>
      </c>
      <c r="L61" s="120"/>
      <c r="M61" s="15" t="s">
        <v>766</v>
      </c>
      <c r="N61" s="15"/>
      <c r="O61" s="9" t="s">
        <v>767</v>
      </c>
      <c r="P61" s="15"/>
      <c r="Q61" s="4">
        <v>44161</v>
      </c>
      <c r="R61" s="8"/>
      <c r="S61" s="8">
        <v>44159</v>
      </c>
      <c r="T61" s="4" t="s">
        <v>768</v>
      </c>
      <c r="U61" s="4" t="s">
        <v>769</v>
      </c>
      <c r="V61" s="52" t="s">
        <v>770</v>
      </c>
      <c r="W61" s="8"/>
      <c r="X61" s="4"/>
      <c r="Y61" s="9" t="s">
        <v>771</v>
      </c>
      <c r="Z61" s="70" t="s">
        <v>425</v>
      </c>
      <c r="AA61" s="4"/>
      <c r="AB61" s="3"/>
      <c r="AC61" s="3"/>
      <c r="AD61" s="3"/>
    </row>
    <row r="62" spans="1:30" ht="72.5">
      <c r="A62" s="5" t="s">
        <v>350</v>
      </c>
      <c r="B62" s="46"/>
      <c r="C62" s="3"/>
      <c r="D62" s="4" t="s">
        <v>673</v>
      </c>
      <c r="E62" s="58" t="s">
        <v>674</v>
      </c>
      <c r="F62" s="57"/>
      <c r="G62" s="5" t="s">
        <v>52</v>
      </c>
      <c r="H62" s="13" t="str">
        <f>IFERROR(VLOOKUP(G62, Sheet2!$A:$B, 2, FALSE), A62)</f>
        <v>AASTOCKS.COM LIMITED</v>
      </c>
      <c r="I62" s="6" t="s">
        <v>675</v>
      </c>
      <c r="J62" s="109"/>
      <c r="K62" s="75"/>
      <c r="L62" s="72"/>
      <c r="M62" s="5"/>
      <c r="N62" s="5"/>
      <c r="O62" s="9"/>
      <c r="P62" s="5"/>
      <c r="Q62" s="8">
        <v>44161</v>
      </c>
      <c r="R62" s="8"/>
      <c r="S62" s="8">
        <v>44159</v>
      </c>
      <c r="T62" s="85" t="s">
        <v>772</v>
      </c>
      <c r="U62" s="3" t="s">
        <v>773</v>
      </c>
      <c r="V62" s="19" t="s">
        <v>774</v>
      </c>
      <c r="W62" s="8"/>
      <c r="X62" s="3"/>
      <c r="Y62" s="111" t="s">
        <v>775</v>
      </c>
      <c r="Z62" s="70" t="s">
        <v>425</v>
      </c>
      <c r="AA62" s="4"/>
      <c r="AB62" s="3"/>
      <c r="AC62" s="3"/>
      <c r="AD62" s="3"/>
    </row>
    <row r="63" spans="1:30" ht="116">
      <c r="A63" s="5" t="s">
        <v>350</v>
      </c>
      <c r="B63" s="46"/>
      <c r="C63" s="3"/>
      <c r="D63" s="5" t="s">
        <v>606</v>
      </c>
      <c r="E63" s="58" t="s">
        <v>607</v>
      </c>
      <c r="F63" s="57"/>
      <c r="G63" s="5" t="s">
        <v>43</v>
      </c>
      <c r="H63" s="13" t="str">
        <f>IFERROR(VLOOKUP(G63, Sheet2!$A:$B, 2, FALSE), A63)</f>
        <v>CHOW TAI FOOK JEWELLERY CO LTD</v>
      </c>
      <c r="I63" s="6" t="s">
        <v>352</v>
      </c>
      <c r="J63" s="109" t="s">
        <v>609</v>
      </c>
      <c r="K63" s="48" t="s">
        <v>610</v>
      </c>
      <c r="L63" s="121"/>
      <c r="M63" s="5" t="s">
        <v>776</v>
      </c>
      <c r="N63" s="5"/>
      <c r="O63" s="112"/>
      <c r="P63" s="5"/>
      <c r="Q63" s="8">
        <v>44188</v>
      </c>
      <c r="R63" s="8"/>
      <c r="S63" s="8">
        <v>44771</v>
      </c>
      <c r="T63" s="85" t="s">
        <v>777</v>
      </c>
      <c r="U63" s="5" t="s">
        <v>778</v>
      </c>
      <c r="V63" s="52" t="s">
        <v>779</v>
      </c>
      <c r="W63" s="8"/>
      <c r="X63" s="5"/>
      <c r="Y63" s="15" t="s">
        <v>780</v>
      </c>
      <c r="Z63" s="113" t="s">
        <v>489</v>
      </c>
      <c r="AA63" s="12" t="s">
        <v>781</v>
      </c>
      <c r="AB63" s="3"/>
      <c r="AC63" s="3"/>
      <c r="AD63" s="3"/>
    </row>
    <row r="64" spans="1:30" ht="105.5">
      <c r="A64" s="5" t="s">
        <v>350</v>
      </c>
      <c r="B64" s="46"/>
      <c r="C64" s="3"/>
      <c r="D64" s="5" t="s">
        <v>782</v>
      </c>
      <c r="E64" s="58" t="s">
        <v>783</v>
      </c>
      <c r="F64" s="57"/>
      <c r="G64" s="5" t="s">
        <v>71</v>
      </c>
      <c r="H64" s="13" t="str">
        <f>IFERROR(VLOOKUP(G64, Sheet2!$A:$B, 2, FALSE), A64)</f>
        <v>JARDINE MATHESON LIMITED</v>
      </c>
      <c r="I64" s="6" t="s">
        <v>393</v>
      </c>
      <c r="J64" s="109"/>
      <c r="K64" s="19"/>
      <c r="L64" s="122"/>
      <c r="M64" s="5" t="s">
        <v>784</v>
      </c>
      <c r="N64" s="5"/>
      <c r="O64" s="9"/>
      <c r="P64" s="5"/>
      <c r="Q64" s="8">
        <v>44196</v>
      </c>
      <c r="R64" s="8"/>
      <c r="S64" s="8">
        <v>44210</v>
      </c>
      <c r="T64" s="5" t="s">
        <v>785</v>
      </c>
      <c r="U64" s="5" t="s">
        <v>786</v>
      </c>
      <c r="V64" s="52" t="s">
        <v>787</v>
      </c>
      <c r="W64" s="8"/>
      <c r="X64" s="5"/>
      <c r="Y64" s="95" t="s">
        <v>788</v>
      </c>
      <c r="Z64" s="70" t="s">
        <v>425</v>
      </c>
      <c r="AA64" s="4"/>
      <c r="AB64" s="3"/>
      <c r="AC64" s="3"/>
      <c r="AD64" s="3"/>
    </row>
    <row r="65" spans="1:30" ht="145.5">
      <c r="A65" s="5" t="s">
        <v>350</v>
      </c>
      <c r="B65" s="46"/>
      <c r="C65" s="3"/>
      <c r="D65" s="9" t="s">
        <v>789</v>
      </c>
      <c r="E65" s="67" t="s">
        <v>790</v>
      </c>
      <c r="F65" s="68" t="s">
        <v>791</v>
      </c>
      <c r="G65" s="5" t="s">
        <v>792</v>
      </c>
      <c r="H65" s="13" t="str">
        <f>IFERROR(VLOOKUP(G65, Sheet2!$A:$B, 2, FALSE), A65)</f>
        <v>FIRST ASIA MERCHANTS BULLION LIMITED</v>
      </c>
      <c r="I65" s="6" t="s">
        <v>352</v>
      </c>
      <c r="J65" s="109"/>
      <c r="K65" s="118" t="s">
        <v>793</v>
      </c>
      <c r="L65" s="123"/>
      <c r="M65" s="15" t="s">
        <v>794</v>
      </c>
      <c r="N65" s="15"/>
      <c r="O65" s="15" t="s">
        <v>795</v>
      </c>
      <c r="P65" s="15"/>
      <c r="Q65" s="8">
        <v>44194</v>
      </c>
      <c r="R65" s="8"/>
      <c r="S65" s="8">
        <v>44195</v>
      </c>
      <c r="T65" s="5" t="s">
        <v>796</v>
      </c>
      <c r="U65" s="5" t="s">
        <v>797</v>
      </c>
      <c r="V65" s="52" t="s">
        <v>798</v>
      </c>
      <c r="W65" s="8"/>
      <c r="X65" s="5"/>
      <c r="Y65" s="95" t="s">
        <v>799</v>
      </c>
      <c r="Z65" s="70" t="s">
        <v>425</v>
      </c>
      <c r="AA65" s="3"/>
      <c r="AB65" s="3"/>
      <c r="AC65" s="3"/>
      <c r="AD65" s="3"/>
    </row>
    <row r="66" spans="1:30" ht="72.5">
      <c r="A66" s="5" t="s">
        <v>350</v>
      </c>
      <c r="B66" s="46"/>
      <c r="C66" s="3"/>
      <c r="D66" s="5" t="s">
        <v>800</v>
      </c>
      <c r="E66" s="6">
        <v>96742005</v>
      </c>
      <c r="F66" s="47"/>
      <c r="G66" s="5" t="s">
        <v>73</v>
      </c>
      <c r="H66" s="13" t="str">
        <f>IFERROR(VLOOKUP(G66, Sheet2!$A:$B, 2, FALSE), A66)</f>
        <v>DDAAPP LIMITED</v>
      </c>
      <c r="I66" s="6" t="s">
        <v>352</v>
      </c>
      <c r="J66" s="109"/>
      <c r="K66" s="19" t="s">
        <v>801</v>
      </c>
      <c r="L66" s="121"/>
      <c r="M66" s="15" t="s">
        <v>802</v>
      </c>
      <c r="N66" s="15"/>
      <c r="O66" s="9"/>
      <c r="P66" s="15"/>
      <c r="Q66" s="4">
        <v>44202</v>
      </c>
      <c r="R66" s="8"/>
      <c r="S66" s="8">
        <v>44201</v>
      </c>
      <c r="T66" s="69" t="s">
        <v>803</v>
      </c>
      <c r="U66" s="4" t="s">
        <v>804</v>
      </c>
      <c r="V66" s="52" t="s">
        <v>805</v>
      </c>
      <c r="W66" s="8"/>
      <c r="X66" s="4"/>
      <c r="Y66" s="124" t="s">
        <v>806</v>
      </c>
      <c r="Z66" s="70" t="s">
        <v>425</v>
      </c>
      <c r="AA66" s="4"/>
      <c r="AB66" s="3"/>
      <c r="AC66" s="3"/>
      <c r="AD66" s="3"/>
    </row>
    <row r="67" spans="1:30" ht="145.5">
      <c r="A67" s="5" t="s">
        <v>350</v>
      </c>
      <c r="B67" s="46"/>
      <c r="C67" s="3"/>
      <c r="D67" s="9" t="s">
        <v>789</v>
      </c>
      <c r="E67" s="67" t="s">
        <v>790</v>
      </c>
      <c r="F67" s="68" t="s">
        <v>791</v>
      </c>
      <c r="G67" s="5" t="s">
        <v>792</v>
      </c>
      <c r="H67" s="13" t="str">
        <f>IFERROR(VLOOKUP(G67, Sheet2!$A:$B, 2, FALSE), A67)</f>
        <v>FIRST ASIA MERCHANTS BULLION LIMITED</v>
      </c>
      <c r="I67" s="6" t="s">
        <v>352</v>
      </c>
      <c r="J67" s="109"/>
      <c r="K67" s="62" t="s">
        <v>807</v>
      </c>
      <c r="L67" s="125"/>
      <c r="M67" s="15" t="s">
        <v>808</v>
      </c>
      <c r="N67" s="15"/>
      <c r="O67" s="9" t="s">
        <v>795</v>
      </c>
      <c r="P67" s="15"/>
      <c r="Q67" s="8">
        <v>44194</v>
      </c>
      <c r="R67" s="8"/>
      <c r="S67" s="8">
        <v>44195</v>
      </c>
      <c r="T67" s="69" t="s">
        <v>809</v>
      </c>
      <c r="U67" s="4" t="s">
        <v>810</v>
      </c>
      <c r="V67" s="52" t="s">
        <v>811</v>
      </c>
      <c r="W67" s="8"/>
      <c r="X67" s="4"/>
      <c r="Y67" s="95" t="s">
        <v>812</v>
      </c>
      <c r="Z67" s="70" t="s">
        <v>425</v>
      </c>
      <c r="AA67" s="8"/>
      <c r="AB67" s="3"/>
      <c r="AC67" s="3"/>
      <c r="AD67" s="3"/>
    </row>
    <row r="68" spans="1:30" ht="145.5">
      <c r="A68" s="5" t="s">
        <v>350</v>
      </c>
      <c r="B68" s="46"/>
      <c r="C68" s="3"/>
      <c r="D68" s="9" t="s">
        <v>789</v>
      </c>
      <c r="E68" s="67" t="s">
        <v>790</v>
      </c>
      <c r="F68" s="68" t="s">
        <v>791</v>
      </c>
      <c r="G68" s="5" t="s">
        <v>792</v>
      </c>
      <c r="H68" s="13" t="str">
        <f>IFERROR(VLOOKUP(G68, Sheet2!$A:$B, 2, FALSE), A68)</f>
        <v>FIRST ASIA MERCHANTS BULLION LIMITED</v>
      </c>
      <c r="I68" s="6" t="s">
        <v>352</v>
      </c>
      <c r="J68" s="109"/>
      <c r="K68" s="118" t="s">
        <v>524</v>
      </c>
      <c r="L68" s="126"/>
      <c r="M68" s="15" t="s">
        <v>813</v>
      </c>
      <c r="N68" s="15"/>
      <c r="O68" s="72" t="s">
        <v>795</v>
      </c>
      <c r="P68" s="15"/>
      <c r="Q68" s="8">
        <v>44194</v>
      </c>
      <c r="R68" s="8"/>
      <c r="S68" s="8">
        <v>44195</v>
      </c>
      <c r="T68" s="5" t="s">
        <v>814</v>
      </c>
      <c r="U68" s="4" t="s">
        <v>815</v>
      </c>
      <c r="V68" s="52" t="s">
        <v>816</v>
      </c>
      <c r="W68" s="8"/>
      <c r="X68" s="4"/>
      <c r="Y68" s="95" t="s">
        <v>812</v>
      </c>
      <c r="Z68" s="70" t="s">
        <v>425</v>
      </c>
      <c r="AA68" s="73"/>
      <c r="AB68" s="3"/>
      <c r="AC68" s="3"/>
      <c r="AD68" s="3"/>
    </row>
    <row r="69" spans="1:30" ht="145.5">
      <c r="A69" s="5" t="s">
        <v>350</v>
      </c>
      <c r="B69" s="46"/>
      <c r="C69" s="3"/>
      <c r="D69" s="9" t="s">
        <v>789</v>
      </c>
      <c r="E69" s="67" t="s">
        <v>790</v>
      </c>
      <c r="F69" s="68" t="s">
        <v>791</v>
      </c>
      <c r="G69" s="5" t="s">
        <v>792</v>
      </c>
      <c r="H69" s="13" t="str">
        <f>IFERROR(VLOOKUP(G69, Sheet2!$A:$B, 2, FALSE), A69)</f>
        <v>FIRST ASIA MERCHANTS BULLION LIMITED</v>
      </c>
      <c r="I69" s="6" t="s">
        <v>352</v>
      </c>
      <c r="J69" s="109"/>
      <c r="K69" s="118" t="s">
        <v>530</v>
      </c>
      <c r="L69" s="123"/>
      <c r="M69" s="15" t="s">
        <v>531</v>
      </c>
      <c r="N69" s="15"/>
      <c r="O69" s="90" t="s">
        <v>795</v>
      </c>
      <c r="P69" s="15"/>
      <c r="Q69" s="8">
        <v>44194</v>
      </c>
      <c r="R69" s="8"/>
      <c r="S69" s="8">
        <v>44195</v>
      </c>
      <c r="T69" s="5" t="s">
        <v>817</v>
      </c>
      <c r="U69" s="4" t="s">
        <v>818</v>
      </c>
      <c r="V69" s="52" t="s">
        <v>819</v>
      </c>
      <c r="W69" s="8"/>
      <c r="X69" s="4"/>
      <c r="Y69" s="95" t="s">
        <v>812</v>
      </c>
      <c r="Z69" s="70" t="s">
        <v>425</v>
      </c>
      <c r="AA69" s="49"/>
      <c r="AB69" s="3"/>
      <c r="AC69" s="3"/>
      <c r="AD69" s="3"/>
    </row>
    <row r="70" spans="1:30" ht="145.5">
      <c r="A70" s="5" t="s">
        <v>350</v>
      </c>
      <c r="B70" s="46"/>
      <c r="C70" s="3"/>
      <c r="D70" s="9" t="s">
        <v>789</v>
      </c>
      <c r="E70" s="67" t="s">
        <v>790</v>
      </c>
      <c r="F70" s="68" t="s">
        <v>791</v>
      </c>
      <c r="G70" s="5" t="s">
        <v>792</v>
      </c>
      <c r="H70" s="13" t="str">
        <f>IFERROR(VLOOKUP(G70, Sheet2!$A:$B, 2, FALSE), A70)</f>
        <v>FIRST ASIA MERCHANTS BULLION LIMITED</v>
      </c>
      <c r="I70" s="6" t="s">
        <v>352</v>
      </c>
      <c r="J70" s="109"/>
      <c r="K70" s="79" t="s">
        <v>820</v>
      </c>
      <c r="L70" s="126"/>
      <c r="M70" s="15" t="s">
        <v>536</v>
      </c>
      <c r="N70" s="15"/>
      <c r="O70" s="90" t="s">
        <v>795</v>
      </c>
      <c r="P70" s="15"/>
      <c r="Q70" s="8">
        <v>44194</v>
      </c>
      <c r="R70" s="8"/>
      <c r="S70" s="8">
        <v>44195</v>
      </c>
      <c r="T70" s="5" t="s">
        <v>821</v>
      </c>
      <c r="U70" s="4" t="s">
        <v>822</v>
      </c>
      <c r="V70" s="52" t="s">
        <v>823</v>
      </c>
      <c r="W70" s="8"/>
      <c r="X70" s="4"/>
      <c r="Y70" s="95" t="s">
        <v>812</v>
      </c>
      <c r="Z70" s="70" t="s">
        <v>425</v>
      </c>
      <c r="AA70" s="49"/>
      <c r="AB70" s="3"/>
      <c r="AC70" s="3"/>
      <c r="AD70" s="3"/>
    </row>
    <row r="71" spans="1:30" ht="145.5">
      <c r="A71" s="5" t="s">
        <v>350</v>
      </c>
      <c r="B71" s="46"/>
      <c r="C71" s="3"/>
      <c r="D71" s="9" t="s">
        <v>789</v>
      </c>
      <c r="E71" s="67" t="s">
        <v>790</v>
      </c>
      <c r="F71" s="68" t="s">
        <v>791</v>
      </c>
      <c r="G71" s="5" t="s">
        <v>792</v>
      </c>
      <c r="H71" s="13" t="str">
        <f>IFERROR(VLOOKUP(G71, Sheet2!$A:$B, 2, FALSE), A71)</f>
        <v>FIRST ASIA MERCHANTS BULLION LIMITED</v>
      </c>
      <c r="I71" s="6" t="s">
        <v>352</v>
      </c>
      <c r="J71" s="109"/>
      <c r="K71" s="62" t="s">
        <v>540</v>
      </c>
      <c r="L71" s="126"/>
      <c r="M71" s="15" t="s">
        <v>541</v>
      </c>
      <c r="N71" s="15"/>
      <c r="O71" s="90" t="s">
        <v>795</v>
      </c>
      <c r="P71" s="15"/>
      <c r="Q71" s="8">
        <v>44194</v>
      </c>
      <c r="R71" s="8"/>
      <c r="S71" s="8">
        <v>44195</v>
      </c>
      <c r="T71" s="5" t="s">
        <v>824</v>
      </c>
      <c r="U71" s="4" t="s">
        <v>825</v>
      </c>
      <c r="V71" s="52" t="s">
        <v>826</v>
      </c>
      <c r="W71" s="8"/>
      <c r="X71" s="4"/>
      <c r="Y71" s="95" t="s">
        <v>812</v>
      </c>
      <c r="Z71" s="70" t="s">
        <v>425</v>
      </c>
      <c r="AA71" s="49"/>
      <c r="AB71" s="3"/>
      <c r="AC71" s="3"/>
      <c r="AD71" s="3"/>
    </row>
    <row r="72" spans="1:30" ht="131">
      <c r="A72" s="5" t="s">
        <v>350</v>
      </c>
      <c r="B72" s="46"/>
      <c r="C72" s="3"/>
      <c r="D72" s="5" t="s">
        <v>800</v>
      </c>
      <c r="E72" s="6">
        <v>96742005</v>
      </c>
      <c r="F72" s="47"/>
      <c r="G72" s="5" t="s">
        <v>73</v>
      </c>
      <c r="H72" s="13" t="str">
        <f>IFERROR(VLOOKUP(G72, Sheet2!$A:$B, 2, FALSE), A72)</f>
        <v>DDAAPP LIMITED</v>
      </c>
      <c r="I72" s="6" t="s">
        <v>352</v>
      </c>
      <c r="J72" s="109"/>
      <c r="K72" s="79"/>
      <c r="L72" s="56"/>
      <c r="M72" s="3"/>
      <c r="N72" s="3"/>
      <c r="O72" s="90"/>
      <c r="P72" s="3"/>
      <c r="Q72" s="8">
        <v>44209</v>
      </c>
      <c r="R72" s="8"/>
      <c r="S72" s="8">
        <v>44300</v>
      </c>
      <c r="T72" s="5" t="s">
        <v>803</v>
      </c>
      <c r="U72" s="49" t="s">
        <v>827</v>
      </c>
      <c r="V72" s="52" t="s">
        <v>805</v>
      </c>
      <c r="W72" s="8"/>
      <c r="X72" s="49"/>
      <c r="Y72" s="95" t="s">
        <v>828</v>
      </c>
      <c r="Z72" s="70" t="s">
        <v>489</v>
      </c>
      <c r="AA72" s="49"/>
      <c r="AB72" s="3"/>
      <c r="AC72" s="3"/>
      <c r="AD72" s="3"/>
    </row>
    <row r="73" spans="1:30" ht="88">
      <c r="A73" s="5" t="s">
        <v>350</v>
      </c>
      <c r="B73" s="46"/>
      <c r="C73" s="3"/>
      <c r="D73" s="4" t="s">
        <v>358</v>
      </c>
      <c r="E73" s="6">
        <v>23038766</v>
      </c>
      <c r="F73" s="47"/>
      <c r="G73" s="5" t="s">
        <v>74</v>
      </c>
      <c r="H73" s="13" t="str">
        <f>IFERROR(VLOOKUP(G73, Sheet2!$A:$B, 2, FALSE), A73)</f>
        <v>WING FUNG CREDIT LIMITED</v>
      </c>
      <c r="I73" s="6" t="s">
        <v>352</v>
      </c>
      <c r="J73" s="109"/>
      <c r="K73" s="109" t="s">
        <v>829</v>
      </c>
      <c r="L73" s="99" t="s">
        <v>830</v>
      </c>
      <c r="M73" s="15" t="s">
        <v>831</v>
      </c>
      <c r="N73" s="15"/>
      <c r="O73" s="90"/>
      <c r="P73" s="15"/>
      <c r="Q73" s="8">
        <v>44216</v>
      </c>
      <c r="R73" s="8"/>
      <c r="S73" s="8">
        <v>44223</v>
      </c>
      <c r="T73" s="5" t="s">
        <v>832</v>
      </c>
      <c r="U73" s="49" t="s">
        <v>833</v>
      </c>
      <c r="V73" s="52" t="s">
        <v>834</v>
      </c>
      <c r="W73" s="8"/>
      <c r="X73" s="49"/>
      <c r="Y73" s="18" t="s">
        <v>835</v>
      </c>
      <c r="Z73" s="70" t="s">
        <v>425</v>
      </c>
      <c r="AA73" s="49"/>
      <c r="AB73" s="3"/>
      <c r="AC73" s="3"/>
      <c r="AD73" s="3"/>
    </row>
    <row r="74" spans="1:30" ht="145">
      <c r="A74" s="5" t="s">
        <v>350</v>
      </c>
      <c r="B74" s="46"/>
      <c r="C74" s="3"/>
      <c r="D74" s="5" t="s">
        <v>836</v>
      </c>
      <c r="E74" s="6">
        <v>31206263</v>
      </c>
      <c r="F74" s="57" t="s">
        <v>837</v>
      </c>
      <c r="G74" s="5" t="s">
        <v>76</v>
      </c>
      <c r="H74" s="13" t="str">
        <f>IFERROR(VLOOKUP(G74, Sheet2!$A:$B, 2, FALSE), A74)</f>
        <v>HONG KONG SECURITIES AND INV INSTITUTE</v>
      </c>
      <c r="I74" s="6" t="s">
        <v>352</v>
      </c>
      <c r="J74" s="109"/>
      <c r="K74" s="48" t="s">
        <v>838</v>
      </c>
      <c r="L74" s="120" t="s">
        <v>839</v>
      </c>
      <c r="M74" s="15" t="s">
        <v>840</v>
      </c>
      <c r="N74" s="15"/>
      <c r="O74" s="90" t="s">
        <v>841</v>
      </c>
      <c r="P74" s="15"/>
      <c r="Q74" s="8">
        <v>44226</v>
      </c>
      <c r="R74" s="8"/>
      <c r="S74" s="8">
        <v>44252</v>
      </c>
      <c r="T74" s="5" t="s">
        <v>842</v>
      </c>
      <c r="U74" s="49" t="s">
        <v>843</v>
      </c>
      <c r="V74" s="52" t="s">
        <v>844</v>
      </c>
      <c r="W74" s="8"/>
      <c r="X74" s="49"/>
      <c r="Y74" s="15" t="s">
        <v>845</v>
      </c>
      <c r="Z74" s="70" t="s">
        <v>425</v>
      </c>
      <c r="AA74" s="49"/>
      <c r="AB74" s="3"/>
      <c r="AC74" s="3"/>
      <c r="AD74" s="3"/>
    </row>
    <row r="75" spans="1:30" ht="102.5">
      <c r="A75" s="5" t="s">
        <v>350</v>
      </c>
      <c r="B75" s="46"/>
      <c r="C75" s="3"/>
      <c r="D75" s="5" t="s">
        <v>836</v>
      </c>
      <c r="E75" s="6">
        <v>31206263</v>
      </c>
      <c r="F75" s="57" t="s">
        <v>837</v>
      </c>
      <c r="G75" s="5" t="s">
        <v>76</v>
      </c>
      <c r="H75" s="13" t="str">
        <f>IFERROR(VLOOKUP(G75, Sheet2!$A:$B, 2, FALSE), A75)</f>
        <v>HONG KONG SECURITIES AND INV INSTITUTE</v>
      </c>
      <c r="I75" s="6" t="s">
        <v>352</v>
      </c>
      <c r="J75" s="109"/>
      <c r="K75" s="48" t="s">
        <v>846</v>
      </c>
      <c r="L75" s="120" t="s">
        <v>847</v>
      </c>
      <c r="M75" s="15" t="s">
        <v>848</v>
      </c>
      <c r="N75" s="15"/>
      <c r="O75" s="90" t="s">
        <v>841</v>
      </c>
      <c r="P75" s="15"/>
      <c r="Q75" s="8">
        <v>44226</v>
      </c>
      <c r="R75" s="8"/>
      <c r="S75" s="8">
        <v>44225</v>
      </c>
      <c r="T75" s="5" t="s">
        <v>849</v>
      </c>
      <c r="U75" s="49" t="s">
        <v>850</v>
      </c>
      <c r="V75" s="52" t="s">
        <v>851</v>
      </c>
      <c r="W75" s="8"/>
      <c r="X75" s="49"/>
      <c r="Y75" s="15" t="s">
        <v>852</v>
      </c>
      <c r="Z75" s="70" t="s">
        <v>425</v>
      </c>
      <c r="AA75" s="49"/>
      <c r="AB75" s="3"/>
      <c r="AC75" s="3"/>
      <c r="AD75" s="3"/>
    </row>
    <row r="76" spans="1:30" ht="102.5">
      <c r="A76" s="5" t="s">
        <v>350</v>
      </c>
      <c r="B76" s="46"/>
      <c r="C76" s="3"/>
      <c r="D76" s="5" t="s">
        <v>836</v>
      </c>
      <c r="E76" s="6">
        <v>31206263</v>
      </c>
      <c r="F76" s="47"/>
      <c r="G76" s="5" t="s">
        <v>76</v>
      </c>
      <c r="H76" s="13" t="str">
        <f>IFERROR(VLOOKUP(G76, Sheet2!$A:$B, 2, FALSE), A76)</f>
        <v>HONG KONG SECURITIES AND INV INSTITUTE</v>
      </c>
      <c r="I76" s="6" t="s">
        <v>352</v>
      </c>
      <c r="J76" s="109"/>
      <c r="K76" s="48" t="s">
        <v>853</v>
      </c>
      <c r="L76" s="120" t="s">
        <v>854</v>
      </c>
      <c r="M76" s="15" t="s">
        <v>855</v>
      </c>
      <c r="N76" s="15"/>
      <c r="O76" s="90"/>
      <c r="P76" s="15"/>
      <c r="Q76" s="8">
        <v>44226</v>
      </c>
      <c r="R76" s="8"/>
      <c r="S76" s="8">
        <v>44225</v>
      </c>
      <c r="T76" s="5" t="s">
        <v>856</v>
      </c>
      <c r="U76" s="49" t="s">
        <v>850</v>
      </c>
      <c r="V76" s="52" t="s">
        <v>857</v>
      </c>
      <c r="W76" s="8"/>
      <c r="X76" s="49"/>
      <c r="Y76" s="15" t="s">
        <v>852</v>
      </c>
      <c r="Z76" s="70" t="s">
        <v>425</v>
      </c>
      <c r="AA76" s="49"/>
      <c r="AB76" s="3"/>
      <c r="AC76" s="3"/>
      <c r="AD76" s="3"/>
    </row>
    <row r="77" spans="1:30" ht="87">
      <c r="A77" s="5" t="s">
        <v>350</v>
      </c>
      <c r="B77" s="46"/>
      <c r="C77" s="3"/>
      <c r="D77" s="4" t="s">
        <v>358</v>
      </c>
      <c r="E77" s="6">
        <v>23038766</v>
      </c>
      <c r="F77" s="57" t="s">
        <v>858</v>
      </c>
      <c r="G77" s="5" t="s">
        <v>78</v>
      </c>
      <c r="H77" s="13" t="str">
        <f>IFERROR(VLOOKUP(G77, Sheet2!$A:$B, 2, FALSE), A77)</f>
        <v>WING FUNG SECURITIES LIMITED</v>
      </c>
      <c r="I77" s="6" t="s">
        <v>352</v>
      </c>
      <c r="J77" s="109"/>
      <c r="K77" s="52" t="s">
        <v>859</v>
      </c>
      <c r="L77" s="120" t="s">
        <v>860</v>
      </c>
      <c r="M77" s="15" t="s">
        <v>861</v>
      </c>
      <c r="N77" s="15"/>
      <c r="O77" s="90" t="s">
        <v>862</v>
      </c>
      <c r="P77" s="15"/>
      <c r="Q77" s="8">
        <v>44236</v>
      </c>
      <c r="R77" s="8"/>
      <c r="S77" s="8">
        <v>44231</v>
      </c>
      <c r="T77" s="5" t="s">
        <v>863</v>
      </c>
      <c r="U77" s="49" t="s">
        <v>864</v>
      </c>
      <c r="V77" s="52" t="s">
        <v>865</v>
      </c>
      <c r="W77" s="8"/>
      <c r="X77" s="49"/>
      <c r="Y77" s="15" t="s">
        <v>866</v>
      </c>
      <c r="Z77" s="70" t="s">
        <v>425</v>
      </c>
      <c r="AA77" s="49"/>
      <c r="AB77" s="3"/>
      <c r="AC77" s="3"/>
      <c r="AD77" s="3"/>
    </row>
    <row r="78" spans="1:30" ht="72.5">
      <c r="A78" s="5" t="s">
        <v>350</v>
      </c>
      <c r="B78" s="46"/>
      <c r="C78" s="3"/>
      <c r="D78" s="5" t="s">
        <v>782</v>
      </c>
      <c r="E78" s="58" t="s">
        <v>783</v>
      </c>
      <c r="F78" s="57"/>
      <c r="G78" s="5" t="s">
        <v>71</v>
      </c>
      <c r="H78" s="13" t="str">
        <f>IFERROR(VLOOKUP(G78, Sheet2!$A:$B, 2, FALSE), A78)</f>
        <v>JARDINE MATHESON LIMITED</v>
      </c>
      <c r="I78" s="6" t="s">
        <v>393</v>
      </c>
      <c r="J78" s="109"/>
      <c r="K78" s="48"/>
      <c r="L78" s="120"/>
      <c r="M78" s="3"/>
      <c r="N78" s="3"/>
      <c r="O78" s="90"/>
      <c r="P78" s="3"/>
      <c r="Q78" s="8">
        <v>44222</v>
      </c>
      <c r="R78" s="8"/>
      <c r="S78" s="8">
        <v>44222</v>
      </c>
      <c r="T78" s="5" t="s">
        <v>785</v>
      </c>
      <c r="U78" s="49" t="s">
        <v>867</v>
      </c>
      <c r="V78" s="19" t="s">
        <v>868</v>
      </c>
      <c r="W78" s="8"/>
      <c r="X78" s="49"/>
      <c r="Y78" s="15" t="s">
        <v>869</v>
      </c>
      <c r="Z78" s="70" t="s">
        <v>489</v>
      </c>
      <c r="AA78" s="49"/>
      <c r="AB78" s="3"/>
      <c r="AC78" s="3"/>
      <c r="AD78" s="3"/>
    </row>
    <row r="79" spans="1:30" ht="102">
      <c r="A79" s="5" t="s">
        <v>350</v>
      </c>
      <c r="B79" s="46"/>
      <c r="C79" s="3"/>
      <c r="D79" s="5" t="s">
        <v>836</v>
      </c>
      <c r="E79" s="6">
        <v>31206263</v>
      </c>
      <c r="F79" s="57" t="s">
        <v>837</v>
      </c>
      <c r="G79" s="5" t="s">
        <v>76</v>
      </c>
      <c r="H79" s="13" t="str">
        <f>IFERROR(VLOOKUP(G79, Sheet2!$A:$B, 2, FALSE), A79)</f>
        <v>HONG KONG SECURITIES AND INV INSTITUTE</v>
      </c>
      <c r="I79" s="6" t="s">
        <v>352</v>
      </c>
      <c r="J79" s="109"/>
      <c r="K79" s="48" t="s">
        <v>870</v>
      </c>
      <c r="L79" s="120" t="s">
        <v>871</v>
      </c>
      <c r="M79" s="15" t="s">
        <v>872</v>
      </c>
      <c r="N79" s="15"/>
      <c r="O79" s="90" t="s">
        <v>841</v>
      </c>
      <c r="P79" s="15"/>
      <c r="Q79" s="8">
        <v>44252</v>
      </c>
      <c r="R79" s="8"/>
      <c r="S79" s="8">
        <v>44251</v>
      </c>
      <c r="T79" s="5" t="s">
        <v>873</v>
      </c>
      <c r="U79" s="49" t="s">
        <v>874</v>
      </c>
      <c r="V79" s="52" t="s">
        <v>875</v>
      </c>
      <c r="W79" s="8"/>
      <c r="X79" s="49"/>
      <c r="Y79" s="15" t="s">
        <v>876</v>
      </c>
      <c r="Z79" s="70" t="s">
        <v>425</v>
      </c>
      <c r="AA79" s="49"/>
      <c r="AB79" s="3"/>
      <c r="AC79" s="3"/>
      <c r="AD79" s="3"/>
    </row>
    <row r="80" spans="1:30" ht="102">
      <c r="A80" s="5" t="s">
        <v>350</v>
      </c>
      <c r="B80" s="46"/>
      <c r="C80" s="3"/>
      <c r="D80" s="5" t="s">
        <v>836</v>
      </c>
      <c r="E80" s="6">
        <v>31206263</v>
      </c>
      <c r="F80" s="57" t="s">
        <v>837</v>
      </c>
      <c r="G80" s="5" t="s">
        <v>76</v>
      </c>
      <c r="H80" s="13" t="str">
        <f>IFERROR(VLOOKUP(G80, Sheet2!$A:$B, 2, FALSE), A80)</f>
        <v>HONG KONG SECURITIES AND INV INSTITUTE</v>
      </c>
      <c r="I80" s="6" t="s">
        <v>352</v>
      </c>
      <c r="J80" s="109"/>
      <c r="K80" s="48" t="s">
        <v>877</v>
      </c>
      <c r="L80" s="120" t="s">
        <v>878</v>
      </c>
      <c r="M80" s="15" t="s">
        <v>879</v>
      </c>
      <c r="N80" s="15"/>
      <c r="O80" s="90" t="s">
        <v>841</v>
      </c>
      <c r="P80" s="15"/>
      <c r="Q80" s="8">
        <v>44252</v>
      </c>
      <c r="R80" s="8"/>
      <c r="S80" s="8">
        <v>44252</v>
      </c>
      <c r="T80" s="5" t="s">
        <v>880</v>
      </c>
      <c r="U80" s="49" t="s">
        <v>881</v>
      </c>
      <c r="V80" s="52" t="s">
        <v>882</v>
      </c>
      <c r="W80" s="8"/>
      <c r="X80" s="49"/>
      <c r="Y80" s="15" t="s">
        <v>876</v>
      </c>
      <c r="Z80" s="70" t="s">
        <v>425</v>
      </c>
      <c r="AA80" s="49"/>
      <c r="AB80" s="3"/>
      <c r="AC80" s="3"/>
      <c r="AD80" s="3"/>
    </row>
    <row r="81" spans="1:30" ht="58">
      <c r="A81" s="4" t="s">
        <v>883</v>
      </c>
      <c r="B81" s="46"/>
      <c r="C81" s="3"/>
      <c r="D81" s="5" t="s">
        <v>782</v>
      </c>
      <c r="E81" s="58" t="s">
        <v>783</v>
      </c>
      <c r="F81" s="57"/>
      <c r="G81" s="4" t="s">
        <v>71</v>
      </c>
      <c r="H81" s="13" t="str">
        <f>IFERROR(VLOOKUP(G81, Sheet2!$A:$B, 2, FALSE), A81)</f>
        <v>JARDINE MATHESON LIMITED</v>
      </c>
      <c r="I81" s="6" t="s">
        <v>393</v>
      </c>
      <c r="J81" s="109"/>
      <c r="K81" s="48"/>
      <c r="L81" s="120"/>
      <c r="M81" s="3"/>
      <c r="N81" s="3"/>
      <c r="O81" s="90"/>
      <c r="P81" s="3"/>
      <c r="Q81" s="8">
        <v>44237</v>
      </c>
      <c r="R81" s="8"/>
      <c r="S81" s="8"/>
      <c r="T81" s="4" t="s">
        <v>785</v>
      </c>
      <c r="U81" s="4" t="s">
        <v>884</v>
      </c>
      <c r="V81" s="52" t="s">
        <v>787</v>
      </c>
      <c r="W81" s="8"/>
      <c r="X81" s="4"/>
      <c r="Y81" s="15" t="s">
        <v>885</v>
      </c>
      <c r="Z81" s="70" t="s">
        <v>886</v>
      </c>
      <c r="AA81" s="49" t="s">
        <v>425</v>
      </c>
      <c r="AB81" s="3"/>
      <c r="AC81" s="3"/>
      <c r="AD81" s="3"/>
    </row>
    <row r="82" spans="1:30" ht="44">
      <c r="A82" s="127" t="s">
        <v>350</v>
      </c>
      <c r="B82" s="46"/>
      <c r="C82" s="3"/>
      <c r="D82" s="4" t="s">
        <v>887</v>
      </c>
      <c r="E82" s="58" t="s">
        <v>888</v>
      </c>
      <c r="F82" s="57"/>
      <c r="G82" s="5" t="s">
        <v>80</v>
      </c>
      <c r="H82" s="13" t="str">
        <f>IFERROR(VLOOKUP(G82, Sheet2!$A:$B, 2, FALSE), A82)</f>
        <v>GRAND STRONG HOLDINGS LIMITED</v>
      </c>
      <c r="I82" s="6" t="s">
        <v>393</v>
      </c>
      <c r="J82" s="109"/>
      <c r="K82" s="79"/>
      <c r="L82" s="120"/>
      <c r="M82" s="3"/>
      <c r="N82" s="3"/>
      <c r="O82" s="9"/>
      <c r="P82" s="3"/>
      <c r="Q82" s="8">
        <v>44043</v>
      </c>
      <c r="R82" s="8"/>
      <c r="S82" s="8"/>
      <c r="T82" s="128" t="s">
        <v>889</v>
      </c>
      <c r="U82" s="4" t="s">
        <v>890</v>
      </c>
      <c r="V82" s="19"/>
      <c r="W82" s="8"/>
      <c r="X82" s="4"/>
      <c r="Y82" s="95" t="s">
        <v>891</v>
      </c>
      <c r="Z82" s="70" t="s">
        <v>425</v>
      </c>
      <c r="AA82" s="4"/>
      <c r="AB82" s="3"/>
      <c r="AC82" s="3"/>
      <c r="AD82" s="3"/>
    </row>
    <row r="83" spans="1:30" ht="15">
      <c r="A83" s="64" t="s">
        <v>350</v>
      </c>
      <c r="B83" s="46"/>
      <c r="C83" s="3"/>
      <c r="D83" s="6" t="s">
        <v>892</v>
      </c>
      <c r="E83" s="6" t="s">
        <v>893</v>
      </c>
      <c r="F83" s="47"/>
      <c r="G83" s="6" t="s">
        <v>82</v>
      </c>
      <c r="H83" s="13" t="str">
        <f>IFERROR(VLOOKUP(G83, Sheet2!$A:$B, 2, FALSE), A83)</f>
        <v>GAW CAPITAL ADVISORS LIMITED</v>
      </c>
      <c r="I83" s="6" t="s">
        <v>393</v>
      </c>
      <c r="J83" s="109"/>
      <c r="K83" s="61"/>
      <c r="L83" s="120"/>
      <c r="M83" s="64" t="s">
        <v>894</v>
      </c>
      <c r="N83" s="64"/>
      <c r="O83" s="106"/>
      <c r="P83" s="64"/>
      <c r="Q83" s="64">
        <v>43842</v>
      </c>
      <c r="R83" s="8"/>
      <c r="S83" s="64">
        <v>44208</v>
      </c>
      <c r="T83" s="6" t="s">
        <v>895</v>
      </c>
      <c r="U83" s="6" t="s">
        <v>896</v>
      </c>
      <c r="V83" s="19">
        <v>102540</v>
      </c>
      <c r="W83" s="64"/>
      <c r="X83" s="6"/>
      <c r="Y83" s="17" t="s">
        <v>897</v>
      </c>
      <c r="Z83" s="65" t="s">
        <v>425</v>
      </c>
      <c r="AA83" s="6"/>
      <c r="AB83" s="54"/>
      <c r="AC83" s="54"/>
      <c r="AD83" s="108"/>
    </row>
    <row r="84" spans="1:30" ht="101.5">
      <c r="A84" s="14" t="s">
        <v>350</v>
      </c>
      <c r="B84" s="46"/>
      <c r="C84" s="3"/>
      <c r="D84" s="14" t="s">
        <v>898</v>
      </c>
      <c r="E84" s="59" t="s">
        <v>899</v>
      </c>
      <c r="F84" s="60"/>
      <c r="G84" s="14" t="s">
        <v>41</v>
      </c>
      <c r="H84" s="13" t="str">
        <f>IFERROR(VLOOKUP(G84, Sheet2!$A:$B, 2, FALSE), A84)</f>
        <v>CITYLINE (HONG KONG) LIMITED</v>
      </c>
      <c r="I84" s="6" t="s">
        <v>352</v>
      </c>
      <c r="J84" s="109"/>
      <c r="K84" s="129"/>
      <c r="L84" s="120"/>
      <c r="M84" s="18" t="s">
        <v>900</v>
      </c>
      <c r="N84" s="18"/>
      <c r="O84" s="17" t="s">
        <v>601</v>
      </c>
      <c r="P84" s="18"/>
      <c r="Q84" s="64">
        <v>44274</v>
      </c>
      <c r="R84" s="8"/>
      <c r="S84" s="64">
        <v>44273</v>
      </c>
      <c r="T84" s="14" t="s">
        <v>901</v>
      </c>
      <c r="U84" s="130">
        <v>860519</v>
      </c>
      <c r="V84" s="119" t="s">
        <v>902</v>
      </c>
      <c r="W84" s="64"/>
      <c r="X84" s="130"/>
      <c r="Y84" s="131" t="s">
        <v>903</v>
      </c>
      <c r="Z84" s="132" t="s">
        <v>365</v>
      </c>
      <c r="AA84" s="64"/>
      <c r="AB84" s="3"/>
      <c r="AC84" s="3"/>
      <c r="AD84" s="3"/>
    </row>
    <row r="85" spans="1:30" ht="72.5">
      <c r="A85" s="5" t="s">
        <v>515</v>
      </c>
      <c r="B85" s="46"/>
      <c r="C85" s="3"/>
      <c r="D85" s="4" t="s">
        <v>390</v>
      </c>
      <c r="E85" s="58" t="s">
        <v>391</v>
      </c>
      <c r="F85" s="57"/>
      <c r="G85" s="4" t="s">
        <v>8</v>
      </c>
      <c r="H85" s="13" t="str">
        <f>IFERROR(VLOOKUP(G85, Sheet2!$A:$B, 2, FALSE), A85)</f>
        <v>UMADX ONLINE (MALAYSIA) SDN. BHD</v>
      </c>
      <c r="I85" s="6" t="s">
        <v>393</v>
      </c>
      <c r="J85" s="109"/>
      <c r="K85" s="48"/>
      <c r="L85" s="120"/>
      <c r="M85" s="5" t="s">
        <v>904</v>
      </c>
      <c r="N85" s="5"/>
      <c r="O85" s="9"/>
      <c r="P85" s="5"/>
      <c r="Q85" s="8">
        <v>44300</v>
      </c>
      <c r="R85" s="8"/>
      <c r="S85" s="8">
        <v>44417</v>
      </c>
      <c r="T85" s="69" t="s">
        <v>905</v>
      </c>
      <c r="U85" s="8" t="s">
        <v>906</v>
      </c>
      <c r="V85" s="52" t="s">
        <v>907</v>
      </c>
      <c r="W85" s="8"/>
      <c r="X85" s="8"/>
      <c r="Y85" s="15" t="s">
        <v>908</v>
      </c>
      <c r="Z85" s="70" t="s">
        <v>489</v>
      </c>
      <c r="AA85" s="4"/>
      <c r="AB85" s="3"/>
      <c r="AC85" s="3"/>
      <c r="AD85" s="3"/>
    </row>
    <row r="86" spans="1:30" ht="29">
      <c r="A86" s="5" t="s">
        <v>350</v>
      </c>
      <c r="B86" s="46"/>
      <c r="C86" s="3"/>
      <c r="D86" s="5" t="s">
        <v>909</v>
      </c>
      <c r="E86" s="58" t="s">
        <v>910</v>
      </c>
      <c r="F86" s="57"/>
      <c r="G86" s="5" t="s">
        <v>83</v>
      </c>
      <c r="H86" s="13" t="str">
        <f>IFERROR(VLOOKUP(G86, Sheet2!$A:$B, 2, FALSE), A86)</f>
        <v>CCC C262 PCCW Solutions Ltd C/O Hospital Authority</v>
      </c>
      <c r="I86" s="6" t="s">
        <v>393</v>
      </c>
      <c r="J86" s="109"/>
      <c r="K86" s="48"/>
      <c r="L86" s="120"/>
      <c r="M86" s="5" t="s">
        <v>911</v>
      </c>
      <c r="N86" s="5"/>
      <c r="O86" s="90"/>
      <c r="P86" s="5"/>
      <c r="Q86" s="8">
        <v>44302</v>
      </c>
      <c r="R86" s="8"/>
      <c r="S86" s="8">
        <v>44298</v>
      </c>
      <c r="T86" s="3" t="s">
        <v>912</v>
      </c>
      <c r="U86" s="5" t="s">
        <v>913</v>
      </c>
      <c r="V86" s="52" t="s">
        <v>914</v>
      </c>
      <c r="W86" s="8"/>
      <c r="X86" s="5"/>
      <c r="Y86" s="15" t="s">
        <v>915</v>
      </c>
      <c r="Z86" s="70" t="s">
        <v>425</v>
      </c>
      <c r="AA86" s="49"/>
      <c r="AB86" s="3"/>
      <c r="AC86" s="3"/>
      <c r="AD86" s="3"/>
    </row>
    <row r="87" spans="1:30" ht="145.5">
      <c r="A87" s="5" t="s">
        <v>350</v>
      </c>
      <c r="B87" s="46"/>
      <c r="C87" s="3"/>
      <c r="D87" s="4" t="s">
        <v>916</v>
      </c>
      <c r="E87" s="58" t="s">
        <v>917</v>
      </c>
      <c r="F87" s="57" t="s">
        <v>918</v>
      </c>
      <c r="G87" s="4" t="s">
        <v>85</v>
      </c>
      <c r="H87" s="13" t="str">
        <f>IFERROR(VLOOKUP(G87, Sheet2!$A:$B, 2, FALSE), A87)</f>
        <v>Luk Fook Holdings Co Ltd</v>
      </c>
      <c r="I87" s="6" t="s">
        <v>359</v>
      </c>
      <c r="J87" s="109"/>
      <c r="K87" s="48"/>
      <c r="L87" s="120"/>
      <c r="M87" s="15" t="s">
        <v>919</v>
      </c>
      <c r="N87" s="15"/>
      <c r="O87" s="90" t="s">
        <v>920</v>
      </c>
      <c r="P87" s="15"/>
      <c r="Q87" s="8">
        <v>44302</v>
      </c>
      <c r="R87" s="8"/>
      <c r="S87" s="8">
        <v>44301</v>
      </c>
      <c r="T87" s="69" t="s">
        <v>921</v>
      </c>
      <c r="U87" s="69" t="s">
        <v>922</v>
      </c>
      <c r="V87" s="119">
        <v>102576</v>
      </c>
      <c r="W87" s="8"/>
      <c r="X87" s="69"/>
      <c r="Y87" s="9" t="s">
        <v>923</v>
      </c>
      <c r="Z87" s="70" t="s">
        <v>425</v>
      </c>
      <c r="AA87" s="49"/>
      <c r="AB87" s="8"/>
      <c r="AC87" s="8"/>
      <c r="AD87" s="133"/>
    </row>
    <row r="88" spans="1:30" ht="103.5">
      <c r="A88" s="8" t="s">
        <v>924</v>
      </c>
      <c r="B88" s="92"/>
      <c r="C88" s="85"/>
      <c r="D88" s="8" t="s">
        <v>925</v>
      </c>
      <c r="E88" s="93" t="s">
        <v>917</v>
      </c>
      <c r="F88" s="94"/>
      <c r="G88" s="8" t="s">
        <v>85</v>
      </c>
      <c r="H88" s="13" t="str">
        <f>IFERROR(VLOOKUP(G88, Sheet2!$A:$B, 2, FALSE), A88)</f>
        <v>Luk Fook Holdings Co Ltd</v>
      </c>
      <c r="I88" s="93" t="s">
        <v>359</v>
      </c>
      <c r="J88" s="134"/>
      <c r="K88" s="79"/>
      <c r="L88" s="135"/>
      <c r="M88" s="95"/>
      <c r="N88" s="95"/>
      <c r="O88" s="136"/>
      <c r="P88" s="95"/>
      <c r="Q88" s="8">
        <v>44302</v>
      </c>
      <c r="R88" s="69"/>
      <c r="S88" s="8" t="s">
        <v>926</v>
      </c>
      <c r="T88" s="12" t="s">
        <v>730</v>
      </c>
      <c r="U88" s="12" t="s">
        <v>730</v>
      </c>
      <c r="V88" s="137" t="s">
        <v>730</v>
      </c>
      <c r="W88" s="8"/>
      <c r="X88" s="12"/>
      <c r="Y88" s="56" t="s">
        <v>927</v>
      </c>
      <c r="Z88" s="98" t="s">
        <v>489</v>
      </c>
      <c r="AA88" s="138"/>
      <c r="AB88" s="85"/>
      <c r="AC88" s="85"/>
      <c r="AD88" s="85"/>
    </row>
    <row r="89" spans="1:30" ht="116.5">
      <c r="A89" s="5" t="s">
        <v>350</v>
      </c>
      <c r="B89" s="46"/>
      <c r="C89" s="3"/>
      <c r="D89" s="5" t="s">
        <v>800</v>
      </c>
      <c r="E89" s="6">
        <v>96742005</v>
      </c>
      <c r="F89" s="47"/>
      <c r="G89" s="5" t="s">
        <v>73</v>
      </c>
      <c r="H89" s="13" t="str">
        <f>IFERROR(VLOOKUP(G89, Sheet2!$A:$B, 2, FALSE), A89)</f>
        <v>DDAAPP LIMITED</v>
      </c>
      <c r="I89" s="6" t="s">
        <v>352</v>
      </c>
      <c r="J89" s="109"/>
      <c r="K89" s="139"/>
      <c r="L89" s="120"/>
      <c r="M89" s="3"/>
      <c r="N89" s="3"/>
      <c r="O89" s="90"/>
      <c r="P89" s="3"/>
      <c r="Q89" s="8">
        <v>44319</v>
      </c>
      <c r="R89" s="8"/>
      <c r="S89" s="8">
        <v>44300</v>
      </c>
      <c r="T89" s="5" t="s">
        <v>803</v>
      </c>
      <c r="U89" s="49" t="s">
        <v>928</v>
      </c>
      <c r="V89" s="52" t="s">
        <v>805</v>
      </c>
      <c r="W89" s="8"/>
      <c r="X89" s="49"/>
      <c r="Y89" s="140" t="s">
        <v>929</v>
      </c>
      <c r="Z89" s="70" t="s">
        <v>489</v>
      </c>
      <c r="AA89" s="49"/>
      <c r="AB89" s="3"/>
      <c r="AC89" s="3"/>
      <c r="AD89" s="3"/>
    </row>
    <row r="90" spans="1:30" ht="43.5">
      <c r="A90" s="4" t="s">
        <v>350</v>
      </c>
      <c r="B90" s="46"/>
      <c r="C90" s="3"/>
      <c r="D90" s="11" t="s">
        <v>930</v>
      </c>
      <c r="E90" s="106" t="s">
        <v>930</v>
      </c>
      <c r="F90" s="107"/>
      <c r="G90" s="3" t="s">
        <v>86</v>
      </c>
      <c r="H90" s="13" t="str">
        <f>IFERROR(VLOOKUP(G90, Sheet2!$A:$B, 2, FALSE), A90)</f>
        <v>HKT ( Internal use )</v>
      </c>
      <c r="I90" s="6" t="s">
        <v>359</v>
      </c>
      <c r="J90" s="109"/>
      <c r="K90" s="48"/>
      <c r="L90" s="120"/>
      <c r="M90" s="11" t="s">
        <v>931</v>
      </c>
      <c r="N90" s="11"/>
      <c r="O90" s="7"/>
      <c r="P90" s="11"/>
      <c r="Q90" s="8" t="s">
        <v>930</v>
      </c>
      <c r="R90" s="8"/>
      <c r="S90" s="8">
        <v>44349</v>
      </c>
      <c r="T90" s="12" t="s">
        <v>100</v>
      </c>
      <c r="U90" s="3" t="s">
        <v>930</v>
      </c>
      <c r="V90" s="19" t="s">
        <v>930</v>
      </c>
      <c r="W90" s="8"/>
      <c r="X90" s="3"/>
      <c r="Y90" s="15" t="s">
        <v>932</v>
      </c>
      <c r="Z90" s="53"/>
      <c r="AA90" s="8"/>
      <c r="AB90" s="3"/>
      <c r="AC90" s="3"/>
      <c r="AD90" s="3"/>
    </row>
    <row r="91" spans="1:30" ht="43.5">
      <c r="A91" s="4" t="s">
        <v>350</v>
      </c>
      <c r="B91" s="46" t="s">
        <v>933</v>
      </c>
      <c r="C91" s="3"/>
      <c r="D91" s="141" t="s">
        <v>934</v>
      </c>
      <c r="E91" s="141">
        <v>27860240</v>
      </c>
      <c r="F91" s="110" t="s">
        <v>935</v>
      </c>
      <c r="G91" s="3" t="s">
        <v>88</v>
      </c>
      <c r="H91" s="13" t="str">
        <f>IFERROR(VLOOKUP(G91, Sheet2!$A:$B, 2, FALSE), A91)</f>
        <v>Bowker Asia Ltd (Win-Hanverky)</v>
      </c>
      <c r="I91" s="6" t="s">
        <v>359</v>
      </c>
      <c r="J91" s="109"/>
      <c r="K91" s="79" t="s">
        <v>936</v>
      </c>
      <c r="L91" s="120"/>
      <c r="M91" s="15" t="s">
        <v>937</v>
      </c>
      <c r="N91" s="11"/>
      <c r="O91" s="142" t="s">
        <v>938</v>
      </c>
      <c r="P91" s="11"/>
      <c r="Q91" s="8">
        <v>45614</v>
      </c>
      <c r="R91" s="4">
        <v>45615</v>
      </c>
      <c r="S91" s="4">
        <v>45614</v>
      </c>
      <c r="T91" t="s">
        <v>939</v>
      </c>
      <c r="U91" s="141" t="s">
        <v>940</v>
      </c>
      <c r="V91" s="141">
        <v>104056</v>
      </c>
      <c r="W91" s="8" t="s">
        <v>941</v>
      </c>
      <c r="X91" t="s">
        <v>942</v>
      </c>
      <c r="Y91" s="9" t="s">
        <v>943</v>
      </c>
      <c r="Z91" t="s">
        <v>365</v>
      </c>
      <c r="AA91" s="4" t="s">
        <v>365</v>
      </c>
      <c r="AB91" s="5" t="s">
        <v>944</v>
      </c>
      <c r="AC91" s="3" t="s">
        <v>945</v>
      </c>
      <c r="AD91" s="76" t="s">
        <v>946</v>
      </c>
    </row>
    <row r="92" spans="1:30" ht="140">
      <c r="A92" s="3" t="s">
        <v>350</v>
      </c>
      <c r="B92" s="46"/>
      <c r="C92" s="3"/>
      <c r="D92" s="15" t="s">
        <v>947</v>
      </c>
      <c r="E92" s="67" t="s">
        <v>948</v>
      </c>
      <c r="F92" s="143" t="s">
        <v>949</v>
      </c>
      <c r="G92" s="3" t="s">
        <v>90</v>
      </c>
      <c r="H92" s="13" t="str">
        <f>IFERROR(VLOOKUP(G92, Sheet2!$A:$B, 2, FALSE), A92)</f>
        <v>HKTCSL 5G AR SERVICE</v>
      </c>
      <c r="I92" s="6" t="s">
        <v>352</v>
      </c>
      <c r="J92" s="109"/>
      <c r="K92" s="79" t="s">
        <v>950</v>
      </c>
      <c r="L92" s="120" t="s">
        <v>951</v>
      </c>
      <c r="M92" s="11" t="s">
        <v>952</v>
      </c>
      <c r="N92" s="11"/>
      <c r="O92" s="7"/>
      <c r="P92" s="11"/>
      <c r="Q92" s="8" t="s">
        <v>930</v>
      </c>
      <c r="R92" s="8"/>
      <c r="S92" s="8">
        <v>44334</v>
      </c>
      <c r="T92" s="3" t="s">
        <v>100</v>
      </c>
      <c r="U92" s="3" t="s">
        <v>930</v>
      </c>
      <c r="V92" s="19" t="s">
        <v>930</v>
      </c>
      <c r="W92" s="8"/>
      <c r="X92" s="3"/>
      <c r="Y92" s="144" t="s">
        <v>953</v>
      </c>
      <c r="Z92" s="53" t="s">
        <v>425</v>
      </c>
      <c r="AA92" s="8"/>
      <c r="AB92" s="3"/>
      <c r="AC92" s="3"/>
      <c r="AD92" s="3"/>
    </row>
    <row r="93" spans="1:30" ht="44">
      <c r="A93" s="5" t="s">
        <v>350</v>
      </c>
      <c r="B93" s="46"/>
      <c r="C93" s="3"/>
      <c r="D93" s="5" t="s">
        <v>606</v>
      </c>
      <c r="E93" s="58" t="s">
        <v>607</v>
      </c>
      <c r="F93" s="57"/>
      <c r="G93" s="5" t="s">
        <v>954</v>
      </c>
      <c r="H93" s="13" t="str">
        <f>IFERROR(VLOOKUP(G93, Sheet2!$A:$B, 2, FALSE), A93)</f>
        <v>CHOW TAI FOOK JEWELLERY CO LTD</v>
      </c>
      <c r="I93" s="6" t="s">
        <v>352</v>
      </c>
      <c r="J93" s="109" t="s">
        <v>609</v>
      </c>
      <c r="K93" s="109"/>
      <c r="L93" s="120"/>
      <c r="M93" s="3" t="s">
        <v>955</v>
      </c>
      <c r="N93" s="3"/>
      <c r="O93" s="7"/>
      <c r="P93" s="3"/>
      <c r="Q93" s="8">
        <v>44327</v>
      </c>
      <c r="R93" s="8"/>
      <c r="S93" s="8">
        <v>44327</v>
      </c>
      <c r="T93" s="3" t="s">
        <v>956</v>
      </c>
      <c r="U93" s="49" t="s">
        <v>957</v>
      </c>
      <c r="V93" s="19" t="s">
        <v>958</v>
      </c>
      <c r="W93" s="8"/>
      <c r="X93" s="49"/>
      <c r="Y93" s="86" t="s">
        <v>959</v>
      </c>
      <c r="Z93" s="53" t="s">
        <v>425</v>
      </c>
      <c r="AA93" s="8" t="s">
        <v>781</v>
      </c>
      <c r="AB93" s="3"/>
      <c r="AC93" s="3"/>
      <c r="AD93" s="3"/>
    </row>
    <row r="94" spans="1:30" ht="88">
      <c r="A94" s="3" t="s">
        <v>350</v>
      </c>
      <c r="B94" s="46"/>
      <c r="C94" s="3"/>
      <c r="D94" s="8" t="s">
        <v>960</v>
      </c>
      <c r="E94" s="6" t="s">
        <v>961</v>
      </c>
      <c r="F94" s="82" t="s">
        <v>962</v>
      </c>
      <c r="G94" s="3" t="s">
        <v>92</v>
      </c>
      <c r="H94" s="13" t="str">
        <f>IFERROR(VLOOKUP(G94, Sheet2!$A:$B, 2, FALSE), A94)</f>
        <v>TAIPING SECURITIES (HK) CO LIMITED</v>
      </c>
      <c r="I94" s="6" t="s">
        <v>359</v>
      </c>
      <c r="J94" s="109"/>
      <c r="K94" s="48"/>
      <c r="L94" s="120"/>
      <c r="M94" s="11" t="s">
        <v>963</v>
      </c>
      <c r="N94" s="11"/>
      <c r="O94" s="7"/>
      <c r="P94" s="11"/>
      <c r="Q94" s="8">
        <v>44348</v>
      </c>
      <c r="R94" s="8"/>
      <c r="S94" s="8">
        <v>44349</v>
      </c>
      <c r="T94" s="8" t="s">
        <v>964</v>
      </c>
      <c r="U94" s="8" t="s">
        <v>965</v>
      </c>
      <c r="V94" s="19" t="s">
        <v>966</v>
      </c>
      <c r="W94" s="8"/>
      <c r="X94" s="8"/>
      <c r="Y94" s="15" t="s">
        <v>967</v>
      </c>
      <c r="Z94" s="53" t="s">
        <v>425</v>
      </c>
      <c r="AA94" s="8"/>
      <c r="AB94" s="3"/>
      <c r="AC94" s="3"/>
      <c r="AD94" s="3"/>
    </row>
    <row r="95" spans="1:30" ht="122">
      <c r="A95" s="3" t="s">
        <v>350</v>
      </c>
      <c r="B95" s="46"/>
      <c r="C95" s="3"/>
      <c r="D95" s="3" t="s">
        <v>968</v>
      </c>
      <c r="E95" s="6" t="s">
        <v>969</v>
      </c>
      <c r="F95" s="47"/>
      <c r="G95" s="11" t="s">
        <v>94</v>
      </c>
      <c r="H95" s="13" t="str">
        <f>IFERROR(VLOOKUP(G95, Sheet2!$A:$B, 2, FALSE), A95)</f>
        <v>HKT TELESERVICE INTERNATIONAL LTD (PROD)</v>
      </c>
      <c r="I95" s="6" t="s">
        <v>352</v>
      </c>
      <c r="J95" s="109"/>
      <c r="K95" s="145" t="s">
        <v>970</v>
      </c>
      <c r="L95" s="99" t="s">
        <v>971</v>
      </c>
      <c r="M95" s="11" t="s">
        <v>972</v>
      </c>
      <c r="N95" s="11"/>
      <c r="O95" s="9" t="s">
        <v>973</v>
      </c>
      <c r="P95" s="11"/>
      <c r="Q95" s="8" t="s">
        <v>930</v>
      </c>
      <c r="R95" s="8"/>
      <c r="S95" s="8">
        <v>44337</v>
      </c>
      <c r="T95" s="3" t="s">
        <v>930</v>
      </c>
      <c r="U95" s="3" t="s">
        <v>930</v>
      </c>
      <c r="V95" s="19" t="s">
        <v>930</v>
      </c>
      <c r="W95" s="8"/>
      <c r="X95" s="3"/>
      <c r="Y95" s="86" t="s">
        <v>974</v>
      </c>
      <c r="Z95" s="53" t="s">
        <v>425</v>
      </c>
      <c r="AA95" s="8"/>
      <c r="AB95" s="3"/>
      <c r="AC95" s="3"/>
      <c r="AD95" s="3"/>
    </row>
    <row r="96" spans="1:30" ht="116">
      <c r="A96" s="3" t="s">
        <v>350</v>
      </c>
      <c r="B96" s="46"/>
      <c r="C96" s="3"/>
      <c r="D96" s="8" t="s">
        <v>975</v>
      </c>
      <c r="E96" s="6" t="s">
        <v>976</v>
      </c>
      <c r="F96" s="47"/>
      <c r="G96" s="11" t="s">
        <v>96</v>
      </c>
      <c r="H96" s="13" t="str">
        <f>IFERROR(VLOOKUP(G96, Sheet2!$A:$B, 2, FALSE), A96)</f>
        <v>HKT TELESERVICE INTERNATIONAL LTD (DEV)</v>
      </c>
      <c r="I96" s="6" t="s">
        <v>352</v>
      </c>
      <c r="J96" s="109"/>
      <c r="K96" s="71" t="s">
        <v>977</v>
      </c>
      <c r="L96" s="99" t="s">
        <v>978</v>
      </c>
      <c r="M96" s="11" t="s">
        <v>979</v>
      </c>
      <c r="N96" s="11"/>
      <c r="O96" s="9" t="s">
        <v>973</v>
      </c>
      <c r="P96" s="11"/>
      <c r="Q96" s="8" t="s">
        <v>930</v>
      </c>
      <c r="R96" s="8"/>
      <c r="S96" s="8">
        <v>44401</v>
      </c>
      <c r="T96" s="8" t="s">
        <v>930</v>
      </c>
      <c r="U96" s="8" t="s">
        <v>930</v>
      </c>
      <c r="V96" s="19" t="s">
        <v>930</v>
      </c>
      <c r="W96" s="8"/>
      <c r="X96" s="8"/>
      <c r="Y96" s="10" t="s">
        <v>980</v>
      </c>
      <c r="Z96" s="53" t="s">
        <v>425</v>
      </c>
      <c r="AA96" s="8"/>
      <c r="AB96" s="3"/>
      <c r="AC96" s="3"/>
      <c r="AD96" s="3"/>
    </row>
    <row r="97" spans="1:30" ht="151.5">
      <c r="A97" s="3" t="s">
        <v>515</v>
      </c>
      <c r="B97" s="46"/>
      <c r="C97" s="3"/>
      <c r="D97" s="8" t="s">
        <v>981</v>
      </c>
      <c r="E97" s="106" t="s">
        <v>982</v>
      </c>
      <c r="F97" s="68" t="s">
        <v>983</v>
      </c>
      <c r="G97" s="8" t="s">
        <v>98</v>
      </c>
      <c r="H97" s="13" t="str">
        <f>IFERROR(VLOOKUP(G97, Sheet2!$A:$B, 2, FALSE), A97)</f>
        <v>TECKLE SOLUTIONS LIMITED</v>
      </c>
      <c r="I97" s="6" t="s">
        <v>359</v>
      </c>
      <c r="J97" s="109"/>
      <c r="K97" s="79"/>
      <c r="L97" s="120"/>
      <c r="M97" s="11" t="s">
        <v>984</v>
      </c>
      <c r="N97" s="11"/>
      <c r="O97" s="7"/>
      <c r="P97" s="11"/>
      <c r="Q97" s="8">
        <v>44340</v>
      </c>
      <c r="R97" s="8"/>
      <c r="S97" s="8"/>
      <c r="T97" s="69" t="s">
        <v>985</v>
      </c>
      <c r="U97" s="8" t="s">
        <v>986</v>
      </c>
      <c r="V97" s="19" t="s">
        <v>987</v>
      </c>
      <c r="W97" s="8"/>
      <c r="X97" s="8"/>
      <c r="Y97" s="95" t="s">
        <v>988</v>
      </c>
      <c r="Z97" s="53" t="s">
        <v>425</v>
      </c>
      <c r="AA97" s="8"/>
      <c r="AB97" s="3"/>
      <c r="AC97" s="3"/>
      <c r="AD97" s="3"/>
    </row>
    <row r="98" spans="1:30" ht="159.5">
      <c r="A98" s="3" t="s">
        <v>350</v>
      </c>
      <c r="B98" s="46"/>
      <c r="C98" s="3"/>
      <c r="D98" s="5" t="s">
        <v>989</v>
      </c>
      <c r="E98" s="58" t="s">
        <v>990</v>
      </c>
      <c r="F98" s="57" t="s">
        <v>991</v>
      </c>
      <c r="G98" s="5" t="s">
        <v>43</v>
      </c>
      <c r="H98" s="13" t="str">
        <f>IFERROR(VLOOKUP(G98, Sheet2!$A:$B, 2, FALSE), A98)</f>
        <v>CHOW TAI FOOK JEWELLERY CO LTD</v>
      </c>
      <c r="I98" s="6" t="s">
        <v>352</v>
      </c>
      <c r="J98" s="100" t="s">
        <v>609</v>
      </c>
      <c r="K98" s="48"/>
      <c r="L98" s="120"/>
      <c r="M98" s="95" t="s">
        <v>992</v>
      </c>
      <c r="N98" s="95"/>
      <c r="O98" s="7"/>
      <c r="P98" s="95"/>
      <c r="Q98" s="8">
        <v>44351</v>
      </c>
      <c r="R98" s="8"/>
      <c r="S98" s="8">
        <v>44670</v>
      </c>
      <c r="T98" s="3" t="s">
        <v>993</v>
      </c>
      <c r="U98" s="3" t="s">
        <v>994</v>
      </c>
      <c r="V98" s="19" t="s">
        <v>995</v>
      </c>
      <c r="W98" s="8"/>
      <c r="X98" s="3"/>
      <c r="Y98" s="15" t="s">
        <v>996</v>
      </c>
      <c r="Z98" s="53" t="s">
        <v>886</v>
      </c>
      <c r="AA98" s="8" t="s">
        <v>425</v>
      </c>
      <c r="AB98" s="3"/>
      <c r="AC98" s="3"/>
      <c r="AD98" s="3"/>
    </row>
    <row r="99" spans="1:30" ht="32.5">
      <c r="A99" s="5" t="s">
        <v>350</v>
      </c>
      <c r="B99" s="46"/>
      <c r="C99" s="3"/>
      <c r="D99" s="89" t="s">
        <v>100</v>
      </c>
      <c r="E99" s="106" t="s">
        <v>997</v>
      </c>
      <c r="F99" s="107"/>
      <c r="G99" s="12" t="s">
        <v>100</v>
      </c>
      <c r="H99" s="13" t="str">
        <f>IFERROR(VLOOKUP(G99, Sheet2!$A:$B, 2, FALSE), A99)</f>
        <v>No record</v>
      </c>
      <c r="I99" s="6" t="s">
        <v>359</v>
      </c>
      <c r="J99" s="109"/>
      <c r="K99" s="79"/>
      <c r="L99" s="120"/>
      <c r="M99" s="11" t="s">
        <v>998</v>
      </c>
      <c r="N99" s="11"/>
      <c r="O99" s="90"/>
      <c r="P99" s="11"/>
      <c r="Q99" s="89" t="s">
        <v>100</v>
      </c>
      <c r="R99" s="8"/>
      <c r="S99" s="8">
        <v>44349</v>
      </c>
      <c r="T99" s="12" t="s">
        <v>100</v>
      </c>
      <c r="U99" s="89" t="s">
        <v>100</v>
      </c>
      <c r="V99" s="146" t="s">
        <v>100</v>
      </c>
      <c r="W99" s="8"/>
      <c r="X99" s="89"/>
      <c r="Y99" s="144" t="s">
        <v>999</v>
      </c>
      <c r="Z99" s="53" t="s">
        <v>425</v>
      </c>
      <c r="AA99" s="49"/>
      <c r="AB99" s="3"/>
      <c r="AC99" s="3"/>
      <c r="AD99" s="3"/>
    </row>
    <row r="100" spans="1:30" ht="70">
      <c r="A100" s="3" t="s">
        <v>350</v>
      </c>
      <c r="B100" s="46"/>
      <c r="C100" s="3"/>
      <c r="D100" s="3"/>
      <c r="E100" s="6"/>
      <c r="F100" s="47"/>
      <c r="G100" s="3" t="s">
        <v>48</v>
      </c>
      <c r="H100" s="13" t="str">
        <f>IFERROR(VLOOKUP(G100, Sheet2!$A:$B, 2, FALSE), A100)</f>
        <v>CAM 8 PCCW (Macau) Ltd c/o SJM</v>
      </c>
      <c r="I100" s="6" t="s">
        <v>359</v>
      </c>
      <c r="J100" s="109"/>
      <c r="K100" s="83"/>
      <c r="L100" s="120"/>
      <c r="M100" s="15" t="s">
        <v>1000</v>
      </c>
      <c r="N100" s="15"/>
      <c r="O100" s="7"/>
      <c r="P100" s="15"/>
      <c r="Q100" s="8"/>
      <c r="R100" s="8"/>
      <c r="S100" s="8"/>
      <c r="T100" s="49" t="s">
        <v>100</v>
      </c>
      <c r="U100" s="49" t="s">
        <v>100</v>
      </c>
      <c r="V100" s="147" t="s">
        <v>100</v>
      </c>
      <c r="W100" s="8"/>
      <c r="X100" s="49"/>
      <c r="Y100" s="148" t="s">
        <v>1001</v>
      </c>
      <c r="Z100" s="53" t="s">
        <v>425</v>
      </c>
      <c r="AA100" s="8" t="s">
        <v>930</v>
      </c>
      <c r="AB100" s="3"/>
      <c r="AC100" s="3"/>
      <c r="AD100" s="3"/>
    </row>
    <row r="101" spans="1:30" ht="70">
      <c r="A101" s="3" t="s">
        <v>350</v>
      </c>
      <c r="B101" s="46"/>
      <c r="C101" s="3"/>
      <c r="D101" s="8" t="s">
        <v>553</v>
      </c>
      <c r="E101" s="6">
        <v>96121651</v>
      </c>
      <c r="F101" s="47"/>
      <c r="G101" s="8" t="s">
        <v>102</v>
      </c>
      <c r="H101" s="13" t="str">
        <f>IFERROR(VLOOKUP(G101, Sheet2!$A:$B, 2, FALSE), A101)</f>
        <v>EASY GREAT TECHNOLOGY LIMITED</v>
      </c>
      <c r="I101" s="6" t="s">
        <v>359</v>
      </c>
      <c r="J101" s="109"/>
      <c r="K101" s="83"/>
      <c r="L101" s="120"/>
      <c r="M101" s="11" t="s">
        <v>1002</v>
      </c>
      <c r="N101" s="11"/>
      <c r="O101" s="7"/>
      <c r="P101" s="11"/>
      <c r="Q101" s="149">
        <v>43959</v>
      </c>
      <c r="R101" s="8"/>
      <c r="S101" s="8">
        <v>44349</v>
      </c>
      <c r="T101" s="8" t="s">
        <v>1003</v>
      </c>
      <c r="U101" s="8" t="s">
        <v>558</v>
      </c>
      <c r="V101" s="19" t="s">
        <v>559</v>
      </c>
      <c r="W101" s="8"/>
      <c r="X101" s="8"/>
      <c r="Y101" s="148" t="s">
        <v>1004</v>
      </c>
      <c r="Z101" s="53" t="s">
        <v>425</v>
      </c>
      <c r="AA101" s="8"/>
      <c r="AB101" s="3"/>
      <c r="AC101" s="3"/>
      <c r="AD101" s="3"/>
    </row>
    <row r="102" spans="1:30" ht="58">
      <c r="A102" s="3" t="s">
        <v>350</v>
      </c>
      <c r="B102" s="46"/>
      <c r="C102" s="3"/>
      <c r="D102" s="3" t="s">
        <v>1005</v>
      </c>
      <c r="E102" s="6" t="s">
        <v>1006</v>
      </c>
      <c r="F102" s="57" t="s">
        <v>1007</v>
      </c>
      <c r="G102" s="3" t="s">
        <v>103</v>
      </c>
      <c r="H102" s="13" t="str">
        <f>IFERROR(VLOOKUP(G102, Sheet2!$A:$B, 2, FALSE), A102)</f>
        <v>DB POWER ONLINE LIMITED</v>
      </c>
      <c r="I102" s="6" t="s">
        <v>359</v>
      </c>
      <c r="J102" s="109"/>
      <c r="K102" s="48"/>
      <c r="L102" s="120"/>
      <c r="M102" s="11" t="s">
        <v>1008</v>
      </c>
      <c r="N102" s="11"/>
      <c r="O102" s="9" t="s">
        <v>1009</v>
      </c>
      <c r="P102" s="11"/>
      <c r="Q102" s="8">
        <v>44379</v>
      </c>
      <c r="R102" s="8"/>
      <c r="S102" s="8">
        <v>44371</v>
      </c>
      <c r="T102" s="3" t="s">
        <v>1010</v>
      </c>
      <c r="U102" s="49" t="s">
        <v>1011</v>
      </c>
      <c r="V102" s="19" t="s">
        <v>1012</v>
      </c>
      <c r="W102" s="8"/>
      <c r="X102" s="49"/>
      <c r="Y102" s="15" t="s">
        <v>1013</v>
      </c>
      <c r="Z102" s="53" t="s">
        <v>425</v>
      </c>
      <c r="AA102" s="8"/>
      <c r="AB102" s="3"/>
      <c r="AC102" s="3"/>
      <c r="AD102" s="3"/>
    </row>
    <row r="103" spans="1:30" ht="117">
      <c r="A103" s="5" t="s">
        <v>350</v>
      </c>
      <c r="B103" s="46"/>
      <c r="C103" s="3"/>
      <c r="D103" s="4" t="s">
        <v>490</v>
      </c>
      <c r="E103" s="58" t="s">
        <v>491</v>
      </c>
      <c r="F103" s="57"/>
      <c r="G103" s="4" t="s">
        <v>28</v>
      </c>
      <c r="H103" s="13" t="str">
        <f>IFERROR(VLOOKUP(G103, Sheet2!$A:$B, 2, FALSE), A103)</f>
        <v>HONG KONG AERO ENGINE SERVICES LTD</v>
      </c>
      <c r="I103" s="6" t="s">
        <v>393</v>
      </c>
      <c r="J103" s="109"/>
      <c r="K103" s="48"/>
      <c r="L103" s="120"/>
      <c r="M103" s="15" t="s">
        <v>1014</v>
      </c>
      <c r="N103" s="15"/>
      <c r="O103" s="7"/>
      <c r="P103" s="15"/>
      <c r="Q103" s="8">
        <v>44398</v>
      </c>
      <c r="R103" s="8"/>
      <c r="S103" s="8">
        <v>44369</v>
      </c>
      <c r="T103" s="3" t="s">
        <v>1015</v>
      </c>
      <c r="U103" s="150">
        <v>267603</v>
      </c>
      <c r="V103" s="19" t="s">
        <v>1016</v>
      </c>
      <c r="W103" s="8"/>
      <c r="X103" s="150"/>
      <c r="Y103" s="15" t="s">
        <v>1017</v>
      </c>
      <c r="Z103" s="53" t="s">
        <v>425</v>
      </c>
      <c r="AA103" s="8"/>
      <c r="AB103" s="3"/>
      <c r="AC103" s="3"/>
      <c r="AD103" s="3"/>
    </row>
    <row r="104" spans="1:30" ht="130.5">
      <c r="A104" s="3" t="s">
        <v>350</v>
      </c>
      <c r="B104" s="46"/>
      <c r="C104" s="3"/>
      <c r="D104" s="141" t="s">
        <v>1018</v>
      </c>
      <c r="E104" s="109" t="s">
        <v>1019</v>
      </c>
      <c r="F104" s="151" t="s">
        <v>1020</v>
      </c>
      <c r="G104" s="13" t="s">
        <v>105</v>
      </c>
      <c r="H104" s="13" t="str">
        <f>IFERROR(VLOOKUP(G104, Sheet2!$A:$B, 2, FALSE), A104)</f>
        <v>Sun Hung Kai Credit Limited</v>
      </c>
      <c r="I104" s="6" t="s">
        <v>393</v>
      </c>
      <c r="J104" s="109"/>
      <c r="K104" s="79"/>
      <c r="L104" s="120"/>
      <c r="M104" s="95" t="s">
        <v>1021</v>
      </c>
      <c r="N104" s="95"/>
      <c r="O104" s="7"/>
      <c r="P104" s="95"/>
      <c r="Q104" s="49">
        <v>44389</v>
      </c>
      <c r="R104" s="8"/>
      <c r="S104" s="8"/>
      <c r="T104" s="73" t="s">
        <v>1022</v>
      </c>
      <c r="U104" s="152" t="s">
        <v>1023</v>
      </c>
      <c r="V104" s="147">
        <v>102642</v>
      </c>
      <c r="W104" s="8"/>
      <c r="X104" s="152"/>
      <c r="Y104" s="15" t="s">
        <v>1024</v>
      </c>
      <c r="Z104" s="53" t="s">
        <v>886</v>
      </c>
      <c r="AA104" s="8" t="s">
        <v>930</v>
      </c>
      <c r="AB104" s="3"/>
      <c r="AC104" s="3"/>
      <c r="AD104" s="3"/>
    </row>
    <row r="105" spans="1:30" ht="106">
      <c r="A105" s="3" t="s">
        <v>350</v>
      </c>
      <c r="B105" s="46"/>
      <c r="C105" s="3"/>
      <c r="D105" s="3" t="s">
        <v>1025</v>
      </c>
      <c r="E105" s="6" t="s">
        <v>1026</v>
      </c>
      <c r="F105" s="57" t="s">
        <v>1027</v>
      </c>
      <c r="G105" s="3" t="s">
        <v>107</v>
      </c>
      <c r="H105" s="13" t="str">
        <f>IFERROR(VLOOKUP(G105, Sheet2!$A:$B, 2, FALSE), A105)</f>
        <v>HK TELEVISION ENTERTAINMENT CO LTD (ViuTV)</v>
      </c>
      <c r="I105" s="6" t="s">
        <v>352</v>
      </c>
      <c r="J105" s="109"/>
      <c r="K105" s="109" t="s">
        <v>1028</v>
      </c>
      <c r="L105" s="120"/>
      <c r="M105" s="11" t="s">
        <v>1029</v>
      </c>
      <c r="N105" s="11"/>
      <c r="O105" s="7"/>
      <c r="P105" s="11"/>
      <c r="Q105" s="8">
        <v>44393</v>
      </c>
      <c r="R105" s="8"/>
      <c r="S105" s="8">
        <v>44393</v>
      </c>
      <c r="T105" s="153" t="s">
        <v>1030</v>
      </c>
      <c r="U105" s="13" t="s">
        <v>1031</v>
      </c>
      <c r="V105" s="147">
        <v>102689</v>
      </c>
      <c r="W105" s="8"/>
      <c r="X105" s="13"/>
      <c r="Y105" s="95" t="s">
        <v>1032</v>
      </c>
      <c r="Z105" s="53" t="s">
        <v>365</v>
      </c>
      <c r="AA105" s="8"/>
      <c r="AB105" s="3"/>
      <c r="AC105" s="3"/>
      <c r="AD105" s="3"/>
    </row>
    <row r="106" spans="1:30" ht="120">
      <c r="A106" s="3" t="s">
        <v>350</v>
      </c>
      <c r="B106" s="46"/>
      <c r="C106" s="3"/>
      <c r="D106" s="3" t="s">
        <v>1033</v>
      </c>
      <c r="E106" s="6" t="s">
        <v>1034</v>
      </c>
      <c r="F106" s="57" t="s">
        <v>1035</v>
      </c>
      <c r="G106" s="14" t="s">
        <v>109</v>
      </c>
      <c r="H106" s="13" t="str">
        <f>IFERROR(VLOOKUP(G106, Sheet2!$A:$B, 2, FALSE), A106)</f>
        <v>CAM 8 AWS account Viu-OTT</v>
      </c>
      <c r="I106" s="6" t="s">
        <v>352</v>
      </c>
      <c r="J106" s="109"/>
      <c r="K106" s="109" t="s">
        <v>1036</v>
      </c>
      <c r="L106" s="120"/>
      <c r="M106" s="3" t="s">
        <v>1037</v>
      </c>
      <c r="N106" s="3"/>
      <c r="O106" s="154"/>
      <c r="P106" s="3"/>
      <c r="Q106" s="8">
        <v>44393</v>
      </c>
      <c r="R106" s="8"/>
      <c r="S106" s="8">
        <v>44393</v>
      </c>
      <c r="T106" s="3" t="s">
        <v>1038</v>
      </c>
      <c r="U106" s="13" t="s">
        <v>1039</v>
      </c>
      <c r="V106" s="147">
        <v>102688</v>
      </c>
      <c r="W106" s="8"/>
      <c r="X106" s="13"/>
      <c r="Y106" s="95" t="s">
        <v>1040</v>
      </c>
      <c r="Z106" s="53" t="s">
        <v>365</v>
      </c>
      <c r="AA106" s="155"/>
      <c r="AB106" s="3"/>
      <c r="AC106" s="3"/>
      <c r="AD106" s="3"/>
    </row>
    <row r="107" spans="1:30" ht="116">
      <c r="A107" s="8" t="s">
        <v>350</v>
      </c>
      <c r="B107" s="46"/>
      <c r="C107" s="3"/>
      <c r="D107" s="3" t="s">
        <v>1041</v>
      </c>
      <c r="E107" s="6">
        <v>22776687</v>
      </c>
      <c r="F107" s="57" t="s">
        <v>1042</v>
      </c>
      <c r="G107" s="3" t="s">
        <v>110</v>
      </c>
      <c r="H107" s="13" t="str">
        <f>IFERROR(VLOOKUP(G107, Sheet2!$A:$B, 2, FALSE), A107)</f>
        <v>PHILLIP SECURITIES (HK) LTD</v>
      </c>
      <c r="I107" s="6" t="s">
        <v>359</v>
      </c>
      <c r="J107" s="109"/>
      <c r="K107" s="48"/>
      <c r="L107" s="9"/>
      <c r="M107" s="95" t="s">
        <v>1043</v>
      </c>
      <c r="N107" s="95"/>
      <c r="O107" s="7"/>
      <c r="P107" s="95"/>
      <c r="Q107" s="8">
        <v>44397</v>
      </c>
      <c r="R107" s="8"/>
      <c r="S107" s="8">
        <v>44399</v>
      </c>
      <c r="T107" s="69" t="s">
        <v>1044</v>
      </c>
      <c r="U107" s="8" t="s">
        <v>1045</v>
      </c>
      <c r="V107" s="19" t="s">
        <v>1046</v>
      </c>
      <c r="W107" s="8"/>
      <c r="X107" s="8"/>
      <c r="Y107" s="15" t="s">
        <v>1047</v>
      </c>
      <c r="Z107" s="53" t="s">
        <v>425</v>
      </c>
      <c r="AA107" s="8" t="s">
        <v>1048</v>
      </c>
      <c r="AB107" s="3"/>
      <c r="AC107" s="3"/>
      <c r="AD107" s="3"/>
    </row>
    <row r="108" spans="1:30" ht="87">
      <c r="A108" s="8" t="s">
        <v>350</v>
      </c>
      <c r="B108" s="46"/>
      <c r="C108" s="3"/>
      <c r="D108" s="3" t="s">
        <v>1049</v>
      </c>
      <c r="E108" s="6" t="s">
        <v>1050</v>
      </c>
      <c r="F108" s="47"/>
      <c r="G108" s="15" t="s">
        <v>112</v>
      </c>
      <c r="H108" s="13" t="str">
        <f>IFERROR(VLOOKUP(G108, Sheet2!$A:$B, 2, FALSE), A108)</f>
        <v>SSIF HOLDINGS LIMITED</v>
      </c>
      <c r="I108" s="6" t="s">
        <v>359</v>
      </c>
      <c r="J108" s="109"/>
      <c r="K108" s="62" t="s">
        <v>1051</v>
      </c>
      <c r="L108" s="7"/>
      <c r="M108" s="11" t="s">
        <v>1052</v>
      </c>
      <c r="N108" s="11"/>
      <c r="O108" s="7"/>
      <c r="P108" s="15" t="s">
        <v>1053</v>
      </c>
      <c r="Q108" s="8">
        <v>44409</v>
      </c>
      <c r="R108" s="8"/>
      <c r="S108" s="8">
        <v>44453</v>
      </c>
      <c r="T108" s="69" t="s">
        <v>1054</v>
      </c>
      <c r="U108" s="3" t="s">
        <v>1055</v>
      </c>
      <c r="V108" s="19" t="s">
        <v>1056</v>
      </c>
      <c r="W108" s="8"/>
      <c r="X108" s="3"/>
      <c r="Y108" s="15" t="s">
        <v>1057</v>
      </c>
      <c r="Z108" s="53" t="s">
        <v>425</v>
      </c>
      <c r="AA108" s="8" t="s">
        <v>930</v>
      </c>
      <c r="AB108" s="3"/>
      <c r="AC108" s="3"/>
      <c r="AD108" s="3"/>
    </row>
    <row r="109" spans="1:30" ht="145">
      <c r="A109" s="8" t="s">
        <v>350</v>
      </c>
      <c r="B109" s="46"/>
      <c r="C109" s="3"/>
      <c r="D109" s="3" t="s">
        <v>1058</v>
      </c>
      <c r="E109" s="6" t="s">
        <v>1059</v>
      </c>
      <c r="F109" s="47"/>
      <c r="G109" s="3" t="s">
        <v>114</v>
      </c>
      <c r="H109" s="13" t="str">
        <f>IFERROR(VLOOKUP(G109, Sheet2!$A:$B, 2, FALSE), A109)</f>
        <v>RICOH ASIA PACIFIC OPERATIONS LIMITED</v>
      </c>
      <c r="I109" s="6" t="s">
        <v>393</v>
      </c>
      <c r="J109" s="109"/>
      <c r="K109" s="48"/>
      <c r="L109" s="9"/>
      <c r="M109" s="3" t="s">
        <v>1060</v>
      </c>
      <c r="N109" s="3"/>
      <c r="O109" s="7"/>
      <c r="P109" s="3"/>
      <c r="Q109" s="8">
        <v>44403</v>
      </c>
      <c r="R109" s="8"/>
      <c r="S109" s="8">
        <v>44414</v>
      </c>
      <c r="T109" s="69" t="s">
        <v>1061</v>
      </c>
      <c r="U109" s="6">
        <v>884097</v>
      </c>
      <c r="V109" s="19" t="s">
        <v>1062</v>
      </c>
      <c r="W109" s="8"/>
      <c r="X109" s="6"/>
      <c r="Y109" s="15" t="s">
        <v>1063</v>
      </c>
      <c r="Z109" s="53" t="s">
        <v>425</v>
      </c>
      <c r="AA109" s="8" t="s">
        <v>781</v>
      </c>
      <c r="AB109" s="3"/>
      <c r="AC109" s="3"/>
      <c r="AD109" s="3"/>
    </row>
    <row r="110" spans="1:30" ht="128">
      <c r="A110" s="8" t="s">
        <v>350</v>
      </c>
      <c r="B110" s="46"/>
      <c r="C110" s="3"/>
      <c r="D110" s="3" t="s">
        <v>1064</v>
      </c>
      <c r="E110" s="6">
        <v>97799612</v>
      </c>
      <c r="F110" s="57" t="s">
        <v>1065</v>
      </c>
      <c r="G110" s="3" t="s">
        <v>116</v>
      </c>
      <c r="H110" s="13" t="str">
        <f>IFERROR(VLOOKUP(G110, Sheet2!$A:$B, 2, FALSE), A110)</f>
        <v>TASTE OF ASIA GROUP LTD</v>
      </c>
      <c r="I110" s="6" t="s">
        <v>393</v>
      </c>
      <c r="J110" s="109"/>
      <c r="K110" s="48"/>
      <c r="L110" s="9"/>
      <c r="M110" s="95" t="s">
        <v>1066</v>
      </c>
      <c r="N110" s="95"/>
      <c r="O110" s="9" t="s">
        <v>1067</v>
      </c>
      <c r="P110" s="95"/>
      <c r="Q110" s="8">
        <v>44419</v>
      </c>
      <c r="R110" s="8"/>
      <c r="S110" s="8">
        <v>44417</v>
      </c>
      <c r="T110" s="69" t="s">
        <v>1068</v>
      </c>
      <c r="U110" s="3" t="s">
        <v>1069</v>
      </c>
      <c r="V110" s="19" t="s">
        <v>1070</v>
      </c>
      <c r="W110" s="8"/>
      <c r="X110" s="3"/>
      <c r="Y110" s="15" t="s">
        <v>1071</v>
      </c>
      <c r="Z110" s="53" t="s">
        <v>425</v>
      </c>
      <c r="AA110" s="8" t="s">
        <v>1072</v>
      </c>
      <c r="AB110" s="3"/>
      <c r="AC110" s="3"/>
      <c r="AD110" s="3"/>
    </row>
    <row r="111" spans="1:30" ht="116">
      <c r="A111" s="3" t="s">
        <v>350</v>
      </c>
      <c r="B111" s="46"/>
      <c r="C111" s="3"/>
      <c r="D111" s="5" t="s">
        <v>606</v>
      </c>
      <c r="E111" s="58" t="s">
        <v>607</v>
      </c>
      <c r="F111" s="57"/>
      <c r="G111" s="15" t="s">
        <v>118</v>
      </c>
      <c r="H111" s="13" t="str">
        <f>IFERROR(VLOOKUP(G111, Sheet2!$A:$B, 2, FALSE), A111)</f>
        <v>CHOW TAI FOOK JEWELLERY CO LTD</v>
      </c>
      <c r="I111" s="6" t="s">
        <v>352</v>
      </c>
      <c r="J111" s="109" t="s">
        <v>609</v>
      </c>
      <c r="K111" s="62" t="s">
        <v>1073</v>
      </c>
      <c r="L111" s="84" t="s">
        <v>1074</v>
      </c>
      <c r="M111" s="156" t="s">
        <v>1075</v>
      </c>
      <c r="N111" s="156"/>
      <c r="O111" s="7"/>
      <c r="P111" s="156"/>
      <c r="Q111" s="49">
        <v>44424</v>
      </c>
      <c r="R111" s="8"/>
      <c r="S111" s="8">
        <v>44439</v>
      </c>
      <c r="T111" s="49" t="s">
        <v>1076</v>
      </c>
      <c r="U111" s="13" t="s">
        <v>1077</v>
      </c>
      <c r="V111" s="147">
        <v>102728</v>
      </c>
      <c r="W111" s="8"/>
      <c r="X111" s="13"/>
      <c r="Y111" s="102" t="s">
        <v>1078</v>
      </c>
      <c r="Z111" s="53" t="s">
        <v>489</v>
      </c>
      <c r="AA111" s="7" t="s">
        <v>1079</v>
      </c>
      <c r="AB111" s="3"/>
      <c r="AC111" s="3" t="s">
        <v>1080</v>
      </c>
      <c r="AD111" s="3"/>
    </row>
    <row r="112" spans="1:30" ht="116.5">
      <c r="A112" s="3" t="s">
        <v>350</v>
      </c>
      <c r="B112" s="46"/>
      <c r="C112" s="3"/>
      <c r="D112" s="5" t="s">
        <v>606</v>
      </c>
      <c r="E112" s="58" t="s">
        <v>607</v>
      </c>
      <c r="F112" s="57"/>
      <c r="G112" s="13" t="s">
        <v>43</v>
      </c>
      <c r="H112" s="13" t="str">
        <f>IFERROR(VLOOKUP(G112, Sheet2!$A:$B, 2, FALSE), A112)</f>
        <v>CHOW TAI FOOK JEWELLERY CO LTD</v>
      </c>
      <c r="I112" s="6" t="s">
        <v>352</v>
      </c>
      <c r="J112" s="109" t="s">
        <v>609</v>
      </c>
      <c r="K112" s="62" t="s">
        <v>1081</v>
      </c>
      <c r="L112" s="84" t="s">
        <v>1074</v>
      </c>
      <c r="M112" s="156" t="s">
        <v>1082</v>
      </c>
      <c r="N112" s="156"/>
      <c r="O112" s="7"/>
      <c r="P112" s="156"/>
      <c r="Q112" s="49">
        <v>44424</v>
      </c>
      <c r="R112" s="8"/>
      <c r="S112" s="8">
        <v>44439</v>
      </c>
      <c r="T112" s="49" t="s">
        <v>1083</v>
      </c>
      <c r="U112" s="13" t="s">
        <v>1084</v>
      </c>
      <c r="V112" s="147">
        <v>102730</v>
      </c>
      <c r="W112" s="8"/>
      <c r="X112" s="13"/>
      <c r="Y112" s="140" t="s">
        <v>1085</v>
      </c>
      <c r="Z112" s="53" t="s">
        <v>489</v>
      </c>
      <c r="AA112" s="7" t="s">
        <v>1079</v>
      </c>
      <c r="AB112" s="3"/>
      <c r="AC112" s="3" t="s">
        <v>1080</v>
      </c>
      <c r="AD112" s="3"/>
    </row>
    <row r="113" spans="1:30" ht="131">
      <c r="A113" s="3" t="s">
        <v>350</v>
      </c>
      <c r="B113" s="46"/>
      <c r="C113" s="3"/>
      <c r="D113" s="5" t="s">
        <v>606</v>
      </c>
      <c r="E113" s="58" t="s">
        <v>607</v>
      </c>
      <c r="F113" s="57"/>
      <c r="G113" s="13" t="s">
        <v>43</v>
      </c>
      <c r="H113" s="13" t="str">
        <f>IFERROR(VLOOKUP(G113, Sheet2!$A:$B, 2, FALSE), A113)</f>
        <v>CHOW TAI FOOK JEWELLERY CO LTD</v>
      </c>
      <c r="I113" s="6" t="s">
        <v>352</v>
      </c>
      <c r="J113" s="100" t="s">
        <v>609</v>
      </c>
      <c r="K113" s="62" t="s">
        <v>1086</v>
      </c>
      <c r="L113" s="112"/>
      <c r="M113" s="156" t="s">
        <v>1087</v>
      </c>
      <c r="N113" s="156"/>
      <c r="O113" s="7"/>
      <c r="P113" s="156"/>
      <c r="Q113" s="49">
        <v>44424</v>
      </c>
      <c r="R113" s="8"/>
      <c r="S113" s="8">
        <v>44439</v>
      </c>
      <c r="T113" s="49" t="s">
        <v>1088</v>
      </c>
      <c r="U113" s="13" t="s">
        <v>1089</v>
      </c>
      <c r="V113" s="147">
        <v>102729</v>
      </c>
      <c r="W113" s="8"/>
      <c r="X113" s="13"/>
      <c r="Y113" s="140" t="s">
        <v>1090</v>
      </c>
      <c r="Z113" s="53" t="s">
        <v>489</v>
      </c>
      <c r="AA113" s="7" t="s">
        <v>1079</v>
      </c>
      <c r="AB113" s="3"/>
      <c r="AC113" s="3" t="s">
        <v>1080</v>
      </c>
      <c r="AD113" s="3"/>
    </row>
    <row r="114" spans="1:30" ht="131">
      <c r="A114" s="3" t="s">
        <v>350</v>
      </c>
      <c r="B114" s="46"/>
      <c r="C114" s="3"/>
      <c r="D114" s="5" t="s">
        <v>606</v>
      </c>
      <c r="E114" s="58" t="s">
        <v>607</v>
      </c>
      <c r="F114" s="57"/>
      <c r="G114" s="13" t="s">
        <v>44</v>
      </c>
      <c r="H114" s="13" t="str">
        <f>IFERROR(VLOOKUP(G114, Sheet2!$A:$B, 2, FALSE), A114)</f>
        <v>CHOW TAI FOOK JEWELLERY CO LTD</v>
      </c>
      <c r="I114" s="6" t="s">
        <v>352</v>
      </c>
      <c r="J114" s="109" t="s">
        <v>609</v>
      </c>
      <c r="K114" s="62">
        <v>5049476365</v>
      </c>
      <c r="L114" s="84" t="s">
        <v>1074</v>
      </c>
      <c r="M114" s="156" t="s">
        <v>1091</v>
      </c>
      <c r="N114" s="156"/>
      <c r="O114" s="7"/>
      <c r="P114" s="156"/>
      <c r="Q114" s="49">
        <v>44424</v>
      </c>
      <c r="R114" s="8"/>
      <c r="S114" s="8">
        <v>44439</v>
      </c>
      <c r="T114" s="49" t="s">
        <v>1092</v>
      </c>
      <c r="U114" s="13" t="s">
        <v>1093</v>
      </c>
      <c r="V114" s="147">
        <v>102731</v>
      </c>
      <c r="W114" s="8"/>
      <c r="X114" s="13"/>
      <c r="Y114" s="140" t="s">
        <v>1094</v>
      </c>
      <c r="Z114" s="53" t="s">
        <v>489</v>
      </c>
      <c r="AA114" s="7" t="s">
        <v>1079</v>
      </c>
      <c r="AB114" s="3"/>
      <c r="AC114" s="3" t="s">
        <v>1080</v>
      </c>
      <c r="AD114" s="3"/>
    </row>
    <row r="115" spans="1:30" ht="58.5">
      <c r="A115" s="3" t="s">
        <v>350</v>
      </c>
      <c r="B115" s="46"/>
      <c r="C115" s="3"/>
      <c r="D115" s="8" t="s">
        <v>1095</v>
      </c>
      <c r="E115" s="6">
        <v>22878124</v>
      </c>
      <c r="F115" s="57" t="s">
        <v>1096</v>
      </c>
      <c r="G115" s="8" t="s">
        <v>119</v>
      </c>
      <c r="H115" s="13" t="str">
        <f>IFERROR(VLOOKUP(G115, Sheet2!$A:$B, 2, FALSE), A115)</f>
        <v>PRICERITE HOME LIMITED</v>
      </c>
      <c r="I115" s="6" t="s">
        <v>359</v>
      </c>
      <c r="J115" s="109"/>
      <c r="K115" s="62" t="s">
        <v>1097</v>
      </c>
      <c r="L115" s="90"/>
      <c r="M115" s="3"/>
      <c r="N115" s="3"/>
      <c r="O115" s="7"/>
      <c r="P115" s="3"/>
      <c r="Q115" s="8">
        <v>44425</v>
      </c>
      <c r="R115" s="8"/>
      <c r="S115" s="8">
        <v>44429</v>
      </c>
      <c r="T115" s="8" t="s">
        <v>1098</v>
      </c>
      <c r="U115" s="8" t="s">
        <v>1099</v>
      </c>
      <c r="V115" s="19" t="s">
        <v>1100</v>
      </c>
      <c r="W115" s="8"/>
      <c r="X115" s="8"/>
      <c r="Y115" s="86" t="s">
        <v>1101</v>
      </c>
      <c r="Z115" s="53" t="s">
        <v>425</v>
      </c>
      <c r="AA115" s="8"/>
      <c r="AB115" s="3"/>
      <c r="AC115" s="3"/>
      <c r="AD115" s="3"/>
    </row>
    <row r="116" spans="1:30" ht="72.5">
      <c r="A116" s="3" t="s">
        <v>350</v>
      </c>
      <c r="B116" s="46"/>
      <c r="C116" s="3"/>
      <c r="D116" s="8" t="s">
        <v>1102</v>
      </c>
      <c r="E116" s="6">
        <v>93526643</v>
      </c>
      <c r="F116" s="57" t="s">
        <v>1103</v>
      </c>
      <c r="G116" s="8" t="s">
        <v>120</v>
      </c>
      <c r="H116" s="13" t="str">
        <f>IFERROR(VLOOKUP(G116, Sheet2!$A:$B, 2, FALSE), A116)</f>
        <v>CFSG HOLDINGS LIMITED</v>
      </c>
      <c r="I116" s="6" t="s">
        <v>359</v>
      </c>
      <c r="J116" s="109"/>
      <c r="K116" s="62" t="s">
        <v>1104</v>
      </c>
      <c r="L116" s="7"/>
      <c r="M116" s="15" t="s">
        <v>1105</v>
      </c>
      <c r="N116" s="15"/>
      <c r="O116" s="157"/>
      <c r="P116" s="15"/>
      <c r="Q116" s="8">
        <v>44425</v>
      </c>
      <c r="R116" s="8"/>
      <c r="S116" s="8">
        <v>44463</v>
      </c>
      <c r="T116" s="8" t="s">
        <v>1106</v>
      </c>
      <c r="U116" s="8" t="s">
        <v>1107</v>
      </c>
      <c r="V116" s="19" t="s">
        <v>1108</v>
      </c>
      <c r="W116" s="8"/>
      <c r="X116" s="8"/>
      <c r="Y116" s="9" t="s">
        <v>1109</v>
      </c>
      <c r="Z116" s="158" t="s">
        <v>425</v>
      </c>
      <c r="AA116" s="159"/>
      <c r="AB116" s="8"/>
      <c r="AC116" s="8"/>
      <c r="AD116" s="3"/>
    </row>
    <row r="117" spans="1:30" ht="72.5">
      <c r="A117" s="8" t="s">
        <v>350</v>
      </c>
      <c r="B117" s="46"/>
      <c r="C117" s="3"/>
      <c r="D117" s="3" t="s">
        <v>1110</v>
      </c>
      <c r="E117" s="6" t="s">
        <v>1111</v>
      </c>
      <c r="F117" s="57" t="s">
        <v>1112</v>
      </c>
      <c r="G117" s="15" t="s">
        <v>121</v>
      </c>
      <c r="H117" s="13" t="str">
        <f>IFERROR(VLOOKUP(G117, Sheet2!$A:$B, 2, FALSE), A117)</f>
        <v>DIGITAL POLICY OFFICE</v>
      </c>
      <c r="I117" s="6" t="s">
        <v>393</v>
      </c>
      <c r="J117" s="109"/>
      <c r="K117" s="48"/>
      <c r="L117" s="9"/>
      <c r="M117" s="5" t="s">
        <v>1113</v>
      </c>
      <c r="N117" s="3"/>
      <c r="O117" s="90"/>
      <c r="P117" s="3"/>
      <c r="Q117" s="8">
        <v>44368</v>
      </c>
      <c r="R117" s="8"/>
      <c r="S117" s="8">
        <v>44368</v>
      </c>
      <c r="T117" s="69" t="s">
        <v>1114</v>
      </c>
      <c r="U117" s="3" t="s">
        <v>1115</v>
      </c>
      <c r="V117" s="19" t="s">
        <v>1116</v>
      </c>
      <c r="W117" s="8"/>
      <c r="X117" s="3"/>
      <c r="Y117" s="15" t="s">
        <v>1117</v>
      </c>
      <c r="Z117" s="53" t="s">
        <v>425</v>
      </c>
      <c r="AA117" s="49"/>
      <c r="AB117" s="3"/>
      <c r="AC117" s="3"/>
      <c r="AD117" s="3"/>
    </row>
    <row r="118" spans="1:30" ht="160">
      <c r="A118" s="160" t="s">
        <v>350</v>
      </c>
      <c r="B118" s="161"/>
      <c r="C118" s="3"/>
      <c r="D118" s="5" t="s">
        <v>1118</v>
      </c>
      <c r="E118" s="58" t="s">
        <v>1119</v>
      </c>
      <c r="F118" s="57"/>
      <c r="G118" s="162" t="s">
        <v>43</v>
      </c>
      <c r="H118" s="13" t="str">
        <f>IFERROR(VLOOKUP(G118, Sheet2!$A:$B, 2, FALSE), A118)</f>
        <v>CHOW TAI FOOK JEWELLERY CO LTD</v>
      </c>
      <c r="I118" s="163" t="s">
        <v>352</v>
      </c>
      <c r="J118" s="164" t="s">
        <v>609</v>
      </c>
      <c r="K118" s="165" t="s">
        <v>1120</v>
      </c>
      <c r="L118" s="166"/>
      <c r="M118" s="167" t="s">
        <v>1121</v>
      </c>
      <c r="N118" s="95"/>
      <c r="O118" s="9" t="s">
        <v>1122</v>
      </c>
      <c r="P118" s="95"/>
      <c r="Q118" s="49">
        <v>44446</v>
      </c>
      <c r="R118" s="8"/>
      <c r="S118" s="8">
        <v>44442</v>
      </c>
      <c r="T118" s="168" t="s">
        <v>1123</v>
      </c>
      <c r="U118" s="168" t="s">
        <v>1124</v>
      </c>
      <c r="V118" s="169" t="s">
        <v>1125</v>
      </c>
      <c r="W118" s="170" t="s">
        <v>1126</v>
      </c>
      <c r="X118" s="168"/>
      <c r="Y118" s="171" t="s">
        <v>1127</v>
      </c>
      <c r="Z118" s="172" t="s">
        <v>425</v>
      </c>
      <c r="AA118" s="173" t="s">
        <v>1079</v>
      </c>
      <c r="AB118" s="160"/>
      <c r="AC118" s="160" t="s">
        <v>1080</v>
      </c>
      <c r="AD118" s="174" t="s">
        <v>1128</v>
      </c>
    </row>
    <row r="119" spans="1:30" ht="160">
      <c r="A119" s="3" t="s">
        <v>350</v>
      </c>
      <c r="B119" s="46"/>
      <c r="C119" s="3"/>
      <c r="D119" s="5" t="s">
        <v>1118</v>
      </c>
      <c r="E119" s="58" t="s">
        <v>1119</v>
      </c>
      <c r="F119" s="57"/>
      <c r="G119" s="13" t="s">
        <v>43</v>
      </c>
      <c r="H119" s="13" t="str">
        <f>IFERROR(VLOOKUP(G119, Sheet2!$A:$B, 2, FALSE), A119)</f>
        <v>CHOW TAI FOOK JEWELLERY CO LTD</v>
      </c>
      <c r="I119" s="6" t="s">
        <v>352</v>
      </c>
      <c r="J119" s="109" t="s">
        <v>609</v>
      </c>
      <c r="K119" s="109" t="s">
        <v>1129</v>
      </c>
      <c r="L119" s="126"/>
      <c r="M119" s="95" t="s">
        <v>1130</v>
      </c>
      <c r="N119" s="95"/>
      <c r="O119" s="9" t="s">
        <v>1131</v>
      </c>
      <c r="P119" s="95"/>
      <c r="Q119" s="49">
        <v>44446</v>
      </c>
      <c r="R119" s="8"/>
      <c r="S119" s="8">
        <v>44442</v>
      </c>
      <c r="T119" s="175" t="s">
        <v>1132</v>
      </c>
      <c r="U119" s="175" t="s">
        <v>1133</v>
      </c>
      <c r="V119" s="147" t="s">
        <v>1134</v>
      </c>
      <c r="W119" s="8"/>
      <c r="X119" s="175"/>
      <c r="Y119" s="140" t="s">
        <v>1135</v>
      </c>
      <c r="Z119" s="53" t="s">
        <v>425</v>
      </c>
      <c r="AA119" s="7" t="s">
        <v>1079</v>
      </c>
      <c r="AB119" s="3"/>
      <c r="AC119" s="3" t="s">
        <v>1080</v>
      </c>
      <c r="AD119" s="3"/>
    </row>
    <row r="120" spans="1:30" ht="47.5">
      <c r="A120" s="3" t="s">
        <v>350</v>
      </c>
      <c r="B120" s="46"/>
      <c r="C120" s="3"/>
      <c r="D120" s="3" t="s">
        <v>1136</v>
      </c>
      <c r="E120" s="6" t="s">
        <v>1137</v>
      </c>
      <c r="F120" s="47"/>
      <c r="G120" s="11" t="s">
        <v>123</v>
      </c>
      <c r="H120" s="13" t="str">
        <f>IFERROR(VLOOKUP(G120, Sheet2!$A:$B, 2, FALSE), A120)</f>
        <v>CAM 8 AWS account for HKT China Team 
(Alibaba Cloud subscription for NM platform)</v>
      </c>
      <c r="I120" s="6" t="s">
        <v>359</v>
      </c>
      <c r="J120" s="109"/>
      <c r="K120" s="62" t="s">
        <v>1138</v>
      </c>
      <c r="L120" s="9"/>
      <c r="M120" s="11" t="s">
        <v>1139</v>
      </c>
      <c r="N120" s="11"/>
      <c r="O120" s="7"/>
      <c r="P120" s="11"/>
      <c r="Q120" s="8">
        <v>44449</v>
      </c>
      <c r="R120" s="8"/>
      <c r="S120" s="8">
        <v>44448</v>
      </c>
      <c r="T120" s="73" t="s">
        <v>1140</v>
      </c>
      <c r="U120" s="73" t="s">
        <v>1141</v>
      </c>
      <c r="V120" s="176" t="s">
        <v>1142</v>
      </c>
      <c r="W120" s="8"/>
      <c r="X120" s="73"/>
      <c r="Y120" s="15" t="s">
        <v>1143</v>
      </c>
      <c r="Z120" s="53" t="s">
        <v>425</v>
      </c>
      <c r="AA120" s="8"/>
      <c r="AB120" s="3"/>
      <c r="AC120" s="3"/>
      <c r="AD120" s="3"/>
    </row>
    <row r="121" spans="1:30" ht="87.5">
      <c r="A121" s="3" t="s">
        <v>730</v>
      </c>
      <c r="B121" s="46"/>
      <c r="C121" s="3"/>
      <c r="D121" s="3" t="s">
        <v>1144</v>
      </c>
      <c r="E121" s="6">
        <v>36567777</v>
      </c>
      <c r="F121" s="57" t="s">
        <v>1145</v>
      </c>
      <c r="G121" s="3" t="s">
        <v>125</v>
      </c>
      <c r="H121" s="13" t="str">
        <f>IFERROR(VLOOKUP(G121, Sheet2!$A:$B, 2, FALSE), A121)</f>
        <v>NUTHON IT SOLUTIONS LIMITED</v>
      </c>
      <c r="I121" s="6" t="s">
        <v>352</v>
      </c>
      <c r="J121" s="109"/>
      <c r="K121" s="62" t="s">
        <v>1146</v>
      </c>
      <c r="L121" s="9"/>
      <c r="M121" s="15" t="s">
        <v>1147</v>
      </c>
      <c r="N121" s="15"/>
      <c r="O121" s="7"/>
      <c r="P121" s="15"/>
      <c r="Q121" s="8">
        <v>44454</v>
      </c>
      <c r="R121" s="8"/>
      <c r="S121" s="8"/>
      <c r="T121" s="177" t="s">
        <v>1148</v>
      </c>
      <c r="U121" s="3" t="s">
        <v>1149</v>
      </c>
      <c r="V121" s="19" t="s">
        <v>1150</v>
      </c>
      <c r="W121" s="8"/>
      <c r="X121" s="3"/>
      <c r="Y121" s="15" t="s">
        <v>1151</v>
      </c>
      <c r="Z121" s="53" t="s">
        <v>425</v>
      </c>
      <c r="AA121" s="8" t="s">
        <v>930</v>
      </c>
      <c r="AB121" s="3"/>
      <c r="AC121" s="3"/>
      <c r="AD121" s="3"/>
    </row>
    <row r="122" spans="1:30" ht="88">
      <c r="A122" s="3" t="s">
        <v>350</v>
      </c>
      <c r="B122" s="46"/>
      <c r="C122" s="3"/>
      <c r="D122" s="3" t="s">
        <v>1152</v>
      </c>
      <c r="E122" s="6">
        <v>28675548</v>
      </c>
      <c r="F122" s="47"/>
      <c r="G122" s="3" t="s">
        <v>127</v>
      </c>
      <c r="H122" s="13" t="str">
        <f>IFERROR(VLOOKUP(G122, Sheet2!$A:$B, 2, FALSE), A122)</f>
        <v>COMPANIES REGISTRY</v>
      </c>
      <c r="I122" s="6" t="s">
        <v>352</v>
      </c>
      <c r="J122" s="109"/>
      <c r="K122" s="71">
        <v>75155547351</v>
      </c>
      <c r="L122" s="178"/>
      <c r="M122" s="179" t="s">
        <v>1153</v>
      </c>
      <c r="N122" s="95"/>
      <c r="O122" s="90" t="s">
        <v>1154</v>
      </c>
      <c r="P122" s="95" t="s">
        <v>1155</v>
      </c>
      <c r="Q122" s="8">
        <v>44453</v>
      </c>
      <c r="R122" s="8"/>
      <c r="S122" s="8">
        <v>44448</v>
      </c>
      <c r="T122" s="69" t="s">
        <v>1156</v>
      </c>
      <c r="U122" s="3" t="s">
        <v>1157</v>
      </c>
      <c r="V122" s="19" t="s">
        <v>1158</v>
      </c>
      <c r="W122" s="8"/>
      <c r="X122" s="3"/>
      <c r="Y122" s="10" t="s">
        <v>1159</v>
      </c>
      <c r="Z122" s="70" t="s">
        <v>425</v>
      </c>
      <c r="AA122" s="49" t="s">
        <v>1072</v>
      </c>
      <c r="AB122" s="3"/>
      <c r="AC122" s="3"/>
      <c r="AD122" s="3"/>
    </row>
    <row r="123" spans="1:30" ht="29">
      <c r="A123" s="3" t="s">
        <v>350</v>
      </c>
      <c r="B123" s="46"/>
      <c r="C123" s="3"/>
      <c r="D123" s="3" t="s">
        <v>1160</v>
      </c>
      <c r="E123" s="6">
        <v>93014125</v>
      </c>
      <c r="F123" s="47"/>
      <c r="G123" s="3" t="s">
        <v>129</v>
      </c>
      <c r="H123" s="13" t="str">
        <f>IFERROR(VLOOKUP(G123, Sheet2!$A:$B, 2, FALSE), A123)</f>
        <v>CMC PARTNERS LIMITED</v>
      </c>
      <c r="I123" s="6" t="s">
        <v>393</v>
      </c>
      <c r="J123" s="109"/>
      <c r="K123" s="48"/>
      <c r="L123" s="7"/>
      <c r="M123" s="3" t="s">
        <v>1161</v>
      </c>
      <c r="N123" s="3"/>
      <c r="O123" s="7"/>
      <c r="P123" s="3"/>
      <c r="Q123" s="8">
        <v>44453</v>
      </c>
      <c r="R123" s="8"/>
      <c r="S123" s="8">
        <v>44453</v>
      </c>
      <c r="T123" s="3" t="s">
        <v>1162</v>
      </c>
      <c r="U123" s="3" t="s">
        <v>1163</v>
      </c>
      <c r="V123" s="19" t="s">
        <v>1164</v>
      </c>
      <c r="W123" s="8"/>
      <c r="X123" s="3"/>
      <c r="Y123" s="11" t="s">
        <v>1165</v>
      </c>
      <c r="Z123" s="53" t="s">
        <v>425</v>
      </c>
      <c r="AA123" s="8" t="s">
        <v>930</v>
      </c>
      <c r="AB123" s="3"/>
      <c r="AC123" s="3"/>
      <c r="AD123" s="3"/>
    </row>
    <row r="124" spans="1:30" ht="58">
      <c r="A124" s="3" t="s">
        <v>350</v>
      </c>
      <c r="B124" s="46"/>
      <c r="C124" s="3"/>
      <c r="D124" s="3" t="s">
        <v>1166</v>
      </c>
      <c r="E124" s="6">
        <v>93052085</v>
      </c>
      <c r="F124" s="57" t="s">
        <v>1167</v>
      </c>
      <c r="G124" s="3" t="s">
        <v>130</v>
      </c>
      <c r="H124" s="13" t="str">
        <f>IFERROR(VLOOKUP(G124, Sheet2!$A:$B, 2, FALSE), A124)</f>
        <v>WINBULL SECURITIES INT''L (HONG KONG) LTD</v>
      </c>
      <c r="I124" s="6" t="s">
        <v>359</v>
      </c>
      <c r="J124" s="109"/>
      <c r="K124" s="118" t="s">
        <v>1168</v>
      </c>
      <c r="L124" s="7"/>
      <c r="M124" s="11" t="s">
        <v>1169</v>
      </c>
      <c r="N124" s="11"/>
      <c r="O124" s="9" t="s">
        <v>1170</v>
      </c>
      <c r="P124" s="11"/>
      <c r="Q124" s="8">
        <v>44454</v>
      </c>
      <c r="R124" s="8"/>
      <c r="S124" s="8">
        <v>44453</v>
      </c>
      <c r="T124" s="3" t="s">
        <v>1171</v>
      </c>
      <c r="U124" s="49" t="s">
        <v>1172</v>
      </c>
      <c r="V124" s="19" t="s">
        <v>1173</v>
      </c>
      <c r="W124" s="8"/>
      <c r="X124" s="49"/>
      <c r="Y124" s="15" t="s">
        <v>1174</v>
      </c>
      <c r="Z124" s="53" t="s">
        <v>425</v>
      </c>
      <c r="AA124" s="8" t="s">
        <v>930</v>
      </c>
      <c r="AB124" s="3"/>
      <c r="AC124" s="3"/>
      <c r="AD124" s="3"/>
    </row>
    <row r="125" spans="1:30" ht="140">
      <c r="A125" s="3" t="s">
        <v>350</v>
      </c>
      <c r="B125" s="46"/>
      <c r="C125" s="3"/>
      <c r="D125" s="5" t="s">
        <v>1118</v>
      </c>
      <c r="E125" s="58" t="s">
        <v>1119</v>
      </c>
      <c r="F125" s="57"/>
      <c r="G125" s="13" t="s">
        <v>43</v>
      </c>
      <c r="H125" s="13" t="str">
        <f>IFERROR(VLOOKUP(G125, Sheet2!$A:$B, 2, FALSE), A125)</f>
        <v>CHOW TAI FOOK JEWELLERY CO LTD</v>
      </c>
      <c r="I125" s="6" t="s">
        <v>352</v>
      </c>
      <c r="J125" s="100" t="s">
        <v>609</v>
      </c>
      <c r="K125" s="71" t="s">
        <v>1175</v>
      </c>
      <c r="L125" s="120"/>
      <c r="M125" s="180" t="s">
        <v>1176</v>
      </c>
      <c r="N125" s="95"/>
      <c r="O125" s="7"/>
      <c r="P125" s="95"/>
      <c r="Q125" s="8">
        <v>44467</v>
      </c>
      <c r="R125" s="8"/>
      <c r="S125" s="8">
        <v>44624</v>
      </c>
      <c r="T125" s="69" t="s">
        <v>1177</v>
      </c>
      <c r="U125" s="8" t="s">
        <v>1178</v>
      </c>
      <c r="V125" s="19" t="s">
        <v>1179</v>
      </c>
      <c r="W125" s="8"/>
      <c r="X125" s="8"/>
      <c r="Y125" s="144" t="s">
        <v>1180</v>
      </c>
      <c r="Z125" s="53" t="s">
        <v>489</v>
      </c>
      <c r="AA125" s="7" t="s">
        <v>1079</v>
      </c>
      <c r="AB125" s="3"/>
      <c r="AC125" s="3"/>
      <c r="AD125" s="3"/>
    </row>
    <row r="126" spans="1:30" ht="72.5">
      <c r="A126" s="3" t="s">
        <v>350</v>
      </c>
      <c r="B126" s="46"/>
      <c r="C126" s="3"/>
      <c r="D126" s="5" t="s">
        <v>1118</v>
      </c>
      <c r="E126" s="58" t="s">
        <v>1119</v>
      </c>
      <c r="F126" s="57"/>
      <c r="G126" s="13" t="s">
        <v>43</v>
      </c>
      <c r="H126" s="13" t="str">
        <f>IFERROR(VLOOKUP(G126, Sheet2!$A:$B, 2, FALSE), A126)</f>
        <v>CHOW TAI FOOK JEWELLERY CO LTD</v>
      </c>
      <c r="I126" s="6" t="s">
        <v>352</v>
      </c>
      <c r="J126" s="100" t="s">
        <v>609</v>
      </c>
      <c r="K126" s="109" t="s">
        <v>1181</v>
      </c>
      <c r="L126" s="142" t="s">
        <v>1182</v>
      </c>
      <c r="M126" s="180" t="s">
        <v>1183</v>
      </c>
      <c r="N126" s="95"/>
      <c r="O126" s="7"/>
      <c r="P126" s="95"/>
      <c r="Q126" s="8">
        <v>44494</v>
      </c>
      <c r="R126" s="8"/>
      <c r="S126" s="8"/>
      <c r="T126" s="69" t="s">
        <v>1184</v>
      </c>
      <c r="U126" s="69" t="s">
        <v>1185</v>
      </c>
      <c r="V126" s="19" t="s">
        <v>1186</v>
      </c>
      <c r="W126" s="8"/>
      <c r="X126" s="69"/>
      <c r="Y126" s="15" t="s">
        <v>1187</v>
      </c>
      <c r="Z126" s="53" t="s">
        <v>425</v>
      </c>
      <c r="AA126" s="7" t="s">
        <v>1079</v>
      </c>
      <c r="AB126" s="3"/>
      <c r="AC126" s="3" t="s">
        <v>1080</v>
      </c>
      <c r="AD126" s="3"/>
    </row>
    <row r="127" spans="1:30" ht="72.5">
      <c r="A127" s="3" t="s">
        <v>350</v>
      </c>
      <c r="B127" s="46"/>
      <c r="C127" s="3"/>
      <c r="D127" s="5" t="s">
        <v>1118</v>
      </c>
      <c r="E127" s="58" t="s">
        <v>1119</v>
      </c>
      <c r="F127" s="57"/>
      <c r="G127" s="13" t="s">
        <v>43</v>
      </c>
      <c r="H127" s="13" t="str">
        <f>IFERROR(VLOOKUP(G127, Sheet2!$A:$B, 2, FALSE), A127)</f>
        <v>CHOW TAI FOOK JEWELLERY CO LTD</v>
      </c>
      <c r="I127" s="6" t="s">
        <v>352</v>
      </c>
      <c r="J127" s="100" t="s">
        <v>609</v>
      </c>
      <c r="K127" s="109" t="s">
        <v>1188</v>
      </c>
      <c r="L127" s="99" t="s">
        <v>1189</v>
      </c>
      <c r="M127" s="95" t="s">
        <v>1190</v>
      </c>
      <c r="N127" s="95"/>
      <c r="O127" s="7"/>
      <c r="P127" s="95"/>
      <c r="Q127" s="8">
        <v>44494</v>
      </c>
      <c r="R127" s="8"/>
      <c r="S127" s="8"/>
      <c r="T127" s="69" t="s">
        <v>1191</v>
      </c>
      <c r="U127" s="69" t="s">
        <v>1185</v>
      </c>
      <c r="V127" s="19" t="s">
        <v>1192</v>
      </c>
      <c r="W127" s="8"/>
      <c r="X127" s="69"/>
      <c r="Y127" s="15" t="s">
        <v>1187</v>
      </c>
      <c r="Z127" s="53" t="s">
        <v>425</v>
      </c>
      <c r="AA127" s="7" t="s">
        <v>1079</v>
      </c>
      <c r="AB127" s="3"/>
      <c r="AC127" s="3" t="s">
        <v>1080</v>
      </c>
      <c r="AD127" s="3"/>
    </row>
    <row r="128" spans="1:30" ht="87">
      <c r="A128" s="3" t="s">
        <v>350</v>
      </c>
      <c r="B128" s="46"/>
      <c r="C128" s="3"/>
      <c r="D128" s="5" t="s">
        <v>1118</v>
      </c>
      <c r="E128" s="58" t="s">
        <v>1119</v>
      </c>
      <c r="F128" s="57"/>
      <c r="G128" s="13" t="s">
        <v>43</v>
      </c>
      <c r="H128" s="13" t="str">
        <f>IFERROR(VLOOKUP(G128, Sheet2!$A:$B, 2, FALSE), A128)</f>
        <v>CHOW TAI FOOK JEWELLERY CO LTD</v>
      </c>
      <c r="I128" s="6" t="s">
        <v>352</v>
      </c>
      <c r="J128" s="100" t="s">
        <v>609</v>
      </c>
      <c r="K128" s="48" t="s">
        <v>1193</v>
      </c>
      <c r="L128" s="99" t="s">
        <v>1194</v>
      </c>
      <c r="M128" s="95" t="s">
        <v>1195</v>
      </c>
      <c r="N128" s="95"/>
      <c r="O128" s="7"/>
      <c r="P128" s="95"/>
      <c r="Q128" s="8">
        <v>44494</v>
      </c>
      <c r="R128" s="8"/>
      <c r="S128" s="8"/>
      <c r="T128" s="69" t="s">
        <v>1196</v>
      </c>
      <c r="U128" s="69" t="s">
        <v>1185</v>
      </c>
      <c r="V128" s="19" t="s">
        <v>1197</v>
      </c>
      <c r="W128" s="8"/>
      <c r="X128" s="69"/>
      <c r="Y128" s="15" t="s">
        <v>1198</v>
      </c>
      <c r="Z128" s="53" t="s">
        <v>425</v>
      </c>
      <c r="AA128" s="7" t="s">
        <v>1079</v>
      </c>
      <c r="AB128" s="3"/>
      <c r="AC128" s="3" t="s">
        <v>1080</v>
      </c>
      <c r="AD128" s="3"/>
    </row>
    <row r="129" spans="1:30" ht="73.5">
      <c r="A129" s="3" t="s">
        <v>515</v>
      </c>
      <c r="B129" s="46"/>
      <c r="C129" s="3"/>
      <c r="D129" s="5" t="s">
        <v>1118</v>
      </c>
      <c r="E129" s="58" t="s">
        <v>1119</v>
      </c>
      <c r="F129" s="57"/>
      <c r="G129" s="13" t="s">
        <v>43</v>
      </c>
      <c r="H129" s="13" t="str">
        <f>IFERROR(VLOOKUP(G129, Sheet2!$A:$B, 2, FALSE), A129)</f>
        <v>CHOW TAI FOOK JEWELLERY CO LTD</v>
      </c>
      <c r="I129" s="6" t="s">
        <v>483</v>
      </c>
      <c r="J129" s="109"/>
      <c r="K129" s="48"/>
      <c r="L129" s="120"/>
      <c r="M129" s="3"/>
      <c r="N129" s="3"/>
      <c r="O129" s="7"/>
      <c r="P129" s="3"/>
      <c r="Q129" s="8">
        <v>44495</v>
      </c>
      <c r="R129" s="8"/>
      <c r="S129" s="8"/>
      <c r="T129" s="8" t="s">
        <v>1199</v>
      </c>
      <c r="U129" s="8" t="s">
        <v>1200</v>
      </c>
      <c r="V129" s="19" t="s">
        <v>1201</v>
      </c>
      <c r="W129" s="8"/>
      <c r="X129" s="8"/>
      <c r="Y129" s="15" t="s">
        <v>1202</v>
      </c>
      <c r="Z129" s="53" t="s">
        <v>489</v>
      </c>
      <c r="AA129" s="7" t="s">
        <v>1079</v>
      </c>
      <c r="AB129" s="3"/>
      <c r="AC129" s="3"/>
      <c r="AD129" s="3"/>
    </row>
    <row r="130" spans="1:30" ht="130.5">
      <c r="A130" s="3" t="s">
        <v>350</v>
      </c>
      <c r="B130" s="46"/>
      <c r="C130" s="3"/>
      <c r="D130" s="3" t="s">
        <v>1203</v>
      </c>
      <c r="E130" s="6" t="s">
        <v>1204</v>
      </c>
      <c r="F130" s="47"/>
      <c r="G130" s="3" t="s">
        <v>132</v>
      </c>
      <c r="H130" s="13" t="str">
        <f>IFERROR(VLOOKUP(G130, Sheet2!$A:$B, 2, FALSE), A130)</f>
        <v>SHANGHAI COMMERCIAL BANK LTD</v>
      </c>
      <c r="I130" s="6" t="s">
        <v>352</v>
      </c>
      <c r="J130" s="109"/>
      <c r="K130" s="109"/>
      <c r="L130" s="120"/>
      <c r="M130" s="15" t="s">
        <v>1205</v>
      </c>
      <c r="N130" s="15"/>
      <c r="O130" s="7"/>
      <c r="P130" s="15"/>
      <c r="Q130" s="8">
        <v>44497</v>
      </c>
      <c r="R130" s="8"/>
      <c r="S130" s="8">
        <v>44676</v>
      </c>
      <c r="T130" s="3" t="s">
        <v>1206</v>
      </c>
      <c r="U130" s="49" t="s">
        <v>1207</v>
      </c>
      <c r="V130" s="19" t="s">
        <v>1208</v>
      </c>
      <c r="W130" s="8"/>
      <c r="X130" s="49"/>
      <c r="Y130" s="15" t="s">
        <v>1209</v>
      </c>
      <c r="Z130" s="50" t="s">
        <v>489</v>
      </c>
      <c r="AA130" s="7" t="s">
        <v>1079</v>
      </c>
      <c r="AB130" s="3"/>
      <c r="AC130" s="3"/>
      <c r="AD130" s="3"/>
    </row>
    <row r="131" spans="1:30" ht="73">
      <c r="A131" s="8" t="s">
        <v>350</v>
      </c>
      <c r="B131" s="46"/>
      <c r="C131" s="3"/>
      <c r="D131" s="8" t="s">
        <v>449</v>
      </c>
      <c r="E131" s="6" t="s">
        <v>450</v>
      </c>
      <c r="F131" s="74" t="s">
        <v>451</v>
      </c>
      <c r="G131" s="8" t="s">
        <v>133</v>
      </c>
      <c r="H131" s="13" t="str">
        <f>IFERROR(VLOOKUP(G131, Sheet2!$A:$B, 2, FALSE), A131)</f>
        <v>LEVER STYLE LIMITED</v>
      </c>
      <c r="I131" s="6" t="s">
        <v>359</v>
      </c>
      <c r="J131" s="109"/>
      <c r="K131" s="83"/>
      <c r="L131" s="120"/>
      <c r="M131" s="11" t="s">
        <v>1210</v>
      </c>
      <c r="N131" s="11"/>
      <c r="O131" s="7"/>
      <c r="P131" s="11"/>
      <c r="Q131" s="8">
        <v>44503</v>
      </c>
      <c r="R131" s="8"/>
      <c r="S131" s="8">
        <v>44497</v>
      </c>
      <c r="T131" s="8" t="s">
        <v>1211</v>
      </c>
      <c r="U131" s="8" t="s">
        <v>1212</v>
      </c>
      <c r="V131" s="19" t="s">
        <v>1213</v>
      </c>
      <c r="W131" s="8"/>
      <c r="X131" s="8"/>
      <c r="Y131" s="90" t="s">
        <v>1214</v>
      </c>
      <c r="Z131" s="53"/>
      <c r="AA131" s="8"/>
      <c r="AB131" s="3"/>
      <c r="AC131" s="3"/>
      <c r="AD131" s="3"/>
    </row>
    <row r="132" spans="1:30" ht="72.5">
      <c r="A132" s="3" t="s">
        <v>350</v>
      </c>
      <c r="B132" s="46"/>
      <c r="C132" s="3"/>
      <c r="D132" s="5" t="s">
        <v>1118</v>
      </c>
      <c r="E132" s="58" t="s">
        <v>1119</v>
      </c>
      <c r="F132" s="57"/>
      <c r="G132" s="13" t="s">
        <v>43</v>
      </c>
      <c r="H132" s="13" t="str">
        <f>IFERROR(VLOOKUP(G132, Sheet2!$A:$B, 2, FALSE), A132)</f>
        <v>CHOW TAI FOOK JEWELLERY CO LTD</v>
      </c>
      <c r="I132" s="6" t="s">
        <v>352</v>
      </c>
      <c r="J132" s="100" t="s">
        <v>609</v>
      </c>
      <c r="K132" s="79"/>
      <c r="L132" s="120"/>
      <c r="M132" s="3"/>
      <c r="N132" s="3"/>
      <c r="O132" s="7"/>
      <c r="P132" s="3"/>
      <c r="Q132" s="8">
        <v>44503</v>
      </c>
      <c r="R132" s="8"/>
      <c r="S132" s="8"/>
      <c r="T132" s="3" t="s">
        <v>619</v>
      </c>
      <c r="U132" s="49" t="s">
        <v>1215</v>
      </c>
      <c r="V132" s="19" t="s">
        <v>1216</v>
      </c>
      <c r="W132" s="8"/>
      <c r="X132" s="49"/>
      <c r="Y132" s="124" t="s">
        <v>1217</v>
      </c>
      <c r="Z132" s="53" t="s">
        <v>489</v>
      </c>
      <c r="AA132" s="7" t="s">
        <v>1079</v>
      </c>
      <c r="AB132" s="3"/>
      <c r="AC132" s="3"/>
      <c r="AD132" s="3"/>
    </row>
    <row r="133" spans="1:30" ht="58">
      <c r="A133" s="8" t="s">
        <v>730</v>
      </c>
      <c r="B133" s="46"/>
      <c r="C133" s="3"/>
      <c r="D133" s="8" t="s">
        <v>1218</v>
      </c>
      <c r="E133" s="6" t="s">
        <v>1219</v>
      </c>
      <c r="F133" s="47"/>
      <c r="G133" s="8" t="s">
        <v>134</v>
      </c>
      <c r="H133" s="13" t="str">
        <f>IFERROR(VLOOKUP(G133, Sheet2!$A:$B, 2, FALSE), A133)</f>
        <v>EPOQUE CO. LIMITED</v>
      </c>
      <c r="I133" s="6" t="s">
        <v>352</v>
      </c>
      <c r="J133" s="109"/>
      <c r="K133" s="79"/>
      <c r="L133" s="120"/>
      <c r="M133" s="11" t="s">
        <v>1220</v>
      </c>
      <c r="N133" s="11"/>
      <c r="O133" s="7"/>
      <c r="P133" s="11"/>
      <c r="Q133" s="8">
        <v>44503</v>
      </c>
      <c r="R133" s="8"/>
      <c r="S133" s="8"/>
      <c r="T133" s="8" t="s">
        <v>1221</v>
      </c>
      <c r="U133" s="13" t="s">
        <v>1222</v>
      </c>
      <c r="V133" s="19" t="s">
        <v>1223</v>
      </c>
      <c r="W133" s="8"/>
      <c r="X133" s="13"/>
      <c r="Y133" s="56" t="s">
        <v>1224</v>
      </c>
      <c r="Z133" s="53" t="s">
        <v>425</v>
      </c>
      <c r="AA133" s="8" t="s">
        <v>930</v>
      </c>
      <c r="AB133" s="8"/>
      <c r="AC133" s="8"/>
      <c r="AD133" s="3"/>
    </row>
    <row r="134" spans="1:30" ht="87.5">
      <c r="A134" s="3" t="s">
        <v>883</v>
      </c>
      <c r="B134" s="46"/>
      <c r="C134" s="3"/>
      <c r="D134" s="5" t="s">
        <v>1118</v>
      </c>
      <c r="E134" s="58" t="s">
        <v>1119</v>
      </c>
      <c r="F134" s="57"/>
      <c r="G134" s="13" t="s">
        <v>43</v>
      </c>
      <c r="H134" s="13" t="str">
        <f>IFERROR(VLOOKUP(G134, Sheet2!$A:$B, 2, FALSE), A134)</f>
        <v>CHOW TAI FOOK JEWELLERY CO LTD</v>
      </c>
      <c r="I134" s="6" t="s">
        <v>352</v>
      </c>
      <c r="J134" s="100" t="s">
        <v>609</v>
      </c>
      <c r="K134" s="79"/>
      <c r="L134" s="120"/>
      <c r="M134" s="3"/>
      <c r="N134" s="3"/>
      <c r="O134" s="7"/>
      <c r="P134" s="3"/>
      <c r="Q134" s="8">
        <v>44508</v>
      </c>
      <c r="R134" s="8"/>
      <c r="S134" s="8"/>
      <c r="T134" s="3" t="s">
        <v>612</v>
      </c>
      <c r="U134" s="3" t="s">
        <v>1225</v>
      </c>
      <c r="V134" s="19" t="s">
        <v>1226</v>
      </c>
      <c r="W134" s="8"/>
      <c r="X134" s="3"/>
      <c r="Y134" s="144" t="s">
        <v>1227</v>
      </c>
      <c r="Z134" s="53" t="s">
        <v>489</v>
      </c>
      <c r="AA134" s="7" t="s">
        <v>1079</v>
      </c>
      <c r="AB134" s="3"/>
      <c r="AC134" s="3"/>
      <c r="AD134" s="3"/>
    </row>
    <row r="135" spans="1:30" ht="102">
      <c r="A135" s="13" t="s">
        <v>350</v>
      </c>
      <c r="B135" s="46"/>
      <c r="C135" s="3"/>
      <c r="D135" s="3" t="s">
        <v>1228</v>
      </c>
      <c r="E135" s="6" t="s">
        <v>1229</v>
      </c>
      <c r="F135" s="57" t="s">
        <v>1230</v>
      </c>
      <c r="G135" s="3" t="s">
        <v>135</v>
      </c>
      <c r="H135" s="13" t="str">
        <f>IFERROR(VLOOKUP(G135, Sheet2!$A:$B, 2, FALSE), A135)</f>
        <v>WAH SUM ELECTRICAL ENGRG SUPPLIES LTD</v>
      </c>
      <c r="I135" s="6" t="s">
        <v>359</v>
      </c>
      <c r="J135" s="109"/>
      <c r="K135" s="48"/>
      <c r="L135" s="120"/>
      <c r="M135" s="11" t="s">
        <v>1231</v>
      </c>
      <c r="N135" s="11"/>
      <c r="O135" s="11"/>
      <c r="P135" s="11"/>
      <c r="Q135" s="8">
        <v>44515</v>
      </c>
      <c r="R135" s="8"/>
      <c r="S135" s="8">
        <v>44523</v>
      </c>
      <c r="T135" s="3" t="s">
        <v>1232</v>
      </c>
      <c r="U135" s="49" t="s">
        <v>1233</v>
      </c>
      <c r="V135" s="19" t="s">
        <v>1234</v>
      </c>
      <c r="W135" s="8"/>
      <c r="X135" s="49"/>
      <c r="Y135" s="15" t="s">
        <v>1235</v>
      </c>
      <c r="Z135" s="53" t="s">
        <v>365</v>
      </c>
      <c r="AA135" s="3" t="s">
        <v>1048</v>
      </c>
      <c r="AB135" s="3"/>
      <c r="AC135" s="3"/>
      <c r="AD135" s="3"/>
    </row>
    <row r="136" spans="1:30" ht="43.5">
      <c r="A136" s="13" t="s">
        <v>350</v>
      </c>
      <c r="B136" s="46"/>
      <c r="C136" s="3"/>
      <c r="D136" s="5" t="s">
        <v>800</v>
      </c>
      <c r="E136" s="6">
        <v>96742005</v>
      </c>
      <c r="F136" s="47"/>
      <c r="G136" s="3" t="s">
        <v>73</v>
      </c>
      <c r="H136" s="13" t="str">
        <f>IFERROR(VLOOKUP(G136, Sheet2!$A:$B, 2, FALSE), A136)</f>
        <v>DDAAPP LIMITED</v>
      </c>
      <c r="I136" s="6" t="s">
        <v>410</v>
      </c>
      <c r="J136" s="109"/>
      <c r="K136" s="48"/>
      <c r="L136" s="120"/>
      <c r="M136" s="3" t="s">
        <v>1236</v>
      </c>
      <c r="N136" s="3"/>
      <c r="O136" s="11"/>
      <c r="P136" s="3"/>
      <c r="Q136" s="8">
        <v>44506</v>
      </c>
      <c r="R136" s="8"/>
      <c r="S136" s="8">
        <v>44512</v>
      </c>
      <c r="T136" s="3" t="s">
        <v>1237</v>
      </c>
      <c r="U136" s="49" t="s">
        <v>1238</v>
      </c>
      <c r="V136" s="19" t="s">
        <v>1239</v>
      </c>
      <c r="W136" s="8"/>
      <c r="X136" s="49"/>
      <c r="Y136" s="15" t="s">
        <v>1240</v>
      </c>
      <c r="Z136" s="53" t="s">
        <v>425</v>
      </c>
      <c r="AA136" s="3" t="s">
        <v>1048</v>
      </c>
      <c r="AB136" s="3"/>
      <c r="AC136" s="3"/>
      <c r="AD136" s="3"/>
    </row>
    <row r="137" spans="1:30" ht="130.5">
      <c r="A137" s="3" t="s">
        <v>350</v>
      </c>
      <c r="B137" s="46"/>
      <c r="C137" s="3"/>
      <c r="D137" s="3" t="s">
        <v>1241</v>
      </c>
      <c r="E137" s="6">
        <v>22131323</v>
      </c>
      <c r="F137" s="57" t="s">
        <v>1242</v>
      </c>
      <c r="G137" s="11" t="s">
        <v>137</v>
      </c>
      <c r="H137" s="13" t="str">
        <f>IFERROR(VLOOKUP(G137, Sheet2!$A:$B, 2, FALSE), A137)</f>
        <v>SDIC SECURITIES INT'L FINANCIAL HOLDINGS LIMITED</v>
      </c>
      <c r="I137" s="6" t="s">
        <v>359</v>
      </c>
      <c r="J137" s="109"/>
      <c r="K137" s="48"/>
      <c r="L137" s="120"/>
      <c r="M137" s="11" t="s">
        <v>1243</v>
      </c>
      <c r="N137" s="11"/>
      <c r="O137" s="7"/>
      <c r="P137" s="11"/>
      <c r="Q137" s="8">
        <v>44523</v>
      </c>
      <c r="R137" s="8"/>
      <c r="S137" s="8">
        <v>44524</v>
      </c>
      <c r="T137" s="8" t="s">
        <v>1244</v>
      </c>
      <c r="U137" s="7" t="s">
        <v>1245</v>
      </c>
      <c r="V137" s="19" t="s">
        <v>1246</v>
      </c>
      <c r="W137" s="8"/>
      <c r="X137" s="8"/>
      <c r="Y137" s="15" t="s">
        <v>1247</v>
      </c>
      <c r="Z137" s="53" t="s">
        <v>365</v>
      </c>
      <c r="AA137" s="8" t="s">
        <v>1048</v>
      </c>
      <c r="AB137" s="3" t="s">
        <v>1248</v>
      </c>
      <c r="AC137" s="3" t="s">
        <v>1249</v>
      </c>
      <c r="AD137" s="11" t="s">
        <v>1250</v>
      </c>
    </row>
    <row r="138" spans="1:30" ht="73">
      <c r="A138" s="103" t="s">
        <v>350</v>
      </c>
      <c r="B138" s="46"/>
      <c r="C138" s="3"/>
      <c r="D138" s="8" t="s">
        <v>1251</v>
      </c>
      <c r="E138" s="6">
        <v>28838839</v>
      </c>
      <c r="F138" s="47"/>
      <c r="G138" s="8" t="s">
        <v>139</v>
      </c>
      <c r="H138" s="13" t="str">
        <f>IFERROR(VLOOKUP(G138, Sheet2!$A:$B, 2, FALSE), A138)</f>
        <v>CSL CCAI Project HKT internal</v>
      </c>
      <c r="I138" s="6" t="s">
        <v>410</v>
      </c>
      <c r="J138" s="109"/>
      <c r="K138" s="48"/>
      <c r="L138" s="120"/>
      <c r="M138" s="3" t="s">
        <v>1252</v>
      </c>
      <c r="N138" s="3"/>
      <c r="O138" s="7"/>
      <c r="P138" s="3"/>
      <c r="Q138" s="8">
        <v>44522</v>
      </c>
      <c r="R138" s="8"/>
      <c r="S138" s="8">
        <v>44530</v>
      </c>
      <c r="T138" s="3" t="s">
        <v>1253</v>
      </c>
      <c r="U138" s="3" t="s">
        <v>1254</v>
      </c>
      <c r="V138" s="19" t="s">
        <v>1255</v>
      </c>
      <c r="W138" s="8"/>
      <c r="X138" s="3"/>
      <c r="Y138" s="9" t="s">
        <v>1256</v>
      </c>
      <c r="Z138" s="53" t="s">
        <v>425</v>
      </c>
      <c r="AA138" s="8" t="s">
        <v>1048</v>
      </c>
      <c r="AB138" s="3"/>
      <c r="AC138" s="3"/>
      <c r="AD138" s="3"/>
    </row>
    <row r="139" spans="1:30" ht="116.5">
      <c r="A139" s="8" t="s">
        <v>350</v>
      </c>
      <c r="B139" s="46"/>
      <c r="C139" s="3"/>
      <c r="D139" s="8" t="s">
        <v>1257</v>
      </c>
      <c r="E139" s="6">
        <v>22776687</v>
      </c>
      <c r="F139" s="57" t="s">
        <v>1258</v>
      </c>
      <c r="G139" s="8" t="s">
        <v>111</v>
      </c>
      <c r="H139" s="13" t="str">
        <f>IFERROR(VLOOKUP(G139, Sheet2!$A:$B, 2, FALSE), A139)</f>
        <v>PHILLIP SECURITIES (HK) LTD</v>
      </c>
      <c r="I139" s="6" t="s">
        <v>359</v>
      </c>
      <c r="J139" s="109"/>
      <c r="K139" s="83"/>
      <c r="L139" s="120"/>
      <c r="M139" s="124" t="s">
        <v>1259</v>
      </c>
      <c r="N139" s="15"/>
      <c r="O139" s="7"/>
      <c r="P139" s="15"/>
      <c r="Q139" s="8">
        <v>44526</v>
      </c>
      <c r="R139" s="8"/>
      <c r="S139" s="8">
        <v>44526</v>
      </c>
      <c r="T139" s="8" t="s">
        <v>1260</v>
      </c>
      <c r="U139" s="8" t="s">
        <v>1261</v>
      </c>
      <c r="V139" s="19" t="s">
        <v>1262</v>
      </c>
      <c r="W139" s="8"/>
      <c r="X139" s="8"/>
      <c r="Y139" s="90" t="s">
        <v>1263</v>
      </c>
      <c r="Z139" s="53" t="s">
        <v>365</v>
      </c>
      <c r="AA139" s="8" t="s">
        <v>1264</v>
      </c>
      <c r="AB139" s="3"/>
      <c r="AC139" s="3"/>
      <c r="AD139" s="3"/>
    </row>
    <row r="140" spans="1:30" ht="88">
      <c r="A140" s="103" t="s">
        <v>350</v>
      </c>
      <c r="B140" s="46"/>
      <c r="C140" s="3"/>
      <c r="D140" s="5" t="s">
        <v>1265</v>
      </c>
      <c r="E140" s="58">
        <v>98431568</v>
      </c>
      <c r="F140" s="57"/>
      <c r="G140" s="16" t="s">
        <v>141</v>
      </c>
      <c r="H140" s="13" t="str">
        <f>IFERROR(VLOOKUP(G140, Sheet2!$A:$B, 2, FALSE), A140)</f>
        <v>CAM 8 AWS account for HKT LDA Team 
(AWS EDP Account)</v>
      </c>
      <c r="I140" s="6" t="s">
        <v>352</v>
      </c>
      <c r="J140" s="109"/>
      <c r="K140" s="109" t="s">
        <v>1266</v>
      </c>
      <c r="L140" s="120"/>
      <c r="M140" s="16" t="s">
        <v>1267</v>
      </c>
      <c r="N140" s="16"/>
      <c r="O140" s="7"/>
      <c r="P140" s="16"/>
      <c r="Q140" s="64">
        <v>44531</v>
      </c>
      <c r="R140" s="8"/>
      <c r="S140" s="8">
        <v>44530</v>
      </c>
      <c r="T140" s="85" t="s">
        <v>1268</v>
      </c>
      <c r="U140" s="69" t="s">
        <v>1269</v>
      </c>
      <c r="V140" s="119">
        <v>102963</v>
      </c>
      <c r="W140" s="8"/>
      <c r="X140" s="69"/>
      <c r="Y140" s="15" t="s">
        <v>1270</v>
      </c>
      <c r="Z140" s="53" t="s">
        <v>365</v>
      </c>
      <c r="AA140" s="8" t="s">
        <v>1048</v>
      </c>
      <c r="AB140" s="3"/>
      <c r="AC140" s="3"/>
      <c r="AD140" s="3"/>
    </row>
    <row r="141" spans="1:30" ht="72.5">
      <c r="A141" s="8" t="s">
        <v>350</v>
      </c>
      <c r="B141" s="46"/>
      <c r="C141" s="3"/>
      <c r="D141" s="5" t="s">
        <v>1118</v>
      </c>
      <c r="E141" s="58" t="s">
        <v>1119</v>
      </c>
      <c r="F141" s="57"/>
      <c r="G141" s="13" t="s">
        <v>43</v>
      </c>
      <c r="H141" s="13" t="str">
        <f>IFERROR(VLOOKUP(G141, Sheet2!$A:$B, 2, FALSE), A141)</f>
        <v>CHOW TAI FOOK JEWELLERY CO LTD</v>
      </c>
      <c r="I141" s="6" t="s">
        <v>352</v>
      </c>
      <c r="J141" s="109">
        <v>726125834629</v>
      </c>
      <c r="K141" s="19"/>
      <c r="L141" s="120"/>
      <c r="M141" s="95" t="s">
        <v>1271</v>
      </c>
      <c r="N141" s="95"/>
      <c r="O141" s="7"/>
      <c r="P141" s="95"/>
      <c r="Q141" s="8">
        <v>44546</v>
      </c>
      <c r="R141" s="8"/>
      <c r="S141" s="8">
        <v>44544</v>
      </c>
      <c r="T141" s="3" t="s">
        <v>1272</v>
      </c>
      <c r="U141" s="3" t="s">
        <v>1273</v>
      </c>
      <c r="V141" s="19">
        <v>102974</v>
      </c>
      <c r="W141" s="8"/>
      <c r="X141" s="3"/>
      <c r="Y141" s="7" t="s">
        <v>1274</v>
      </c>
      <c r="Z141" s="53" t="s">
        <v>425</v>
      </c>
      <c r="AA141" s="8" t="s">
        <v>930</v>
      </c>
      <c r="AB141" s="3"/>
      <c r="AC141" s="3"/>
      <c r="AD141" s="3"/>
    </row>
    <row r="142" spans="1:30" ht="87">
      <c r="A142" s="8" t="s">
        <v>350</v>
      </c>
      <c r="B142" s="46"/>
      <c r="C142" s="3"/>
      <c r="D142" s="8" t="s">
        <v>975</v>
      </c>
      <c r="E142" s="6" t="s">
        <v>1275</v>
      </c>
      <c r="F142" s="47"/>
      <c r="G142" s="7" t="s">
        <v>143</v>
      </c>
      <c r="H142" s="13" t="str">
        <f>IFERROR(VLOOKUP(G142, Sheet2!$A:$B, 2, FALSE), A142)</f>
        <v>CAM 8 Google Cloud account for HKT Teleservices Team ( Name in Cloud Platform : HKT Teleservices Team HKT Internal )</v>
      </c>
      <c r="I142" s="6" t="s">
        <v>410</v>
      </c>
      <c r="J142" s="109" t="s">
        <v>1276</v>
      </c>
      <c r="K142" s="48"/>
      <c r="L142" s="120"/>
      <c r="M142" s="11"/>
      <c r="N142" s="11"/>
      <c r="O142" s="7"/>
      <c r="P142" s="11"/>
      <c r="Q142" s="8">
        <v>44665</v>
      </c>
      <c r="R142" s="8"/>
      <c r="S142" s="8">
        <v>44544</v>
      </c>
      <c r="T142" s="8" t="s">
        <v>1277</v>
      </c>
      <c r="U142" s="19">
        <v>116219</v>
      </c>
      <c r="V142" s="19" t="s">
        <v>1278</v>
      </c>
      <c r="W142" s="8"/>
      <c r="X142" s="19"/>
      <c r="Y142" s="9" t="s">
        <v>1279</v>
      </c>
      <c r="Z142" s="53" t="s">
        <v>425</v>
      </c>
      <c r="AA142" s="8" t="s">
        <v>930</v>
      </c>
      <c r="AB142" s="8"/>
      <c r="AC142" s="8"/>
      <c r="AD142" s="3"/>
    </row>
    <row r="143" spans="1:30" ht="87.5">
      <c r="A143" s="8" t="s">
        <v>350</v>
      </c>
      <c r="B143" s="46"/>
      <c r="C143" s="3"/>
      <c r="D143" s="8" t="s">
        <v>1280</v>
      </c>
      <c r="E143" s="181"/>
      <c r="F143" s="182" t="s">
        <v>1281</v>
      </c>
      <c r="G143" s="8" t="s">
        <v>145</v>
      </c>
      <c r="H143" s="13" t="str">
        <f>IFERROR(VLOOKUP(G143, Sheet2!$A:$B, 2, FALSE), A143)</f>
        <v>INFINITE FINANCIAL SOLUTIONS LTD</v>
      </c>
      <c r="I143" s="6" t="s">
        <v>352</v>
      </c>
      <c r="J143" s="109"/>
      <c r="K143" s="109" t="s">
        <v>1282</v>
      </c>
      <c r="L143" s="120"/>
      <c r="M143" s="11" t="s">
        <v>1283</v>
      </c>
      <c r="N143" s="11"/>
      <c r="O143" s="7"/>
      <c r="P143" s="11"/>
      <c r="Q143" s="8">
        <v>44544</v>
      </c>
      <c r="R143" s="8"/>
      <c r="S143" s="8">
        <v>44545</v>
      </c>
      <c r="T143" s="8" t="s">
        <v>1284</v>
      </c>
      <c r="U143" s="8" t="s">
        <v>1285</v>
      </c>
      <c r="V143" s="19" t="s">
        <v>1286</v>
      </c>
      <c r="W143" s="8"/>
      <c r="X143" s="8"/>
      <c r="Y143" s="90" t="s">
        <v>1287</v>
      </c>
      <c r="Z143" s="53" t="s">
        <v>425</v>
      </c>
      <c r="AA143" s="8" t="s">
        <v>1072</v>
      </c>
      <c r="AB143" s="3"/>
      <c r="AC143" s="3"/>
      <c r="AD143" s="3"/>
    </row>
    <row r="144" spans="1:30" ht="43.5">
      <c r="A144" s="8" t="s">
        <v>350</v>
      </c>
      <c r="B144" s="46"/>
      <c r="C144" s="3"/>
      <c r="D144" s="5" t="s">
        <v>1288</v>
      </c>
      <c r="E144" s="58" t="s">
        <v>1289</v>
      </c>
      <c r="F144" s="57"/>
      <c r="G144" s="3" t="s">
        <v>117</v>
      </c>
      <c r="H144" s="13" t="str">
        <f>IFERROR(VLOOKUP(G144, Sheet2!$A:$B, 2, FALSE), A144)</f>
        <v>TASTE OF ASIA GROUP LTD</v>
      </c>
      <c r="I144" s="6" t="s">
        <v>393</v>
      </c>
      <c r="J144" s="109"/>
      <c r="K144" s="79"/>
      <c r="L144" s="120"/>
      <c r="M144" s="95"/>
      <c r="N144" s="95"/>
      <c r="O144" s="7"/>
      <c r="P144" s="95"/>
      <c r="Q144" s="8">
        <v>44574</v>
      </c>
      <c r="R144" s="8"/>
      <c r="S144" s="8">
        <v>44574</v>
      </c>
      <c r="T144" s="69" t="s">
        <v>1290</v>
      </c>
      <c r="U144" s="183" t="s">
        <v>1291</v>
      </c>
      <c r="V144" s="19" t="s">
        <v>1292</v>
      </c>
      <c r="W144" s="8"/>
      <c r="X144" s="3"/>
      <c r="Y144" s="184" t="s">
        <v>1293</v>
      </c>
      <c r="Z144" s="53" t="s">
        <v>425</v>
      </c>
      <c r="AA144" s="8" t="s">
        <v>930</v>
      </c>
      <c r="AB144" s="3"/>
      <c r="AC144" s="3"/>
      <c r="AD144" s="3"/>
    </row>
    <row r="145" spans="1:30" ht="58">
      <c r="A145" s="3" t="s">
        <v>350</v>
      </c>
      <c r="B145" s="46"/>
      <c r="C145" s="3"/>
      <c r="D145" s="3" t="s">
        <v>1152</v>
      </c>
      <c r="E145" s="6">
        <v>28675548</v>
      </c>
      <c r="F145" s="47"/>
      <c r="G145" s="3" t="s">
        <v>127</v>
      </c>
      <c r="H145" s="13" t="str">
        <f>IFERROR(VLOOKUP(G145, Sheet2!$A:$B, 2, FALSE), A145)</f>
        <v>COMPANIES REGISTRY</v>
      </c>
      <c r="I145" s="6" t="s">
        <v>352</v>
      </c>
      <c r="J145" s="109"/>
      <c r="K145" s="48"/>
      <c r="L145" s="120"/>
      <c r="M145" s="3" t="s">
        <v>1294</v>
      </c>
      <c r="N145" s="3"/>
      <c r="O145" s="11"/>
      <c r="P145" s="3"/>
      <c r="Q145" s="8">
        <v>44636</v>
      </c>
      <c r="R145" s="8"/>
      <c r="S145" s="8">
        <v>44635</v>
      </c>
      <c r="T145" s="69" t="s">
        <v>1156</v>
      </c>
      <c r="U145" s="8" t="s">
        <v>1295</v>
      </c>
      <c r="V145" s="19" t="s">
        <v>1158</v>
      </c>
      <c r="W145" s="8"/>
      <c r="X145" s="8"/>
      <c r="Y145" s="11" t="s">
        <v>1296</v>
      </c>
      <c r="Z145" s="53" t="s">
        <v>489</v>
      </c>
      <c r="AA145" s="3" t="s">
        <v>425</v>
      </c>
      <c r="AB145" s="3"/>
      <c r="AC145" s="3"/>
      <c r="AD145" s="3"/>
    </row>
    <row r="146" spans="1:30" ht="87">
      <c r="A146" s="3" t="s">
        <v>350</v>
      </c>
      <c r="B146" s="46"/>
      <c r="C146" s="3"/>
      <c r="D146" s="3" t="s">
        <v>1297</v>
      </c>
      <c r="E146" s="6" t="s">
        <v>1298</v>
      </c>
      <c r="F146" s="47"/>
      <c r="G146" s="3" t="s">
        <v>146</v>
      </c>
      <c r="H146" s="13" t="str">
        <f>IFERROR(VLOOKUP(G146, Sheet2!$A:$B, 2, FALSE), A146)</f>
        <v>ESUN HOLDINGS LTD</v>
      </c>
      <c r="I146" s="6" t="s">
        <v>352</v>
      </c>
      <c r="J146" s="109"/>
      <c r="K146" s="109" t="s">
        <v>1299</v>
      </c>
      <c r="L146" s="120"/>
      <c r="M146" s="11" t="s">
        <v>1300</v>
      </c>
      <c r="N146" s="11"/>
      <c r="O146" s="7"/>
      <c r="P146" s="11"/>
      <c r="Q146" s="8">
        <v>44589</v>
      </c>
      <c r="R146" s="8"/>
      <c r="S146" s="8">
        <v>44614</v>
      </c>
      <c r="T146" s="3" t="s">
        <v>1301</v>
      </c>
      <c r="U146" s="49" t="s">
        <v>1302</v>
      </c>
      <c r="V146" s="19" t="s">
        <v>1303</v>
      </c>
      <c r="W146" s="8"/>
      <c r="X146" s="49"/>
      <c r="Y146" s="11" t="s">
        <v>1304</v>
      </c>
      <c r="Z146" s="53" t="s">
        <v>425</v>
      </c>
      <c r="AA146" s="8" t="s">
        <v>425</v>
      </c>
      <c r="AB146" s="3"/>
      <c r="AC146" s="3"/>
      <c r="AD146" s="3"/>
    </row>
    <row r="147" spans="1:30" ht="159.5">
      <c r="A147" s="3" t="s">
        <v>883</v>
      </c>
      <c r="B147" s="46"/>
      <c r="C147" s="3"/>
      <c r="D147" s="5" t="s">
        <v>1118</v>
      </c>
      <c r="E147" s="58" t="s">
        <v>1119</v>
      </c>
      <c r="F147" s="57"/>
      <c r="G147" s="13" t="s">
        <v>43</v>
      </c>
      <c r="H147" s="13" t="str">
        <f>IFERROR(VLOOKUP(G147, Sheet2!$A:$B, 2, FALSE), A147)</f>
        <v>CHOW TAI FOOK JEWELLERY CO LTD</v>
      </c>
      <c r="I147" s="6" t="s">
        <v>352</v>
      </c>
      <c r="J147" s="109">
        <v>726125834629</v>
      </c>
      <c r="K147" s="19"/>
      <c r="L147" s="120"/>
      <c r="M147" s="11"/>
      <c r="N147" s="95"/>
      <c r="O147" s="7"/>
      <c r="P147" s="95"/>
      <c r="Q147" s="8">
        <v>44608</v>
      </c>
      <c r="R147" s="8"/>
      <c r="S147" s="8">
        <v>44615</v>
      </c>
      <c r="T147" s="3" t="s">
        <v>1305</v>
      </c>
      <c r="U147" s="49" t="s">
        <v>1306</v>
      </c>
      <c r="V147" s="19" t="s">
        <v>1307</v>
      </c>
      <c r="W147" s="8"/>
      <c r="X147" s="49"/>
      <c r="Y147" s="185" t="s">
        <v>1308</v>
      </c>
      <c r="Z147" s="53" t="s">
        <v>489</v>
      </c>
      <c r="AA147" s="7" t="s">
        <v>1079</v>
      </c>
      <c r="AB147" s="3"/>
      <c r="AC147" s="3"/>
      <c r="AD147" s="3"/>
    </row>
    <row r="148" spans="1:30" ht="15">
      <c r="A148" s="3" t="s">
        <v>350</v>
      </c>
      <c r="B148" s="46"/>
      <c r="C148" s="3"/>
      <c r="D148" s="5" t="s">
        <v>1118</v>
      </c>
      <c r="E148" s="58" t="s">
        <v>1119</v>
      </c>
      <c r="F148" s="57"/>
      <c r="G148" s="13" t="s">
        <v>43</v>
      </c>
      <c r="H148" s="13" t="str">
        <f>IFERROR(VLOOKUP(G148, Sheet2!$A:$B, 2, FALSE), A148)</f>
        <v>CHOW TAI FOOK JEWELLERY CO LTD</v>
      </c>
      <c r="I148" s="6" t="s">
        <v>352</v>
      </c>
      <c r="J148" s="109">
        <v>726125834629</v>
      </c>
      <c r="K148" s="19"/>
      <c r="L148" s="120"/>
      <c r="M148" s="11"/>
      <c r="N148" s="95"/>
      <c r="O148" s="7"/>
      <c r="P148" s="95"/>
      <c r="Q148" s="8">
        <v>44608</v>
      </c>
      <c r="R148" s="8"/>
      <c r="S148" s="8">
        <v>44615</v>
      </c>
      <c r="T148" s="3" t="s">
        <v>1309</v>
      </c>
      <c r="U148" s="49" t="s">
        <v>1310</v>
      </c>
      <c r="V148" s="19" t="s">
        <v>1311</v>
      </c>
      <c r="W148" s="8"/>
      <c r="X148" s="49"/>
      <c r="Y148" s="11" t="s">
        <v>1312</v>
      </c>
      <c r="Z148" s="53" t="s">
        <v>425</v>
      </c>
      <c r="AA148" s="7" t="s">
        <v>1079</v>
      </c>
      <c r="AB148" s="3"/>
      <c r="AC148" s="3" t="s">
        <v>1080</v>
      </c>
      <c r="AD148" s="3"/>
    </row>
    <row r="149" spans="1:30" ht="87">
      <c r="A149" s="8" t="s">
        <v>350</v>
      </c>
      <c r="B149" s="46"/>
      <c r="C149" s="3"/>
      <c r="D149" s="8" t="s">
        <v>1313</v>
      </c>
      <c r="E149" s="6">
        <v>98114071</v>
      </c>
      <c r="F149" s="47"/>
      <c r="G149" s="8" t="s">
        <v>148</v>
      </c>
      <c r="H149" s="13" t="str">
        <f>IFERROR(VLOOKUP(G149, Sheet2!$A:$B, 2, FALSE), A149)</f>
        <v>GTS PLATFORM SERVICE LIMITED</v>
      </c>
      <c r="I149" s="6" t="s">
        <v>359</v>
      </c>
      <c r="J149" s="109"/>
      <c r="K149" s="48"/>
      <c r="L149" s="120"/>
      <c r="M149" s="11" t="s">
        <v>1314</v>
      </c>
      <c r="N149" s="11"/>
      <c r="O149" s="7"/>
      <c r="P149" s="11"/>
      <c r="Q149" s="8">
        <v>44607</v>
      </c>
      <c r="R149" s="8"/>
      <c r="S149" s="8">
        <v>44665</v>
      </c>
      <c r="T149" s="7" t="s">
        <v>1315</v>
      </c>
      <c r="U149" s="8" t="s">
        <v>1316</v>
      </c>
      <c r="V149" s="19" t="s">
        <v>1317</v>
      </c>
      <c r="W149" s="8"/>
      <c r="X149" s="8"/>
      <c r="Y149" s="9" t="s">
        <v>1318</v>
      </c>
      <c r="Z149" s="53" t="s">
        <v>425</v>
      </c>
      <c r="AA149" s="8" t="s">
        <v>930</v>
      </c>
      <c r="AB149" s="3"/>
      <c r="AC149" s="3"/>
      <c r="AD149" s="3"/>
    </row>
    <row r="150" spans="1:30" ht="192">
      <c r="A150" s="3" t="s">
        <v>350</v>
      </c>
      <c r="B150" s="46"/>
      <c r="C150" s="3"/>
      <c r="D150" s="5" t="s">
        <v>1118</v>
      </c>
      <c r="E150" s="58" t="s">
        <v>1119</v>
      </c>
      <c r="F150" s="57"/>
      <c r="G150" s="13" t="s">
        <v>43</v>
      </c>
      <c r="H150" s="13" t="str">
        <f>IFERROR(VLOOKUP(G150, Sheet2!$A:$B, 2, FALSE), A150)</f>
        <v>CHOW TAI FOOK JEWELLERY CO LTD</v>
      </c>
      <c r="I150" s="6" t="s">
        <v>359</v>
      </c>
      <c r="J150" s="109"/>
      <c r="K150" s="79"/>
      <c r="L150" s="120"/>
      <c r="M150" s="11" t="s">
        <v>1319</v>
      </c>
      <c r="N150" s="11"/>
      <c r="O150" s="7"/>
      <c r="P150" s="11"/>
      <c r="Q150" s="8">
        <v>44615</v>
      </c>
      <c r="R150" s="8"/>
      <c r="S150" s="8">
        <v>44615</v>
      </c>
      <c r="T150" s="3" t="s">
        <v>1320</v>
      </c>
      <c r="U150" s="3" t="s">
        <v>1321</v>
      </c>
      <c r="V150" s="19">
        <v>103008</v>
      </c>
      <c r="W150" s="8"/>
      <c r="X150" s="3"/>
      <c r="Y150" s="56" t="s">
        <v>1322</v>
      </c>
      <c r="Z150" s="53" t="s">
        <v>489</v>
      </c>
      <c r="AA150" s="7" t="s">
        <v>1079</v>
      </c>
      <c r="AB150" s="3"/>
      <c r="AC150" s="3"/>
      <c r="AD150" s="3"/>
    </row>
    <row r="151" spans="1:30" ht="76">
      <c r="A151" s="8" t="s">
        <v>350</v>
      </c>
      <c r="B151" s="46"/>
      <c r="C151" s="3"/>
      <c r="D151" s="4" t="s">
        <v>916</v>
      </c>
      <c r="E151" s="58" t="s">
        <v>917</v>
      </c>
      <c r="F151" s="57"/>
      <c r="G151" s="4" t="s">
        <v>85</v>
      </c>
      <c r="H151" s="13" t="str">
        <f>IFERROR(VLOOKUP(G151, Sheet2!$A:$B, 2, FALSE), A151)</f>
        <v>Luk Fook Holdings Co Ltd</v>
      </c>
      <c r="I151" s="6" t="s">
        <v>359</v>
      </c>
      <c r="J151" s="109"/>
      <c r="K151" s="139"/>
      <c r="L151" s="120"/>
      <c r="M151" s="3"/>
      <c r="N151" s="3"/>
      <c r="O151" s="7"/>
      <c r="P151" s="3"/>
      <c r="Q151" s="8">
        <v>44622</v>
      </c>
      <c r="R151" s="8"/>
      <c r="S151" s="8">
        <v>44692</v>
      </c>
      <c r="T151" s="8" t="s">
        <v>1323</v>
      </c>
      <c r="U151" s="8" t="s">
        <v>1324</v>
      </c>
      <c r="V151" s="19" t="s">
        <v>1325</v>
      </c>
      <c r="W151" s="8"/>
      <c r="X151" s="8"/>
      <c r="Y151" s="186" t="s">
        <v>1326</v>
      </c>
      <c r="Z151" s="53" t="s">
        <v>489</v>
      </c>
      <c r="AA151" s="8"/>
      <c r="AB151" s="3"/>
      <c r="AC151" s="3"/>
      <c r="AD151" s="3"/>
    </row>
    <row r="152" spans="1:30" ht="101.5">
      <c r="A152" s="3" t="s">
        <v>350</v>
      </c>
      <c r="B152" s="46"/>
      <c r="C152" s="3"/>
      <c r="D152" s="3" t="s">
        <v>1327</v>
      </c>
      <c r="E152" s="6" t="s">
        <v>1328</v>
      </c>
      <c r="F152" s="47"/>
      <c r="G152" s="3" t="s">
        <v>150</v>
      </c>
      <c r="H152" s="13" t="str">
        <f>IFERROR(VLOOKUP(G152, Sheet2!$A:$B, 2, FALSE), A152)</f>
        <v>PCCW Solutions ( renamed in cloudcheckr : PCCW Techincal Srvices Limited )</v>
      </c>
      <c r="I152" s="6" t="s">
        <v>352</v>
      </c>
      <c r="J152" s="109"/>
      <c r="K152" s="109" t="s">
        <v>1329</v>
      </c>
      <c r="L152" s="120"/>
      <c r="M152" s="11" t="s">
        <v>1330</v>
      </c>
      <c r="N152" s="11"/>
      <c r="O152" s="7"/>
      <c r="P152" s="11"/>
      <c r="Q152" s="8">
        <v>44630</v>
      </c>
      <c r="R152" s="8"/>
      <c r="S152" s="8">
        <v>44648</v>
      </c>
      <c r="T152" s="3" t="s">
        <v>1331</v>
      </c>
      <c r="U152" s="49" t="s">
        <v>1332</v>
      </c>
      <c r="V152" s="19" t="s">
        <v>1333</v>
      </c>
      <c r="W152" s="8"/>
      <c r="X152" s="49"/>
      <c r="Y152" s="111" t="s">
        <v>1334</v>
      </c>
      <c r="Z152" s="53" t="s">
        <v>425</v>
      </c>
      <c r="AA152" s="8" t="s">
        <v>930</v>
      </c>
      <c r="AB152" s="3"/>
      <c r="AC152" s="3"/>
      <c r="AD152" s="3"/>
    </row>
    <row r="153" spans="1:30" ht="43.5">
      <c r="A153" s="3" t="s">
        <v>730</v>
      </c>
      <c r="B153" s="46"/>
      <c r="C153" s="3"/>
      <c r="D153" s="3" t="s">
        <v>1110</v>
      </c>
      <c r="E153" s="6" t="s">
        <v>1111</v>
      </c>
      <c r="F153" s="47"/>
      <c r="G153" s="15" t="s">
        <v>1335</v>
      </c>
      <c r="H153" s="13" t="str">
        <f>IFERROR(VLOOKUP(G153, Sheet2!$A:$B, 2, FALSE), A153)</f>
        <v>DIGITAL POLICY OFFICE</v>
      </c>
      <c r="I153" s="6" t="s">
        <v>393</v>
      </c>
      <c r="J153" s="109"/>
      <c r="K153" s="79"/>
      <c r="L153" s="120"/>
      <c r="M153" s="99" t="s">
        <v>1336</v>
      </c>
      <c r="N153" s="3"/>
      <c r="O153" s="7"/>
      <c r="P153" s="3"/>
      <c r="Q153" s="8">
        <v>44636</v>
      </c>
      <c r="R153" s="8"/>
      <c r="S153" s="8"/>
      <c r="T153" s="4" t="s">
        <v>1337</v>
      </c>
      <c r="U153" s="8" t="s">
        <v>1338</v>
      </c>
      <c r="V153" s="19" t="s">
        <v>1339</v>
      </c>
      <c r="W153" s="8"/>
      <c r="X153" s="8"/>
      <c r="Y153" s="11" t="s">
        <v>1340</v>
      </c>
      <c r="Z153" s="53" t="s">
        <v>425</v>
      </c>
      <c r="AA153" s="8"/>
      <c r="AB153" s="3"/>
      <c r="AC153" s="3"/>
      <c r="AD153" s="3"/>
    </row>
    <row r="154" spans="1:30" ht="122.5">
      <c r="A154" s="3" t="s">
        <v>350</v>
      </c>
      <c r="B154" s="46"/>
      <c r="C154" s="3"/>
      <c r="D154" s="5" t="s">
        <v>1118</v>
      </c>
      <c r="E154" s="58" t="s">
        <v>1119</v>
      </c>
      <c r="F154" s="57"/>
      <c r="G154" s="15" t="s">
        <v>152</v>
      </c>
      <c r="H154" s="13" t="str">
        <f>IFERROR(VLOOKUP(G154, Sheet2!$A:$B, 2, FALSE), A154)</f>
        <v>CHOW TAI FOOK JEWELLERY CO LTD</v>
      </c>
      <c r="I154" s="6" t="s">
        <v>352</v>
      </c>
      <c r="J154" s="100">
        <v>726125834629</v>
      </c>
      <c r="K154" s="109" t="s">
        <v>1341</v>
      </c>
      <c r="L154" s="120" t="s">
        <v>1342</v>
      </c>
      <c r="M154" s="144"/>
      <c r="N154" s="11"/>
      <c r="O154" s="7"/>
      <c r="P154" s="11"/>
      <c r="Q154" s="8">
        <v>44677</v>
      </c>
      <c r="R154" s="8"/>
      <c r="S154" s="8">
        <v>44671</v>
      </c>
      <c r="T154" s="8" t="s">
        <v>1343</v>
      </c>
      <c r="U154" s="8" t="s">
        <v>1344</v>
      </c>
      <c r="V154" s="19" t="s">
        <v>1345</v>
      </c>
      <c r="W154" s="8"/>
      <c r="X154" s="8"/>
      <c r="Y154" s="144" t="s">
        <v>1346</v>
      </c>
      <c r="Z154" s="53" t="s">
        <v>886</v>
      </c>
      <c r="AA154" s="8" t="s">
        <v>930</v>
      </c>
      <c r="AB154" s="3"/>
      <c r="AC154" s="3"/>
      <c r="AD154" s="3"/>
    </row>
    <row r="155" spans="1:30" ht="122.5">
      <c r="A155" s="3" t="s">
        <v>350</v>
      </c>
      <c r="B155" s="46"/>
      <c r="C155" s="3"/>
      <c r="D155" s="5" t="s">
        <v>1118</v>
      </c>
      <c r="E155" s="58" t="s">
        <v>1119</v>
      </c>
      <c r="F155" s="57"/>
      <c r="G155" s="13" t="s">
        <v>43</v>
      </c>
      <c r="H155" s="13" t="str">
        <f>IFERROR(VLOOKUP(G155, Sheet2!$A:$B, 2, FALSE), A155)</f>
        <v>CHOW TAI FOOK JEWELLERY CO LTD</v>
      </c>
      <c r="I155" s="6" t="s">
        <v>352</v>
      </c>
      <c r="J155" s="100">
        <v>726125834629</v>
      </c>
      <c r="K155" s="62" t="s">
        <v>1347</v>
      </c>
      <c r="L155" s="120"/>
      <c r="M155" s="3"/>
      <c r="N155" s="3"/>
      <c r="O155" s="7"/>
      <c r="P155" s="3"/>
      <c r="Q155" s="8">
        <v>44677</v>
      </c>
      <c r="R155" s="8"/>
      <c r="S155" s="8">
        <v>44671</v>
      </c>
      <c r="T155" s="64" t="s">
        <v>1348</v>
      </c>
      <c r="U155" s="64" t="s">
        <v>1349</v>
      </c>
      <c r="V155" s="19">
        <v>103024</v>
      </c>
      <c r="W155" s="8"/>
      <c r="X155" s="64"/>
      <c r="Y155" s="144" t="s">
        <v>1346</v>
      </c>
      <c r="Z155" s="53" t="s">
        <v>886</v>
      </c>
      <c r="AA155" s="8" t="s">
        <v>930</v>
      </c>
      <c r="AB155" s="3"/>
      <c r="AC155" s="3"/>
      <c r="AD155" s="3"/>
    </row>
    <row r="156" spans="1:30" ht="47.5">
      <c r="A156" s="3" t="s">
        <v>350</v>
      </c>
      <c r="B156" s="46"/>
      <c r="C156" s="3"/>
      <c r="D156" s="5" t="s">
        <v>1118</v>
      </c>
      <c r="E156" s="58" t="s">
        <v>1119</v>
      </c>
      <c r="F156" s="57"/>
      <c r="G156" s="13" t="s">
        <v>43</v>
      </c>
      <c r="H156" s="13" t="str">
        <f>IFERROR(VLOOKUP(G156, Sheet2!$A:$B, 2, FALSE), A156)</f>
        <v>CHOW TAI FOOK JEWELLERY CO LTD</v>
      </c>
      <c r="I156" s="6" t="s">
        <v>359</v>
      </c>
      <c r="J156" s="109"/>
      <c r="K156" s="79"/>
      <c r="L156" s="120"/>
      <c r="M156" s="11" t="s">
        <v>1350</v>
      </c>
      <c r="N156" s="11"/>
      <c r="O156" s="7"/>
      <c r="P156" s="11"/>
      <c r="Q156" s="8">
        <v>44641</v>
      </c>
      <c r="R156" s="8"/>
      <c r="S156" s="8">
        <v>44637</v>
      </c>
      <c r="T156" s="73" t="s">
        <v>1351</v>
      </c>
      <c r="U156" s="8" t="s">
        <v>1352</v>
      </c>
      <c r="V156" s="19" t="s">
        <v>1353</v>
      </c>
      <c r="W156" s="8"/>
      <c r="X156" s="8"/>
      <c r="Y156" s="95" t="s">
        <v>1354</v>
      </c>
      <c r="Z156" s="53" t="s">
        <v>425</v>
      </c>
      <c r="AA156" s="8" t="s">
        <v>930</v>
      </c>
      <c r="AB156" s="3"/>
      <c r="AC156" s="3"/>
      <c r="AD156" s="3"/>
    </row>
    <row r="157" spans="1:30" ht="116">
      <c r="A157" s="3" t="s">
        <v>350</v>
      </c>
      <c r="B157" s="46"/>
      <c r="C157" s="3"/>
      <c r="D157" s="5" t="s">
        <v>1118</v>
      </c>
      <c r="E157" s="58" t="s">
        <v>1119</v>
      </c>
      <c r="F157" s="57"/>
      <c r="G157" s="13" t="s">
        <v>43</v>
      </c>
      <c r="H157" s="13" t="str">
        <f>IFERROR(VLOOKUP(G157, Sheet2!$A:$B, 2, FALSE), A157)</f>
        <v>CHOW TAI FOOK JEWELLERY CO LTD</v>
      </c>
      <c r="I157" s="6" t="s">
        <v>359</v>
      </c>
      <c r="J157" s="109"/>
      <c r="K157" s="79" t="s">
        <v>1355</v>
      </c>
      <c r="L157" s="120"/>
      <c r="M157" s="3" t="s">
        <v>1356</v>
      </c>
      <c r="N157" s="3"/>
      <c r="O157" s="7"/>
      <c r="P157" s="3"/>
      <c r="Q157" s="8">
        <v>44641</v>
      </c>
      <c r="R157" s="8"/>
      <c r="S157" s="8">
        <v>44673</v>
      </c>
      <c r="T157" s="49" t="s">
        <v>1351</v>
      </c>
      <c r="U157" s="69" t="s">
        <v>1357</v>
      </c>
      <c r="V157" s="19" t="s">
        <v>1353</v>
      </c>
      <c r="W157" s="8"/>
      <c r="X157" s="69"/>
      <c r="Y157" s="124" t="s">
        <v>1358</v>
      </c>
      <c r="Z157" s="53" t="s">
        <v>489</v>
      </c>
      <c r="AA157" s="7" t="s">
        <v>1079</v>
      </c>
      <c r="AB157" s="3"/>
      <c r="AC157" s="3"/>
      <c r="AD157" s="3"/>
    </row>
    <row r="158" spans="1:30" ht="116">
      <c r="A158" s="3" t="s">
        <v>350</v>
      </c>
      <c r="B158" s="46"/>
      <c r="C158" s="3"/>
      <c r="D158" s="3" t="s">
        <v>1359</v>
      </c>
      <c r="E158" s="6">
        <v>98138034</v>
      </c>
      <c r="F158" s="47"/>
      <c r="G158" t="s">
        <v>153</v>
      </c>
      <c r="H158" s="13" t="str">
        <f>IFERROR(VLOOKUP(G158, Sheet2!$A:$B, 2, FALSE), A158)</f>
        <v>FORIS LIMITED</v>
      </c>
      <c r="I158" s="6" t="s">
        <v>359</v>
      </c>
      <c r="J158" s="109"/>
      <c r="K158" s="48"/>
      <c r="L158" s="120"/>
      <c r="M158" s="124" t="s">
        <v>1360</v>
      </c>
      <c r="N158" s="95"/>
      <c r="O158" s="7"/>
      <c r="P158" s="95"/>
      <c r="Q158" s="8">
        <v>44644</v>
      </c>
      <c r="R158" s="8"/>
      <c r="S158" s="8">
        <v>44650</v>
      </c>
      <c r="T158" s="5" t="s">
        <v>1361</v>
      </c>
      <c r="U158" s="49" t="s">
        <v>1362</v>
      </c>
      <c r="V158" s="52" t="s">
        <v>1363</v>
      </c>
      <c r="W158" s="8"/>
      <c r="X158" s="49"/>
      <c r="Y158" s="15" t="s">
        <v>1364</v>
      </c>
      <c r="Z158" s="53" t="s">
        <v>425</v>
      </c>
      <c r="AA158" s="8" t="s">
        <v>930</v>
      </c>
      <c r="AB158" s="3"/>
      <c r="AC158" s="3"/>
      <c r="AD158" s="3"/>
    </row>
    <row r="159" spans="1:30" ht="145.5">
      <c r="A159" s="3" t="s">
        <v>350</v>
      </c>
      <c r="B159" s="46"/>
      <c r="C159" s="3"/>
      <c r="D159" s="3" t="s">
        <v>652</v>
      </c>
      <c r="E159" s="6" t="s">
        <v>653</v>
      </c>
      <c r="F159" s="110" t="s">
        <v>654</v>
      </c>
      <c r="G159" s="3" t="s">
        <v>1365</v>
      </c>
      <c r="H159" s="13" t="str">
        <f>IFERROR(VLOOKUP(G159, Sheet2!$A:$B, 2, FALSE), A159)</f>
        <v>AIRPORT AUTHORITY</v>
      </c>
      <c r="I159" s="6" t="s">
        <v>352</v>
      </c>
      <c r="J159" s="109" t="s">
        <v>655</v>
      </c>
      <c r="K159" s="79"/>
      <c r="L159" s="120"/>
      <c r="M159" s="3"/>
      <c r="N159" s="3"/>
      <c r="O159" s="7"/>
      <c r="P159" s="3"/>
      <c r="Q159" s="8">
        <v>44648</v>
      </c>
      <c r="R159" s="8"/>
      <c r="S159" s="8">
        <v>45001</v>
      </c>
      <c r="T159" s="3" t="s">
        <v>1366</v>
      </c>
      <c r="U159" s="69" t="s">
        <v>1367</v>
      </c>
      <c r="V159" s="19" t="s">
        <v>660</v>
      </c>
      <c r="W159" s="8"/>
      <c r="X159" s="69"/>
      <c r="Y159" s="95" t="s">
        <v>1368</v>
      </c>
      <c r="Z159" s="53" t="s">
        <v>886</v>
      </c>
      <c r="AA159" s="8"/>
      <c r="AB159" s="3"/>
      <c r="AC159" s="3" t="s">
        <v>1369</v>
      </c>
      <c r="AD159" s="3"/>
    </row>
    <row r="160" spans="1:30" ht="116.5">
      <c r="A160" s="3" t="s">
        <v>730</v>
      </c>
      <c r="B160" s="46"/>
      <c r="C160" s="3"/>
      <c r="D160" s="3" t="s">
        <v>1025</v>
      </c>
      <c r="E160" s="6" t="s">
        <v>1370</v>
      </c>
      <c r="F160" s="47"/>
      <c r="G160" s="3" t="s">
        <v>155</v>
      </c>
      <c r="H160" s="13" t="str">
        <f>IFERROR(VLOOKUP(G160, Sheet2!$A:$B, 2, FALSE), A160)</f>
        <v>Makerville Company Limited (PCCW Media Group)</v>
      </c>
      <c r="I160" s="6" t="s">
        <v>352</v>
      </c>
      <c r="J160" s="109"/>
      <c r="K160" s="48"/>
      <c r="L160" s="120"/>
      <c r="M160" s="11" t="s">
        <v>1371</v>
      </c>
      <c r="N160" s="11"/>
      <c r="O160" s="7"/>
      <c r="P160" s="11"/>
      <c r="Q160" s="8">
        <v>44676</v>
      </c>
      <c r="R160" s="8"/>
      <c r="S160" s="8">
        <v>44770</v>
      </c>
      <c r="T160" s="153" t="s">
        <v>1372</v>
      </c>
      <c r="U160" s="153" t="s">
        <v>1373</v>
      </c>
      <c r="V160" s="19">
        <v>103021</v>
      </c>
      <c r="W160" s="8"/>
      <c r="X160" s="153"/>
      <c r="Y160" s="15" t="s">
        <v>1374</v>
      </c>
      <c r="Z160" s="53" t="s">
        <v>425</v>
      </c>
      <c r="AA160" s="8" t="s">
        <v>930</v>
      </c>
      <c r="AB160" s="3"/>
      <c r="AC160" s="3"/>
      <c r="AD160" s="3"/>
    </row>
    <row r="161" spans="1:30" ht="101.5">
      <c r="A161" s="5" t="s">
        <v>545</v>
      </c>
      <c r="B161" s="46"/>
      <c r="C161" s="3"/>
      <c r="D161" s="5" t="s">
        <v>800</v>
      </c>
      <c r="E161" s="6">
        <v>96742005</v>
      </c>
      <c r="F161" s="47"/>
      <c r="G161" s="5" t="s">
        <v>39</v>
      </c>
      <c r="H161" s="13" t="str">
        <f>IFERROR(VLOOKUP(G161, Sheet2!$A:$B, 2, FALSE), A161)</f>
        <v>DDAAPP LIMITED</v>
      </c>
      <c r="I161" s="6" t="s">
        <v>352</v>
      </c>
      <c r="J161" s="109"/>
      <c r="K161" s="109" t="s">
        <v>1375</v>
      </c>
      <c r="L161" s="120"/>
      <c r="M161" s="11" t="s">
        <v>1376</v>
      </c>
      <c r="N161" s="11"/>
      <c r="O161" s="7"/>
      <c r="P161" s="11"/>
      <c r="Q161" s="8">
        <v>44669</v>
      </c>
      <c r="R161" s="8"/>
      <c r="S161" s="8">
        <v>44731</v>
      </c>
      <c r="T161" s="8" t="s">
        <v>1377</v>
      </c>
      <c r="U161" s="8" t="s">
        <v>1378</v>
      </c>
      <c r="V161" s="19" t="s">
        <v>1379</v>
      </c>
      <c r="W161" s="8"/>
      <c r="X161" s="8"/>
      <c r="Y161" s="11" t="s">
        <v>1380</v>
      </c>
      <c r="Z161" s="53" t="s">
        <v>425</v>
      </c>
      <c r="AA161" s="8" t="s">
        <v>1072</v>
      </c>
      <c r="AB161" s="3"/>
      <c r="AC161" s="3"/>
      <c r="AD161" s="3"/>
    </row>
    <row r="162" spans="1:30" ht="58">
      <c r="A162" s="5" t="s">
        <v>545</v>
      </c>
      <c r="B162" s="46"/>
      <c r="C162" s="3"/>
      <c r="D162" s="5" t="s">
        <v>1118</v>
      </c>
      <c r="E162" s="58" t="s">
        <v>1119</v>
      </c>
      <c r="F162" s="57"/>
      <c r="G162" s="13" t="s">
        <v>43</v>
      </c>
      <c r="H162" s="13" t="str">
        <f>IFERROR(VLOOKUP(G162, Sheet2!$A:$B, 2, FALSE), A162)</f>
        <v>CHOW TAI FOOK JEWELLERY CO LTD</v>
      </c>
      <c r="I162" s="6" t="s">
        <v>352</v>
      </c>
      <c r="J162" s="100">
        <v>726125834629</v>
      </c>
      <c r="K162" s="188" t="s">
        <v>1381</v>
      </c>
      <c r="L162" s="120"/>
      <c r="M162" s="189"/>
      <c r="N162" s="3"/>
      <c r="O162" s="7"/>
      <c r="P162" s="3"/>
      <c r="Q162" s="8">
        <v>44677</v>
      </c>
      <c r="R162" s="8"/>
      <c r="S162" s="8">
        <v>44671</v>
      </c>
      <c r="T162" s="8" t="s">
        <v>1382</v>
      </c>
      <c r="U162" s="8" t="s">
        <v>1383</v>
      </c>
      <c r="V162" s="19">
        <v>103026</v>
      </c>
      <c r="W162" s="8"/>
      <c r="X162" s="8"/>
      <c r="Y162" s="102" t="s">
        <v>1384</v>
      </c>
      <c r="Z162" s="53" t="s">
        <v>425</v>
      </c>
      <c r="AA162" s="7" t="s">
        <v>1079</v>
      </c>
      <c r="AB162" s="3"/>
      <c r="AC162" s="3"/>
      <c r="AD162" s="3"/>
    </row>
    <row r="163" spans="1:30" ht="58">
      <c r="A163" s="5" t="s">
        <v>545</v>
      </c>
      <c r="B163" s="46"/>
      <c r="C163" s="3"/>
      <c r="D163" s="8" t="s">
        <v>1385</v>
      </c>
      <c r="E163" s="6">
        <v>28882383</v>
      </c>
      <c r="F163" s="47"/>
      <c r="G163" s="7" t="s">
        <v>156</v>
      </c>
      <c r="H163" s="13" t="str">
        <f>IFERROR(VLOOKUP(G163, Sheet2!$A:$B, 2, FALSE), A163)</f>
        <v>HKT CSL mobile
 (Name in Cloudcheck : CSL mobile Thingsboard POC)</v>
      </c>
      <c r="I163" s="6" t="s">
        <v>352</v>
      </c>
      <c r="J163" s="109"/>
      <c r="K163" s="48" t="s">
        <v>1386</v>
      </c>
      <c r="L163" s="120"/>
      <c r="M163" s="11" t="s">
        <v>1387</v>
      </c>
      <c r="N163" s="11"/>
      <c r="O163" s="7"/>
      <c r="P163" s="11"/>
      <c r="Q163" s="8" t="s">
        <v>100</v>
      </c>
      <c r="R163" s="8"/>
      <c r="S163" s="8">
        <v>44678</v>
      </c>
      <c r="T163" s="8" t="s">
        <v>100</v>
      </c>
      <c r="U163" s="8" t="s">
        <v>100</v>
      </c>
      <c r="V163" s="19" t="s">
        <v>100</v>
      </c>
      <c r="W163" s="8"/>
      <c r="X163" s="8"/>
      <c r="Y163" s="7" t="s">
        <v>1388</v>
      </c>
      <c r="Z163" s="8" t="s">
        <v>425</v>
      </c>
      <c r="AA163" s="8" t="s">
        <v>425</v>
      </c>
      <c r="AB163" s="3"/>
      <c r="AC163" s="3"/>
      <c r="AD163" s="3"/>
    </row>
    <row r="164" spans="1:30" ht="192.5">
      <c r="A164" s="4" t="s">
        <v>545</v>
      </c>
      <c r="B164" s="46"/>
      <c r="C164" s="3"/>
      <c r="D164" s="5" t="s">
        <v>1118</v>
      </c>
      <c r="E164" s="58" t="s">
        <v>1119</v>
      </c>
      <c r="F164" s="57"/>
      <c r="G164" s="13" t="s">
        <v>43</v>
      </c>
      <c r="H164" s="13" t="str">
        <f>IFERROR(VLOOKUP(G164, Sheet2!$A:$B, 2, FALSE), A164)</f>
        <v>CHOW TAI FOOK JEWELLERY CO LTD</v>
      </c>
      <c r="I164" s="6" t="s">
        <v>352</v>
      </c>
      <c r="J164" s="100">
        <v>726125834629</v>
      </c>
      <c r="K164" s="19"/>
      <c r="L164" s="120"/>
      <c r="M164" s="3"/>
      <c r="N164" s="3"/>
      <c r="O164" s="7"/>
      <c r="P164" s="3"/>
      <c r="Q164" s="8">
        <v>44684</v>
      </c>
      <c r="R164" s="8"/>
      <c r="S164" s="8">
        <v>44851</v>
      </c>
      <c r="T164" s="49" t="s">
        <v>1348</v>
      </c>
      <c r="U164" s="49" t="s">
        <v>1389</v>
      </c>
      <c r="V164" s="19">
        <v>103024</v>
      </c>
      <c r="W164" s="8"/>
      <c r="X164" s="49"/>
      <c r="Y164" s="190" t="s">
        <v>1390</v>
      </c>
      <c r="Z164" s="53" t="s">
        <v>489</v>
      </c>
      <c r="AA164" s="7" t="s">
        <v>1079</v>
      </c>
      <c r="AB164" s="3"/>
      <c r="AC164" s="3"/>
      <c r="AD164" s="3"/>
    </row>
    <row r="165" spans="1:30" ht="116.5">
      <c r="A165" s="3"/>
      <c r="B165" s="46"/>
      <c r="C165" s="3"/>
      <c r="D165" s="5" t="s">
        <v>1118</v>
      </c>
      <c r="E165" s="58" t="s">
        <v>1119</v>
      </c>
      <c r="F165" s="57"/>
      <c r="G165" s="13" t="s">
        <v>43</v>
      </c>
      <c r="H165" s="13" t="str">
        <f>IFERROR(VLOOKUP(G165, Sheet2!$A:$B, 2, FALSE), A165)</f>
        <v>CHOW TAI FOOK JEWELLERY CO LTD</v>
      </c>
      <c r="I165" s="6" t="s">
        <v>352</v>
      </c>
      <c r="J165" s="100">
        <v>726125834629</v>
      </c>
      <c r="K165" s="139" t="s">
        <v>1347</v>
      </c>
      <c r="L165" s="120"/>
      <c r="M165" s="3"/>
      <c r="N165" s="3"/>
      <c r="O165" s="7"/>
      <c r="P165" s="3"/>
      <c r="Q165" s="8"/>
      <c r="R165" s="8"/>
      <c r="S165" s="8"/>
      <c r="T165" s="89" t="s">
        <v>730</v>
      </c>
      <c r="U165" s="89" t="s">
        <v>730</v>
      </c>
      <c r="V165" s="146" t="s">
        <v>730</v>
      </c>
      <c r="W165" s="8"/>
      <c r="X165" s="89"/>
      <c r="Y165" s="140" t="s">
        <v>1391</v>
      </c>
      <c r="Z165" s="53" t="s">
        <v>489</v>
      </c>
      <c r="AA165" s="7" t="s">
        <v>1079</v>
      </c>
      <c r="AB165" s="3"/>
      <c r="AC165" s="3"/>
      <c r="AD165" s="3"/>
    </row>
    <row r="166" spans="1:30" ht="174">
      <c r="A166" s="8" t="s">
        <v>350</v>
      </c>
      <c r="B166" s="46"/>
      <c r="C166" s="3"/>
      <c r="D166" s="4" t="s">
        <v>916</v>
      </c>
      <c r="E166" s="58" t="s">
        <v>917</v>
      </c>
      <c r="F166" s="57"/>
      <c r="G166" s="4" t="s">
        <v>85</v>
      </c>
      <c r="H166" s="13" t="str">
        <f>IFERROR(VLOOKUP(G166, Sheet2!$A:$B, 2, FALSE), A166)</f>
        <v>Luk Fook Holdings Co Ltd</v>
      </c>
      <c r="I166" s="6" t="s">
        <v>359</v>
      </c>
      <c r="J166" s="109"/>
      <c r="K166" s="139"/>
      <c r="L166" s="120"/>
      <c r="M166" s="3"/>
      <c r="N166" s="3"/>
      <c r="O166" s="7"/>
      <c r="P166" s="3"/>
      <c r="Q166" s="8">
        <v>44754</v>
      </c>
      <c r="R166" s="8"/>
      <c r="S166" s="8">
        <v>44754</v>
      </c>
      <c r="T166" s="8" t="s">
        <v>1323</v>
      </c>
      <c r="U166" s="8" t="s">
        <v>1392</v>
      </c>
      <c r="V166" s="19" t="s">
        <v>1325</v>
      </c>
      <c r="W166" s="8"/>
      <c r="X166" s="8"/>
      <c r="Y166" s="87" t="s">
        <v>1393</v>
      </c>
      <c r="Z166" s="53" t="s">
        <v>489</v>
      </c>
      <c r="AA166" s="8"/>
      <c r="AB166" s="3"/>
      <c r="AC166" s="3"/>
      <c r="AD166" s="3"/>
    </row>
    <row r="167" spans="1:30" ht="118">
      <c r="A167" s="8" t="s">
        <v>730</v>
      </c>
      <c r="B167" s="46"/>
      <c r="C167" s="3"/>
      <c r="D167" s="191" t="s">
        <v>1394</v>
      </c>
      <c r="E167" s="6">
        <v>91622881</v>
      </c>
      <c r="F167" s="57" t="s">
        <v>1395</v>
      </c>
      <c r="G167" s="8" t="s">
        <v>157</v>
      </c>
      <c r="H167" s="13" t="str">
        <f>IFERROR(VLOOKUP(G167, Sheet2!$A:$B, 2, FALSE), A167)</f>
        <v>Fashion focus manufacturing limited</v>
      </c>
      <c r="I167" s="6" t="s">
        <v>359</v>
      </c>
      <c r="J167" s="109"/>
      <c r="K167" s="48"/>
      <c r="L167" s="120"/>
      <c r="M167" s="11" t="s">
        <v>1396</v>
      </c>
      <c r="N167" s="11"/>
      <c r="O167" s="7"/>
      <c r="P167" s="11"/>
      <c r="Q167" s="8"/>
      <c r="R167" s="8"/>
      <c r="S167" s="8"/>
      <c r="T167" s="8" t="s">
        <v>997</v>
      </c>
      <c r="U167" s="8" t="s">
        <v>997</v>
      </c>
      <c r="V167" s="19" t="s">
        <v>997</v>
      </c>
      <c r="W167" s="8"/>
      <c r="X167" s="8"/>
      <c r="Y167" s="9" t="s">
        <v>1397</v>
      </c>
      <c r="Z167" s="53"/>
      <c r="AA167" s="8"/>
      <c r="AB167" s="3"/>
      <c r="AC167" s="3"/>
      <c r="AD167" s="3"/>
    </row>
    <row r="168" spans="1:30" ht="73">
      <c r="A168" s="5" t="s">
        <v>545</v>
      </c>
      <c r="B168" s="46"/>
      <c r="C168" s="3"/>
      <c r="D168" s="5" t="s">
        <v>1118</v>
      </c>
      <c r="E168" s="58" t="s">
        <v>1119</v>
      </c>
      <c r="F168" s="57"/>
      <c r="G168" s="13" t="s">
        <v>43</v>
      </c>
      <c r="H168" s="13" t="str">
        <f>IFERROR(VLOOKUP(G168, Sheet2!$A:$B, 2, FALSE), A168)</f>
        <v>CHOW TAI FOOK JEWELLERY CO LTD</v>
      </c>
      <c r="I168" s="6" t="s">
        <v>352</v>
      </c>
      <c r="J168" s="100" t="s">
        <v>609</v>
      </c>
      <c r="K168" s="79"/>
      <c r="L168" s="120"/>
      <c r="M168" s="192" t="s">
        <v>1398</v>
      </c>
      <c r="N168" s="11"/>
      <c r="O168" s="7"/>
      <c r="P168" s="11"/>
      <c r="Q168" s="8">
        <v>44694</v>
      </c>
      <c r="R168" s="8"/>
      <c r="S168" s="8">
        <v>44693</v>
      </c>
      <c r="T168" s="8" t="s">
        <v>1399</v>
      </c>
      <c r="U168" s="8" t="s">
        <v>1400</v>
      </c>
      <c r="V168" s="19" t="s">
        <v>1401</v>
      </c>
      <c r="W168" s="8"/>
      <c r="X168" s="8"/>
      <c r="Y168" s="95" t="s">
        <v>1402</v>
      </c>
      <c r="Z168" s="8" t="s">
        <v>425</v>
      </c>
      <c r="AA168" s="8" t="s">
        <v>425</v>
      </c>
      <c r="AB168" s="3"/>
      <c r="AC168" s="3"/>
      <c r="AD168" s="3"/>
    </row>
    <row r="169" spans="1:30" ht="73">
      <c r="A169" s="5" t="s">
        <v>545</v>
      </c>
      <c r="B169" s="46"/>
      <c r="C169" s="3"/>
      <c r="D169" s="5" t="s">
        <v>1118</v>
      </c>
      <c r="E169" s="58" t="s">
        <v>1119</v>
      </c>
      <c r="F169" s="57"/>
      <c r="G169" s="13" t="s">
        <v>43</v>
      </c>
      <c r="H169" s="13" t="str">
        <f>IFERROR(VLOOKUP(G169, Sheet2!$A:$B, 2, FALSE), A169)</f>
        <v>CHOW TAI FOOK JEWELLERY CO LTD</v>
      </c>
      <c r="I169" s="6" t="s">
        <v>352</v>
      </c>
      <c r="J169" s="100" t="s">
        <v>609</v>
      </c>
      <c r="K169" s="79"/>
      <c r="L169" s="120"/>
      <c r="M169" s="193" t="s">
        <v>1403</v>
      </c>
      <c r="N169" s="11"/>
      <c r="O169" s="7"/>
      <c r="P169" s="11"/>
      <c r="Q169" s="8">
        <v>44694</v>
      </c>
      <c r="R169" s="8"/>
      <c r="S169" s="8">
        <v>44693</v>
      </c>
      <c r="T169" s="8" t="s">
        <v>1404</v>
      </c>
      <c r="U169" s="8" t="s">
        <v>1405</v>
      </c>
      <c r="V169" s="19" t="s">
        <v>1406</v>
      </c>
      <c r="W169" s="8"/>
      <c r="X169" s="8"/>
      <c r="Y169" s="95" t="s">
        <v>1407</v>
      </c>
      <c r="Z169" s="8" t="s">
        <v>425</v>
      </c>
      <c r="AA169" s="8" t="s">
        <v>425</v>
      </c>
      <c r="AB169" s="3"/>
      <c r="AC169" s="3"/>
      <c r="AD169" s="3"/>
    </row>
    <row r="170" spans="1:30" ht="102">
      <c r="A170" s="5" t="s">
        <v>545</v>
      </c>
      <c r="B170" s="46"/>
      <c r="C170" s="3"/>
      <c r="D170" s="5" t="s">
        <v>1118</v>
      </c>
      <c r="E170" s="58" t="s">
        <v>1119</v>
      </c>
      <c r="F170" s="57"/>
      <c r="G170" s="13" t="s">
        <v>43</v>
      </c>
      <c r="H170" s="13" t="str">
        <f>IFERROR(VLOOKUP(G170, Sheet2!$A:$B, 2, FALSE), A170)</f>
        <v>CHOW TAI FOOK JEWELLERY CO LTD</v>
      </c>
      <c r="I170" s="6" t="s">
        <v>359</v>
      </c>
      <c r="J170" s="109"/>
      <c r="K170" s="79" t="s">
        <v>1408</v>
      </c>
      <c r="L170" s="120"/>
      <c r="M170" s="192" t="s">
        <v>1409</v>
      </c>
      <c r="N170" s="11"/>
      <c r="O170" s="7"/>
      <c r="P170" s="11"/>
      <c r="Q170" s="8">
        <v>44694</v>
      </c>
      <c r="R170" s="8"/>
      <c r="S170" s="8">
        <v>44684</v>
      </c>
      <c r="T170" s="8" t="s">
        <v>1410</v>
      </c>
      <c r="U170" s="8" t="s">
        <v>1411</v>
      </c>
      <c r="V170" s="52" t="s">
        <v>1412</v>
      </c>
      <c r="W170" s="8"/>
      <c r="X170" s="8"/>
      <c r="Y170" s="95" t="s">
        <v>1413</v>
      </c>
      <c r="Z170" s="8" t="s">
        <v>425</v>
      </c>
      <c r="AA170" s="8" t="s">
        <v>425</v>
      </c>
      <c r="AB170" s="3"/>
      <c r="AC170" s="3"/>
      <c r="AD170" s="3"/>
    </row>
    <row r="171" spans="1:30" ht="116">
      <c r="A171" s="5" t="s">
        <v>545</v>
      </c>
      <c r="B171" s="46"/>
      <c r="C171" s="3"/>
      <c r="D171" s="5" t="s">
        <v>1118</v>
      </c>
      <c r="E171" s="58" t="s">
        <v>1119</v>
      </c>
      <c r="F171" s="57"/>
      <c r="G171" s="13" t="s">
        <v>43</v>
      </c>
      <c r="H171" s="13" t="str">
        <f>IFERROR(VLOOKUP(G171, Sheet2!$A:$B, 2, FALSE), A171)</f>
        <v>CHOW TAI FOOK JEWELLERY CO LTD</v>
      </c>
      <c r="I171" s="6" t="s">
        <v>359</v>
      </c>
      <c r="J171" s="109"/>
      <c r="K171" s="79" t="s">
        <v>1414</v>
      </c>
      <c r="L171" s="120"/>
      <c r="M171" s="192" t="s">
        <v>1415</v>
      </c>
      <c r="N171" s="11"/>
      <c r="O171" s="7"/>
      <c r="P171" s="11"/>
      <c r="Q171" s="8">
        <v>44694</v>
      </c>
      <c r="R171" s="8"/>
      <c r="S171" s="8">
        <v>44684</v>
      </c>
      <c r="T171" s="8" t="s">
        <v>1416</v>
      </c>
      <c r="U171" s="8" t="s">
        <v>1417</v>
      </c>
      <c r="V171" s="19">
        <v>103040</v>
      </c>
      <c r="W171" s="8"/>
      <c r="X171" s="8"/>
      <c r="Y171" s="11" t="s">
        <v>1418</v>
      </c>
      <c r="Z171" s="8" t="s">
        <v>425</v>
      </c>
      <c r="AA171" s="8" t="s">
        <v>425</v>
      </c>
      <c r="AB171" s="3"/>
      <c r="AC171" s="3"/>
      <c r="AD171" s="3"/>
    </row>
    <row r="172" spans="1:30" ht="72.5">
      <c r="A172" s="14" t="s">
        <v>545</v>
      </c>
      <c r="B172" s="46"/>
      <c r="C172" s="3"/>
      <c r="D172" s="18" t="s">
        <v>1419</v>
      </c>
      <c r="E172" s="63">
        <v>95471447</v>
      </c>
      <c r="F172" s="194"/>
      <c r="G172" s="17" t="s">
        <v>159</v>
      </c>
      <c r="H172" s="13" t="str">
        <f>IFERROR(VLOOKUP(G172, Sheet2!$A:$B, 2, FALSE), A172)</f>
        <v>RAY FUNG PI INNOVATION COMPANY LIMITED 
(Name in Ali portal :CGSE)</v>
      </c>
      <c r="I172" s="6" t="s">
        <v>359</v>
      </c>
      <c r="J172" s="109"/>
      <c r="K172" s="61"/>
      <c r="L172" s="120"/>
      <c r="M172" s="18" t="s">
        <v>1420</v>
      </c>
      <c r="N172" s="18"/>
      <c r="O172" s="7"/>
      <c r="P172" s="18"/>
      <c r="Q172" s="64">
        <v>44691</v>
      </c>
      <c r="R172" s="8"/>
      <c r="S172" s="64">
        <v>44693</v>
      </c>
      <c r="T172" s="8" t="s">
        <v>1421</v>
      </c>
      <c r="U172" s="8" t="s">
        <v>1422</v>
      </c>
      <c r="V172" s="119">
        <v>103034</v>
      </c>
      <c r="W172" s="64"/>
      <c r="X172" s="8"/>
      <c r="Y172" s="18" t="s">
        <v>1423</v>
      </c>
      <c r="Z172" s="8" t="s">
        <v>425</v>
      </c>
      <c r="AA172" s="8" t="s">
        <v>425</v>
      </c>
      <c r="AB172" s="14"/>
      <c r="AC172" s="14"/>
      <c r="AD172" s="14"/>
    </row>
    <row r="173" spans="1:30" ht="29">
      <c r="A173" s="4" t="s">
        <v>545</v>
      </c>
      <c r="B173" s="46"/>
      <c r="C173" s="3"/>
      <c r="D173" s="5" t="s">
        <v>989</v>
      </c>
      <c r="E173" s="58" t="s">
        <v>990</v>
      </c>
      <c r="F173" s="57"/>
      <c r="G173" s="5" t="s">
        <v>43</v>
      </c>
      <c r="H173" s="13" t="str">
        <f>IFERROR(VLOOKUP(G173, Sheet2!$A:$B, 2, FALSE), A173)</f>
        <v>CHOW TAI FOOK JEWELLERY CO LTD</v>
      </c>
      <c r="I173" s="6" t="s">
        <v>352</v>
      </c>
      <c r="J173" s="100">
        <v>726125834629</v>
      </c>
      <c r="K173" s="48"/>
      <c r="L173" s="120"/>
      <c r="M173" s="3"/>
      <c r="N173" s="3"/>
      <c r="O173" s="7"/>
      <c r="P173" s="3"/>
      <c r="Q173" s="8">
        <v>44692</v>
      </c>
      <c r="R173" s="8"/>
      <c r="S173" s="8">
        <v>44686</v>
      </c>
      <c r="T173" s="3" t="s">
        <v>993</v>
      </c>
      <c r="U173" s="8" t="s">
        <v>1424</v>
      </c>
      <c r="V173" s="19" t="s">
        <v>1425</v>
      </c>
      <c r="W173" s="8"/>
      <c r="X173" s="8"/>
      <c r="Y173" s="9" t="s">
        <v>1426</v>
      </c>
      <c r="Z173" s="53" t="s">
        <v>489</v>
      </c>
      <c r="AA173" s="8" t="s">
        <v>781</v>
      </c>
      <c r="AB173" s="3"/>
      <c r="AC173" s="3"/>
      <c r="AD173" s="3"/>
    </row>
    <row r="174" spans="1:30" ht="87.5">
      <c r="A174" s="8" t="s">
        <v>883</v>
      </c>
      <c r="B174" s="46"/>
      <c r="C174" s="3"/>
      <c r="D174" s="5" t="s">
        <v>1118</v>
      </c>
      <c r="E174" s="58" t="s">
        <v>1119</v>
      </c>
      <c r="F174" s="57"/>
      <c r="G174" s="13" t="s">
        <v>43</v>
      </c>
      <c r="H174" s="13" t="str">
        <f>IFERROR(VLOOKUP(G174, Sheet2!$A:$B, 2, FALSE), A174)</f>
        <v>CHOW TAI FOOK JEWELLERY CO LTD</v>
      </c>
      <c r="I174" s="6" t="s">
        <v>359</v>
      </c>
      <c r="J174" s="109"/>
      <c r="K174" s="83"/>
      <c r="L174" s="120"/>
      <c r="M174" s="3"/>
      <c r="N174" s="3"/>
      <c r="O174" s="7"/>
      <c r="P174" s="3"/>
      <c r="Q174" s="8">
        <v>44704</v>
      </c>
      <c r="R174" s="8"/>
      <c r="S174" s="8"/>
      <c r="T174" s="103" t="s">
        <v>1427</v>
      </c>
      <c r="U174" s="8" t="s">
        <v>1428</v>
      </c>
      <c r="V174" s="146" t="s">
        <v>1429</v>
      </c>
      <c r="W174" s="8"/>
      <c r="X174" s="8"/>
      <c r="Y174" s="90" t="s">
        <v>1430</v>
      </c>
      <c r="Z174" s="53" t="s">
        <v>489</v>
      </c>
      <c r="AA174" s="7" t="s">
        <v>1079</v>
      </c>
      <c r="AB174" s="3"/>
      <c r="AC174" s="3"/>
      <c r="AD174" s="3"/>
    </row>
    <row r="175" spans="1:30" ht="104.5">
      <c r="A175" s="3"/>
      <c r="B175" s="46"/>
      <c r="C175" s="3"/>
      <c r="D175" s="13" t="s">
        <v>1431</v>
      </c>
      <c r="E175" s="49" t="s">
        <v>1432</v>
      </c>
      <c r="F175" s="133" t="s">
        <v>1433</v>
      </c>
      <c r="G175" s="13" t="s">
        <v>160</v>
      </c>
      <c r="H175" s="13" t="str">
        <f>IFERROR(VLOOKUP(G175, Sheet2!$A:$B, 2, FALSE), A175)</f>
        <v>ESRI CHINA (HONG KONG) LIMITED C/O FSD</v>
      </c>
      <c r="I175" s="6" t="s">
        <v>352</v>
      </c>
      <c r="J175" s="109"/>
      <c r="K175" s="79"/>
      <c r="L175" s="120"/>
      <c r="M175" s="95" t="s">
        <v>1434</v>
      </c>
      <c r="N175" s="95"/>
      <c r="O175" s="7"/>
      <c r="P175" s="95"/>
      <c r="Q175" s="8"/>
      <c r="R175" s="8"/>
      <c r="S175" s="8"/>
      <c r="T175" s="159" t="s">
        <v>997</v>
      </c>
      <c r="U175" s="8" t="s">
        <v>997</v>
      </c>
      <c r="V175" s="19"/>
      <c r="W175" s="8"/>
      <c r="X175" s="8"/>
      <c r="Y175" s="95" t="s">
        <v>1435</v>
      </c>
      <c r="Z175" s="53" t="s">
        <v>489</v>
      </c>
      <c r="AA175" s="7" t="s">
        <v>1264</v>
      </c>
      <c r="AB175" s="3"/>
      <c r="AC175" s="3"/>
      <c r="AD175" s="3"/>
    </row>
    <row r="176" spans="1:30" ht="102">
      <c r="A176" s="4" t="s">
        <v>545</v>
      </c>
      <c r="B176" s="46"/>
      <c r="C176" s="3"/>
      <c r="D176" s="8" t="s">
        <v>1436</v>
      </c>
      <c r="E176" s="6">
        <v>28788028</v>
      </c>
      <c r="F176" s="74" t="s">
        <v>1437</v>
      </c>
      <c r="G176" s="9" t="s">
        <v>162</v>
      </c>
      <c r="H176" s="13" t="str">
        <f>IFERROR(VLOOKUP(G176, Sheet2!$A:$B, 2, FALSE), A176)</f>
        <v>Great Eagle Holdings Ltd 
( Name in order form : KEYSEN PROPERTY MANAGEMENT SERVICES LTD  )</v>
      </c>
      <c r="I176" s="6" t="s">
        <v>410</v>
      </c>
      <c r="J176" s="109"/>
      <c r="K176" s="79"/>
      <c r="L176" s="120"/>
      <c r="M176" s="195" t="s">
        <v>1438</v>
      </c>
      <c r="N176" s="195"/>
      <c r="O176" s="7"/>
      <c r="P176" s="195"/>
      <c r="Q176" s="8">
        <v>44712</v>
      </c>
      <c r="R176" s="8"/>
      <c r="S176" s="8">
        <v>44728</v>
      </c>
      <c r="T176" s="8" t="s">
        <v>1439</v>
      </c>
      <c r="U176" s="8" t="s">
        <v>1440</v>
      </c>
      <c r="V176" s="19" t="s">
        <v>1441</v>
      </c>
      <c r="W176" s="8"/>
      <c r="X176" s="8"/>
      <c r="Y176" s="56" t="s">
        <v>1442</v>
      </c>
      <c r="Z176" s="53" t="s">
        <v>425</v>
      </c>
      <c r="AA176" s="8" t="s">
        <v>930</v>
      </c>
      <c r="AB176" s="3"/>
      <c r="AC176" s="3"/>
      <c r="AD176" s="3"/>
    </row>
    <row r="177" spans="1:30" ht="87">
      <c r="A177" s="157" t="s">
        <v>1443</v>
      </c>
      <c r="B177" s="46"/>
      <c r="C177" s="3"/>
      <c r="D177" s="5" t="s">
        <v>1444</v>
      </c>
      <c r="E177" s="58" t="s">
        <v>1119</v>
      </c>
      <c r="F177" s="57"/>
      <c r="G177" s="13" t="s">
        <v>43</v>
      </c>
      <c r="H177" s="13" t="str">
        <f>IFERROR(VLOOKUP(G177, Sheet2!$A:$B, 2, FALSE), A177)</f>
        <v>CHOW TAI FOOK JEWELLERY CO LTD</v>
      </c>
      <c r="I177" s="6" t="s">
        <v>359</v>
      </c>
      <c r="J177" s="109"/>
      <c r="K177" s="196" t="s">
        <v>1445</v>
      </c>
      <c r="L177" s="120"/>
      <c r="M177" s="11" t="s">
        <v>1446</v>
      </c>
      <c r="N177" s="11"/>
      <c r="O177" s="7"/>
      <c r="P177" s="11"/>
      <c r="Q177" s="8">
        <v>44740</v>
      </c>
      <c r="R177" s="8"/>
      <c r="S177" s="8"/>
      <c r="T177" s="8" t="s">
        <v>1447</v>
      </c>
      <c r="U177" s="8" t="s">
        <v>1448</v>
      </c>
      <c r="V177" s="19">
        <v>103064</v>
      </c>
      <c r="W177" s="8"/>
      <c r="X177" s="8"/>
      <c r="Y177" s="157" t="s">
        <v>1449</v>
      </c>
      <c r="Z177" s="53" t="s">
        <v>489</v>
      </c>
      <c r="AA177" s="7" t="s">
        <v>1079</v>
      </c>
      <c r="AB177" s="3"/>
      <c r="AC177" s="3"/>
      <c r="AD177" s="3"/>
    </row>
    <row r="178" spans="1:30" ht="32">
      <c r="A178" s="5" t="s">
        <v>545</v>
      </c>
      <c r="B178" s="46"/>
      <c r="C178" s="3"/>
      <c r="D178" s="5" t="s">
        <v>1444</v>
      </c>
      <c r="E178" s="58" t="s">
        <v>1119</v>
      </c>
      <c r="F178" s="57"/>
      <c r="G178" s="8" t="s">
        <v>44</v>
      </c>
      <c r="H178" s="13" t="str">
        <f>IFERROR(VLOOKUP(G178, Sheet2!$A:$B, 2, FALSE), A178)</f>
        <v>CHOW TAI FOOK JEWELLERY CO LTD</v>
      </c>
      <c r="I178" s="6" t="s">
        <v>352</v>
      </c>
      <c r="J178" s="109">
        <v>726125834629</v>
      </c>
      <c r="K178" s="19"/>
      <c r="L178" s="120"/>
      <c r="M178" s="11" t="s">
        <v>1446</v>
      </c>
      <c r="N178" s="11"/>
      <c r="O178" s="7"/>
      <c r="P178" s="11"/>
      <c r="Q178" s="8">
        <v>44750</v>
      </c>
      <c r="R178" s="8"/>
      <c r="S178" s="8"/>
      <c r="T178" s="8" t="s">
        <v>1450</v>
      </c>
      <c r="U178" s="8" t="s">
        <v>1451</v>
      </c>
      <c r="V178" s="19" t="s">
        <v>1452</v>
      </c>
      <c r="W178" s="8"/>
      <c r="X178" s="8"/>
      <c r="Y178" s="56" t="s">
        <v>1453</v>
      </c>
      <c r="Z178" s="53" t="s">
        <v>886</v>
      </c>
      <c r="AA178" s="8" t="s">
        <v>425</v>
      </c>
      <c r="AB178" s="3"/>
      <c r="AC178" s="3"/>
      <c r="AD178" s="3"/>
    </row>
    <row r="179" spans="1:30" ht="58.5">
      <c r="A179" s="5" t="s">
        <v>545</v>
      </c>
      <c r="B179" s="46"/>
      <c r="C179" s="3"/>
      <c r="D179" s="5" t="s">
        <v>1444</v>
      </c>
      <c r="E179" s="58" t="s">
        <v>1119</v>
      </c>
      <c r="F179" s="57"/>
      <c r="G179" s="3" t="s">
        <v>44</v>
      </c>
      <c r="H179" s="13" t="str">
        <f>IFERROR(VLOOKUP(G179, Sheet2!$A:$B, 2, FALSE), A179)</f>
        <v>CHOW TAI FOOK JEWELLERY CO LTD</v>
      </c>
      <c r="I179" s="6" t="s">
        <v>352</v>
      </c>
      <c r="J179" s="109">
        <v>726125834629</v>
      </c>
      <c r="K179" s="19"/>
      <c r="L179" s="120"/>
      <c r="M179" s="11" t="s">
        <v>1454</v>
      </c>
      <c r="N179" s="11"/>
      <c r="O179" s="7"/>
      <c r="P179" s="11"/>
      <c r="Q179" s="8">
        <v>44750</v>
      </c>
      <c r="R179" s="8"/>
      <c r="S179" s="8"/>
      <c r="T179" s="3" t="s">
        <v>1455</v>
      </c>
      <c r="U179" s="3" t="s">
        <v>1456</v>
      </c>
      <c r="V179" s="19" t="s">
        <v>1457</v>
      </c>
      <c r="W179" s="8"/>
      <c r="X179" s="3"/>
      <c r="Y179" s="56" t="s">
        <v>1458</v>
      </c>
      <c r="Z179" s="53" t="s">
        <v>886</v>
      </c>
      <c r="AA179" s="8" t="s">
        <v>425</v>
      </c>
      <c r="AB179" s="3"/>
      <c r="AC179" s="3"/>
      <c r="AD179" s="3"/>
    </row>
    <row r="180" spans="1:30" ht="87">
      <c r="A180" s="197" t="s">
        <v>545</v>
      </c>
      <c r="B180" s="46"/>
      <c r="C180" s="3"/>
      <c r="D180" s="5" t="s">
        <v>1444</v>
      </c>
      <c r="E180" s="58" t="s">
        <v>1119</v>
      </c>
      <c r="F180" s="57"/>
      <c r="G180" s="3" t="s">
        <v>44</v>
      </c>
      <c r="H180" s="13" t="str">
        <f>IFERROR(VLOOKUP(G180, Sheet2!$A:$B, 2, FALSE), A180)</f>
        <v>CHOW TAI FOOK JEWELLERY CO LTD</v>
      </c>
      <c r="I180" s="6" t="s">
        <v>352</v>
      </c>
      <c r="J180" s="100">
        <v>726125834629</v>
      </c>
      <c r="K180" s="198"/>
      <c r="L180" s="120"/>
      <c r="M180" s="3"/>
      <c r="N180" s="3"/>
      <c r="O180" s="7"/>
      <c r="P180" s="3"/>
      <c r="Q180" s="8">
        <v>44750</v>
      </c>
      <c r="R180" s="8"/>
      <c r="S180" s="8"/>
      <c r="T180" s="8" t="s">
        <v>1459</v>
      </c>
      <c r="U180" s="3" t="s">
        <v>1460</v>
      </c>
      <c r="V180" s="19" t="s">
        <v>1461</v>
      </c>
      <c r="W180" s="8"/>
      <c r="X180" s="3"/>
      <c r="Y180" s="157" t="s">
        <v>1462</v>
      </c>
      <c r="Z180" s="53" t="s">
        <v>489</v>
      </c>
      <c r="AA180" s="7" t="s">
        <v>1079</v>
      </c>
      <c r="AB180" s="3"/>
      <c r="AC180" s="3"/>
      <c r="AD180" s="3"/>
    </row>
    <row r="181" spans="1:30" ht="117.5">
      <c r="A181" s="5" t="s">
        <v>545</v>
      </c>
      <c r="B181" s="46"/>
      <c r="C181" s="3"/>
      <c r="D181" s="191" t="s">
        <v>1463</v>
      </c>
      <c r="E181" s="6">
        <v>62792525</v>
      </c>
      <c r="F181" s="47"/>
      <c r="G181" s="15" t="s">
        <v>164</v>
      </c>
      <c r="H181" s="13" t="str">
        <f>IFERROR(VLOOKUP(G181, Sheet2!$A:$B, 2, FALSE), A181)</f>
        <v>CHOW TAI FOOK JEWELLERY CO LTD</v>
      </c>
      <c r="I181" s="6" t="s">
        <v>352</v>
      </c>
      <c r="J181" s="100"/>
      <c r="K181" s="48"/>
      <c r="L181" s="120"/>
      <c r="M181" s="11" t="s">
        <v>1464</v>
      </c>
      <c r="N181" s="11"/>
      <c r="O181" s="7"/>
      <c r="P181" s="11"/>
      <c r="Q181" s="8">
        <v>44778</v>
      </c>
      <c r="R181" s="8"/>
      <c r="S181" s="8"/>
      <c r="T181" s="199" t="s">
        <v>1465</v>
      </c>
      <c r="U181" s="47" t="s">
        <v>1466</v>
      </c>
      <c r="V181" s="147">
        <v>103080</v>
      </c>
      <c r="W181" s="8"/>
      <c r="X181" s="47"/>
      <c r="Y181" s="11" t="s">
        <v>1467</v>
      </c>
      <c r="Z181" s="53" t="s">
        <v>489</v>
      </c>
      <c r="AA181" s="7" t="s">
        <v>930</v>
      </c>
      <c r="AB181" s="3"/>
      <c r="AC181" s="3"/>
      <c r="AD181" s="3"/>
    </row>
    <row r="182" spans="1:30" ht="43.5">
      <c r="A182" s="5" t="s">
        <v>545</v>
      </c>
      <c r="B182" s="46"/>
      <c r="C182" s="3"/>
      <c r="D182" s="3" t="s">
        <v>1468</v>
      </c>
      <c r="E182" s="6">
        <v>61227578</v>
      </c>
      <c r="F182" s="47"/>
      <c r="G182" s="3" t="s">
        <v>165</v>
      </c>
      <c r="H182" s="13" t="str">
        <f>IFERROR(VLOOKUP(G182, Sheet2!$A:$B, 2, FALSE), A182)</f>
        <v>CHOW SANG SANG JEWELLERY CO LTD</v>
      </c>
      <c r="I182" s="6" t="s">
        <v>393</v>
      </c>
      <c r="J182" s="109"/>
      <c r="K182" s="48"/>
      <c r="L182" s="120"/>
      <c r="M182" s="11" t="s">
        <v>1469</v>
      </c>
      <c r="N182" s="11"/>
      <c r="O182" s="7"/>
      <c r="P182" s="11"/>
      <c r="Q182" s="8">
        <v>44771</v>
      </c>
      <c r="R182" s="8"/>
      <c r="S182" s="8">
        <v>44771</v>
      </c>
      <c r="T182" s="69" t="s">
        <v>1470</v>
      </c>
      <c r="U182" s="8" t="s">
        <v>1471</v>
      </c>
      <c r="V182" s="19" t="s">
        <v>1472</v>
      </c>
      <c r="W182" s="8"/>
      <c r="X182" s="8"/>
      <c r="Y182" s="11" t="s">
        <v>1473</v>
      </c>
      <c r="Z182" s="53" t="s">
        <v>365</v>
      </c>
      <c r="AA182" s="8" t="s">
        <v>365</v>
      </c>
      <c r="AB182" s="3"/>
      <c r="AC182" s="3"/>
      <c r="AD182" s="3"/>
    </row>
    <row r="183" spans="1:30" ht="43.5">
      <c r="A183" s="153"/>
      <c r="B183" s="46"/>
      <c r="C183" s="3"/>
      <c r="D183" s="3" t="s">
        <v>1474</v>
      </c>
      <c r="E183" s="8" t="s">
        <v>1475</v>
      </c>
      <c r="F183" s="133" t="s">
        <v>1476</v>
      </c>
      <c r="G183" s="3" t="s">
        <v>166</v>
      </c>
      <c r="H183" s="13" t="str">
        <f>IFERROR(VLOOKUP(G183, Sheet2!$A:$B, 2, FALSE), A183)</f>
        <v>PCCW Digital Solutions Ltd</v>
      </c>
      <c r="I183" s="6" t="s">
        <v>352</v>
      </c>
      <c r="J183" s="109"/>
      <c r="K183" s="48"/>
      <c r="L183" s="120"/>
      <c r="M183" s="3"/>
      <c r="N183" s="3"/>
      <c r="O183" s="7"/>
      <c r="P183" s="3"/>
      <c r="Q183" s="8" t="s">
        <v>730</v>
      </c>
      <c r="R183" s="8"/>
      <c r="S183" s="8"/>
      <c r="T183" s="69" t="s">
        <v>730</v>
      </c>
      <c r="U183" s="69" t="s">
        <v>730</v>
      </c>
      <c r="V183" s="97" t="s">
        <v>730</v>
      </c>
      <c r="W183" s="8"/>
      <c r="X183" s="69"/>
      <c r="Y183" s="15" t="s">
        <v>1477</v>
      </c>
      <c r="Z183" s="53" t="s">
        <v>425</v>
      </c>
      <c r="AA183" s="8" t="s">
        <v>930</v>
      </c>
      <c r="AB183" s="3"/>
      <c r="AC183" s="3"/>
      <c r="AD183" s="3"/>
    </row>
    <row r="184" spans="1:30" ht="188.5">
      <c r="A184" s="5" t="s">
        <v>545</v>
      </c>
      <c r="B184" s="46"/>
      <c r="C184" s="3"/>
      <c r="D184" s="8" t="s">
        <v>1478</v>
      </c>
      <c r="E184" s="200" t="s">
        <v>1479</v>
      </c>
      <c r="F184" s="201"/>
      <c r="G184" s="3" t="s">
        <v>167</v>
      </c>
      <c r="H184" s="13" t="str">
        <f>IFERROR(VLOOKUP(G184, Sheet2!$A:$B, 2, FALSE), A184)</f>
        <v>CIVIL ENGINEERING AND DEVELOPMENT DEPT</v>
      </c>
      <c r="I184" s="6" t="s">
        <v>352</v>
      </c>
      <c r="J184" s="109"/>
      <c r="K184" s="48"/>
      <c r="L184" s="120"/>
      <c r="M184" s="11" t="s">
        <v>1480</v>
      </c>
      <c r="N184" s="11"/>
      <c r="O184" s="7"/>
      <c r="P184" s="11"/>
      <c r="Q184" s="8">
        <v>44789</v>
      </c>
      <c r="R184" s="8">
        <v>45336</v>
      </c>
      <c r="S184" s="8">
        <v>44802</v>
      </c>
      <c r="T184" s="8" t="s">
        <v>1481</v>
      </c>
      <c r="U184" s="8" t="s">
        <v>1482</v>
      </c>
      <c r="V184" s="19" t="s">
        <v>1483</v>
      </c>
      <c r="W184" s="8" t="s">
        <v>1484</v>
      </c>
      <c r="X184" s="8"/>
      <c r="Y184" s="11" t="s">
        <v>1485</v>
      </c>
      <c r="Z184" s="53" t="s">
        <v>489</v>
      </c>
      <c r="AA184" s="8" t="s">
        <v>1264</v>
      </c>
      <c r="AB184" s="3"/>
      <c r="AC184" s="3"/>
      <c r="AD184" s="133" t="s">
        <v>1486</v>
      </c>
    </row>
    <row r="185" spans="1:30" ht="43.5">
      <c r="A185" s="5" t="s">
        <v>545</v>
      </c>
      <c r="B185" s="46"/>
      <c r="C185" s="3"/>
      <c r="D185" s="191" t="s">
        <v>1463</v>
      </c>
      <c r="E185" s="6">
        <v>62792525</v>
      </c>
      <c r="F185" s="47"/>
      <c r="G185" s="15" t="s">
        <v>164</v>
      </c>
      <c r="H185" s="13" t="str">
        <f>IFERROR(VLOOKUP(G185, Sheet2!$A:$B, 2, FALSE), A185)</f>
        <v>CHOW TAI FOOK JEWELLERY CO LTD</v>
      </c>
      <c r="I185" s="6" t="s">
        <v>352</v>
      </c>
      <c r="J185" s="100"/>
      <c r="K185" s="48"/>
      <c r="L185" s="120"/>
      <c r="M185" s="3"/>
      <c r="N185" s="3"/>
      <c r="O185" s="7"/>
      <c r="P185" s="3"/>
      <c r="Q185" s="8">
        <v>44798</v>
      </c>
      <c r="R185" s="8"/>
      <c r="S185" s="8"/>
      <c r="T185" s="3" t="s">
        <v>1465</v>
      </c>
      <c r="U185" s="6">
        <v>553259</v>
      </c>
      <c r="V185" s="147">
        <v>103080</v>
      </c>
      <c r="W185" s="8"/>
      <c r="X185" s="6"/>
      <c r="Y185" s="15" t="s">
        <v>1487</v>
      </c>
      <c r="Z185" s="53" t="s">
        <v>489</v>
      </c>
      <c r="AA185" s="7" t="s">
        <v>1079</v>
      </c>
      <c r="AB185" s="3"/>
      <c r="AC185" s="3"/>
      <c r="AD185" s="3"/>
    </row>
    <row r="186" spans="1:30" ht="101.5">
      <c r="A186" s="5" t="s">
        <v>545</v>
      </c>
      <c r="B186" s="46"/>
      <c r="C186" s="3"/>
      <c r="D186" s="3" t="s">
        <v>1488</v>
      </c>
      <c r="E186" s="6" t="s">
        <v>1489</v>
      </c>
      <c r="F186" s="47"/>
      <c r="G186" s="11" t="s">
        <v>169</v>
      </c>
      <c r="H186" s="13" t="str">
        <f>IFERROR(VLOOKUP(G186, Sheet2!$A:$B, 2, FALSE), A186)</f>
        <v>CAM 8 Google Cloud account for Google One Project
 (For Product and Innovation team)</v>
      </c>
      <c r="I186" s="6" t="s">
        <v>410</v>
      </c>
      <c r="J186" s="109"/>
      <c r="K186" s="48"/>
      <c r="L186" s="120"/>
      <c r="M186" s="202" t="s">
        <v>1490</v>
      </c>
      <c r="N186" s="11"/>
      <c r="O186" s="7"/>
      <c r="P186" s="11"/>
      <c r="Q186" s="64">
        <v>44813</v>
      </c>
      <c r="R186" s="8"/>
      <c r="S186" s="8">
        <v>44812</v>
      </c>
      <c r="T186" s="69" t="s">
        <v>1491</v>
      </c>
      <c r="U186" s="8" t="s">
        <v>1492</v>
      </c>
      <c r="V186" s="119" t="s">
        <v>1493</v>
      </c>
      <c r="W186" s="8"/>
      <c r="X186" s="8"/>
      <c r="Y186" s="15" t="s">
        <v>1494</v>
      </c>
      <c r="Z186" s="53" t="s">
        <v>425</v>
      </c>
      <c r="AA186" s="8" t="s">
        <v>930</v>
      </c>
      <c r="AB186" s="3"/>
      <c r="AC186" s="3"/>
      <c r="AD186" s="3"/>
    </row>
    <row r="187" spans="1:30" ht="87.5">
      <c r="A187" s="4" t="s">
        <v>545</v>
      </c>
      <c r="B187" s="46"/>
      <c r="C187" s="3"/>
      <c r="D187" s="8" t="s">
        <v>1495</v>
      </c>
      <c r="E187" s="6">
        <v>23598532</v>
      </c>
      <c r="F187" s="74" t="s">
        <v>1496</v>
      </c>
      <c r="G187" s="4" t="s">
        <v>171</v>
      </c>
      <c r="H187" s="13" t="str">
        <f>IFERROR(VLOOKUP(G187, Sheet2!$A:$B, 2, FALSE), A187)</f>
        <v>6IXTY 8IGHT LIMITED</v>
      </c>
      <c r="I187" s="6" t="s">
        <v>393</v>
      </c>
      <c r="J187" s="109"/>
      <c r="K187" s="83"/>
      <c r="L187" s="120"/>
      <c r="M187" s="11" t="s">
        <v>1497</v>
      </c>
      <c r="N187" s="11"/>
      <c r="O187" s="7"/>
      <c r="P187" s="11"/>
      <c r="Q187" s="8">
        <v>44823</v>
      </c>
      <c r="R187" s="8"/>
      <c r="S187" s="8"/>
      <c r="T187" s="69" t="s">
        <v>1498</v>
      </c>
      <c r="U187" s="3" t="s">
        <v>1499</v>
      </c>
      <c r="V187" s="19" t="s">
        <v>1500</v>
      </c>
      <c r="W187" s="8"/>
      <c r="X187" s="3"/>
      <c r="Y187" s="90" t="s">
        <v>1501</v>
      </c>
      <c r="Z187" s="53" t="s">
        <v>886</v>
      </c>
      <c r="AA187" s="8" t="s">
        <v>1264</v>
      </c>
      <c r="AB187" s="3"/>
      <c r="AC187" s="3"/>
      <c r="AD187" s="3"/>
    </row>
    <row r="188" spans="1:30" ht="101.5">
      <c r="A188" s="4" t="s">
        <v>545</v>
      </c>
      <c r="B188" s="46"/>
      <c r="C188" s="3"/>
      <c r="D188" s="8" t="s">
        <v>1502</v>
      </c>
      <c r="E188" s="6">
        <v>22311728</v>
      </c>
      <c r="F188" s="47"/>
      <c r="G188" s="8" t="s">
        <v>172</v>
      </c>
      <c r="H188" s="13" t="str">
        <f>IFERROR(VLOOKUP(G188, Sheet2!$A:$B, 2, FALSE), A188)</f>
        <v>SECURITIES AND FUTURES COMMISSION</v>
      </c>
      <c r="I188" s="6" t="s">
        <v>352</v>
      </c>
      <c r="J188" s="109"/>
      <c r="K188" s="109">
        <v>43897517730</v>
      </c>
      <c r="L188" s="120"/>
      <c r="M188" s="15" t="s">
        <v>1503</v>
      </c>
      <c r="N188" s="11"/>
      <c r="O188" s="11"/>
      <c r="P188" s="11"/>
      <c r="Q188" s="8">
        <v>44839</v>
      </c>
      <c r="R188" s="8"/>
      <c r="S188" s="3"/>
      <c r="T188" s="8" t="s">
        <v>1504</v>
      </c>
      <c r="U188" s="8" t="s">
        <v>1505</v>
      </c>
      <c r="V188" s="19" t="s">
        <v>1506</v>
      </c>
      <c r="W188" s="3"/>
      <c r="X188" s="8"/>
      <c r="Y188" s="7" t="s">
        <v>1507</v>
      </c>
      <c r="Z188" s="53" t="s">
        <v>489</v>
      </c>
      <c r="AA188" s="3"/>
      <c r="AB188" s="3"/>
      <c r="AC188" s="3"/>
      <c r="AD188" s="3"/>
    </row>
    <row r="189" spans="1:30" ht="159.5">
      <c r="A189" s="8" t="s">
        <v>1508</v>
      </c>
      <c r="B189" s="46"/>
      <c r="C189" s="3"/>
      <c r="D189" s="8" t="s">
        <v>1509</v>
      </c>
      <c r="E189" s="6" t="s">
        <v>1510</v>
      </c>
      <c r="F189" s="74" t="s">
        <v>1511</v>
      </c>
      <c r="G189" s="8" t="s">
        <v>174</v>
      </c>
      <c r="H189" s="13" t="str">
        <f>IFERROR(VLOOKUP(G189, Sheet2!$A:$B, 2, FALSE), A189)</f>
        <v>LEE KUM KEE INTERNATIONAL HOLDINGS LTD</v>
      </c>
      <c r="I189" s="6" t="s">
        <v>393</v>
      </c>
      <c r="J189" s="109"/>
      <c r="K189" s="48" t="s">
        <v>1512</v>
      </c>
      <c r="L189" s="120"/>
      <c r="M189" s="11" t="s">
        <v>1513</v>
      </c>
      <c r="N189" s="11"/>
      <c r="O189" s="7"/>
      <c r="P189" s="11"/>
      <c r="Q189" s="8">
        <v>44834</v>
      </c>
      <c r="R189" s="8"/>
      <c r="S189" s="8">
        <v>45307</v>
      </c>
      <c r="T189" s="8" t="s">
        <v>1514</v>
      </c>
      <c r="U189" s="8" t="s">
        <v>1515</v>
      </c>
      <c r="V189" s="19" t="s">
        <v>1516</v>
      </c>
      <c r="W189" s="8"/>
      <c r="X189" s="8"/>
      <c r="Y189" s="203" t="s">
        <v>1517</v>
      </c>
      <c r="Z189" s="53" t="s">
        <v>365</v>
      </c>
      <c r="AA189" s="8" t="s">
        <v>926</v>
      </c>
      <c r="AB189" s="3"/>
      <c r="AC189" s="3"/>
      <c r="AD189" s="3"/>
    </row>
    <row r="190" spans="1:30" ht="101.5">
      <c r="A190" s="5" t="s">
        <v>545</v>
      </c>
      <c r="B190" s="46"/>
      <c r="C190" s="3"/>
      <c r="D190" s="8" t="s">
        <v>1518</v>
      </c>
      <c r="E190" s="6"/>
      <c r="F190" s="47"/>
      <c r="G190" s="8" t="s">
        <v>175</v>
      </c>
      <c r="H190" s="13" t="str">
        <f>IFERROR(VLOOKUP(G190, Sheet2!$A:$B, 2, FALSE), A190)</f>
        <v>HOSPITAL AUTHORITY</v>
      </c>
      <c r="I190" s="6" t="s">
        <v>675</v>
      </c>
      <c r="J190" s="109"/>
      <c r="K190" s="48" t="s">
        <v>1519</v>
      </c>
      <c r="L190" s="120"/>
      <c r="M190" s="204" t="s">
        <v>1520</v>
      </c>
      <c r="N190" s="11"/>
      <c r="O190" s="7" t="s">
        <v>1521</v>
      </c>
      <c r="P190" s="11"/>
      <c r="Q190" s="8">
        <v>44866</v>
      </c>
      <c r="R190" s="8"/>
      <c r="S190" s="8">
        <v>45302</v>
      </c>
      <c r="T190" s="4" t="s">
        <v>1522</v>
      </c>
      <c r="U190" s="8" t="s">
        <v>1523</v>
      </c>
      <c r="V190" s="19"/>
      <c r="W190" s="8"/>
      <c r="X190" s="8"/>
      <c r="Y190" s="15" t="s">
        <v>1524</v>
      </c>
      <c r="Z190" s="53" t="s">
        <v>365</v>
      </c>
      <c r="AA190" s="8"/>
      <c r="AB190" s="3"/>
      <c r="AC190" s="3"/>
      <c r="AD190" s="3"/>
    </row>
    <row r="191" spans="1:30" ht="134.5">
      <c r="A191" s="4" t="s">
        <v>545</v>
      </c>
      <c r="B191" s="46"/>
      <c r="C191" s="3"/>
      <c r="D191" s="8" t="s">
        <v>1525</v>
      </c>
      <c r="E191" s="6">
        <v>27738205</v>
      </c>
      <c r="F191" s="47"/>
      <c r="G191" s="8" t="s">
        <v>177</v>
      </c>
      <c r="H191" s="13" t="str">
        <f>IFERROR(VLOOKUP(G191, Sheet2!$A:$B, 2, FALSE), A191)</f>
        <v>DAIWA CAPITAL MARKETS HONG KONG LIMITED</v>
      </c>
      <c r="I191" s="6" t="s">
        <v>352</v>
      </c>
      <c r="J191" s="109"/>
      <c r="K191" s="79"/>
      <c r="L191" s="120"/>
      <c r="M191" s="3"/>
      <c r="N191" s="3"/>
      <c r="O191" s="7"/>
      <c r="P191" s="3"/>
      <c r="Q191" s="8">
        <v>44895</v>
      </c>
      <c r="R191" s="8"/>
      <c r="S191" s="8">
        <v>44897</v>
      </c>
      <c r="T191" s="8" t="s">
        <v>1526</v>
      </c>
      <c r="U191" s="8" t="s">
        <v>1527</v>
      </c>
      <c r="V191" s="19" t="s">
        <v>1528</v>
      </c>
      <c r="W191" s="8"/>
      <c r="X191" s="8"/>
      <c r="Y191" s="56" t="s">
        <v>1529</v>
      </c>
      <c r="Z191" s="53" t="s">
        <v>886</v>
      </c>
      <c r="AA191" s="8" t="s">
        <v>930</v>
      </c>
      <c r="AB191" s="3"/>
      <c r="AC191" s="3"/>
      <c r="AD191" s="3"/>
    </row>
    <row r="192" spans="1:30" ht="116">
      <c r="A192" s="4" t="s">
        <v>545</v>
      </c>
      <c r="B192" s="46"/>
      <c r="C192" s="3"/>
      <c r="D192" s="7" t="s">
        <v>1530</v>
      </c>
      <c r="E192" s="7" t="s">
        <v>1531</v>
      </c>
      <c r="F192" s="11"/>
      <c r="G192" s="8" t="s">
        <v>178</v>
      </c>
      <c r="H192" s="13" t="str">
        <f>IFERROR(VLOOKUP(G192, Sheet2!$A:$B, 2, FALSE), A192)</f>
        <v>EBROKER SYSTEMS LTD</v>
      </c>
      <c r="I192" s="6" t="s">
        <v>359</v>
      </c>
      <c r="J192" s="109"/>
      <c r="K192" s="48"/>
      <c r="L192" s="120"/>
      <c r="M192" s="11" t="s">
        <v>1532</v>
      </c>
      <c r="N192" s="11"/>
      <c r="O192" s="7"/>
      <c r="P192" s="11"/>
      <c r="Q192" s="8">
        <v>44846</v>
      </c>
      <c r="R192" s="8"/>
      <c r="S192" s="8">
        <v>44866</v>
      </c>
      <c r="T192" s="73" t="s">
        <v>1533</v>
      </c>
      <c r="U192" s="4" t="s">
        <v>1534</v>
      </c>
      <c r="V192" s="52" t="s">
        <v>1535</v>
      </c>
      <c r="W192" s="8"/>
      <c r="X192" s="4"/>
      <c r="Y192" s="7" t="s">
        <v>1536</v>
      </c>
      <c r="Z192" s="53" t="s">
        <v>425</v>
      </c>
      <c r="AA192" s="8" t="s">
        <v>930</v>
      </c>
      <c r="AB192" s="3"/>
      <c r="AC192" s="3"/>
      <c r="AD192" s="3"/>
    </row>
    <row r="193" spans="1:30" ht="116">
      <c r="A193" s="5" t="s">
        <v>545</v>
      </c>
      <c r="B193" s="46"/>
      <c r="C193" s="3"/>
      <c r="D193" s="7" t="s">
        <v>1537</v>
      </c>
      <c r="E193" s="7" t="s">
        <v>1531</v>
      </c>
      <c r="F193" s="11"/>
      <c r="G193" s="8" t="s">
        <v>178</v>
      </c>
      <c r="H193" s="13" t="str">
        <f>IFERROR(VLOOKUP(G193, Sheet2!$A:$B, 2, FALSE), A193)</f>
        <v>EBROKER SYSTEMS LTD</v>
      </c>
      <c r="I193" s="6" t="s">
        <v>359</v>
      </c>
      <c r="J193" s="109"/>
      <c r="K193" s="48"/>
      <c r="L193" s="120"/>
      <c r="M193" s="11" t="s">
        <v>1538</v>
      </c>
      <c r="N193" s="11"/>
      <c r="O193" s="7"/>
      <c r="P193" s="11"/>
      <c r="Q193" s="8">
        <v>44846</v>
      </c>
      <c r="R193" s="8"/>
      <c r="S193" s="8">
        <v>44866</v>
      </c>
      <c r="T193" s="73" t="s">
        <v>1539</v>
      </c>
      <c r="U193" s="8" t="s">
        <v>1540</v>
      </c>
      <c r="V193" s="19" t="s">
        <v>1541</v>
      </c>
      <c r="W193" s="8"/>
      <c r="X193" s="8"/>
      <c r="Y193" s="7" t="s">
        <v>1542</v>
      </c>
      <c r="Z193" s="53" t="s">
        <v>365</v>
      </c>
      <c r="AA193" s="8" t="s">
        <v>926</v>
      </c>
      <c r="AB193" s="3"/>
      <c r="AC193" s="3"/>
      <c r="AD193" s="3"/>
    </row>
    <row r="194" spans="1:30" ht="102.5">
      <c r="A194" s="3" t="s">
        <v>515</v>
      </c>
      <c r="B194" s="46"/>
      <c r="C194" s="3"/>
      <c r="D194" s="191" t="s">
        <v>1463</v>
      </c>
      <c r="E194" s="6">
        <v>62792525</v>
      </c>
      <c r="F194" s="47"/>
      <c r="G194" s="15" t="s">
        <v>164</v>
      </c>
      <c r="H194" s="13" t="str">
        <f>IFERROR(VLOOKUP(G194, Sheet2!$A:$B, 2, FALSE), A194)</f>
        <v>CHOW TAI FOOK JEWELLERY CO LTD</v>
      </c>
      <c r="I194" s="6" t="s">
        <v>352</v>
      </c>
      <c r="J194" s="100"/>
      <c r="K194" s="48"/>
      <c r="L194" s="120"/>
      <c r="M194" s="3"/>
      <c r="N194" s="3"/>
      <c r="O194" s="7"/>
      <c r="P194" s="3"/>
      <c r="Q194" s="8">
        <v>44860</v>
      </c>
      <c r="R194" s="8"/>
      <c r="S194" s="8"/>
      <c r="T194" s="153" t="s">
        <v>1543</v>
      </c>
      <c r="U194" s="6">
        <v>647373</v>
      </c>
      <c r="V194" s="97" t="s">
        <v>1544</v>
      </c>
      <c r="W194" s="8"/>
      <c r="X194" s="6"/>
      <c r="Y194" s="15" t="s">
        <v>1545</v>
      </c>
      <c r="Z194" s="53" t="s">
        <v>365</v>
      </c>
      <c r="AA194" s="7"/>
      <c r="AB194" s="3"/>
      <c r="AC194" s="3"/>
      <c r="AD194" s="3"/>
    </row>
    <row r="195" spans="1:30" ht="145">
      <c r="A195" s="5" t="s">
        <v>545</v>
      </c>
      <c r="B195" s="46"/>
      <c r="C195" s="3"/>
      <c r="D195" s="191" t="s">
        <v>1546</v>
      </c>
      <c r="E195" s="6">
        <v>62792525</v>
      </c>
      <c r="F195" s="47"/>
      <c r="G195" s="18" t="s">
        <v>1547</v>
      </c>
      <c r="H195" s="13" t="str">
        <f>IFERROR(VLOOKUP(G195, Sheet2!$A:$B, 2, FALSE), A195)</f>
        <v>CHOW TAI FOOK JEWELLERY CO LTD</v>
      </c>
      <c r="I195" s="6" t="s">
        <v>352</v>
      </c>
      <c r="J195" s="100"/>
      <c r="K195" s="109" t="s">
        <v>1548</v>
      </c>
      <c r="L195" s="120"/>
      <c r="M195" s="205"/>
      <c r="N195" s="18"/>
      <c r="O195" s="7"/>
      <c r="P195" s="18" t="s">
        <v>1549</v>
      </c>
      <c r="Q195" s="8">
        <v>45124</v>
      </c>
      <c r="R195" s="8"/>
      <c r="S195" s="8">
        <v>45118</v>
      </c>
      <c r="T195" s="153" t="s">
        <v>1465</v>
      </c>
      <c r="U195" s="8" t="s">
        <v>1550</v>
      </c>
      <c r="V195" s="147">
        <v>103080</v>
      </c>
      <c r="W195" s="8"/>
      <c r="X195" s="8"/>
      <c r="Y195" s="15" t="s">
        <v>1551</v>
      </c>
      <c r="Z195" s="53" t="s">
        <v>489</v>
      </c>
      <c r="AA195" s="7" t="s">
        <v>1079</v>
      </c>
      <c r="AB195" s="3"/>
      <c r="AC195" s="3" t="s">
        <v>1369</v>
      </c>
      <c r="AD195" s="3"/>
    </row>
    <row r="196" spans="1:30" ht="146">
      <c r="A196" s="5" t="s">
        <v>545</v>
      </c>
      <c r="B196" s="46"/>
      <c r="C196" s="3"/>
      <c r="D196" s="3" t="s">
        <v>1552</v>
      </c>
      <c r="E196" s="6">
        <v>25970982</v>
      </c>
      <c r="F196" s="47"/>
      <c r="G196" s="3" t="s">
        <v>180</v>
      </c>
      <c r="H196" s="13" t="str">
        <f>IFERROR(VLOOKUP(G196, Sheet2!$A:$B, 2, FALSE), A196)</f>
        <v>HONG KONG MONETARY AUTHORITY</v>
      </c>
      <c r="I196" s="6" t="s">
        <v>352</v>
      </c>
      <c r="J196" s="109" t="s">
        <v>1553</v>
      </c>
      <c r="K196" s="109" t="s">
        <v>1554</v>
      </c>
      <c r="L196" s="120"/>
      <c r="M196" s="11" t="s">
        <v>1555</v>
      </c>
      <c r="N196" s="95"/>
      <c r="O196" s="7"/>
      <c r="P196" s="95"/>
      <c r="Q196" s="8">
        <v>44860</v>
      </c>
      <c r="R196" s="8"/>
      <c r="S196" s="8">
        <v>44880</v>
      </c>
      <c r="T196" s="8" t="s">
        <v>1556</v>
      </c>
      <c r="U196" s="6">
        <v>741344</v>
      </c>
      <c r="V196" s="147">
        <v>103138</v>
      </c>
      <c r="W196" s="8"/>
      <c r="X196" s="6"/>
      <c r="Y196" s="15" t="s">
        <v>1557</v>
      </c>
      <c r="Z196" s="53" t="s">
        <v>425</v>
      </c>
      <c r="AA196" s="8" t="s">
        <v>930</v>
      </c>
      <c r="AB196" s="3"/>
      <c r="AC196" s="3"/>
      <c r="AD196" s="3"/>
    </row>
    <row r="197" spans="1:30" ht="102.5">
      <c r="A197" s="5" t="s">
        <v>545</v>
      </c>
      <c r="B197" s="46"/>
      <c r="C197" s="3"/>
      <c r="D197" s="3" t="s">
        <v>1552</v>
      </c>
      <c r="E197" s="6">
        <v>25970982</v>
      </c>
      <c r="F197" s="47"/>
      <c r="G197" s="3" t="s">
        <v>180</v>
      </c>
      <c r="H197" s="13" t="str">
        <f>IFERROR(VLOOKUP(G197, Sheet2!$A:$B, 2, FALSE), A197)</f>
        <v>HONG KONG MONETARY AUTHORITY</v>
      </c>
      <c r="I197" s="6" t="s">
        <v>352</v>
      </c>
      <c r="J197" s="109">
        <v>544341884120</v>
      </c>
      <c r="K197" s="109" t="s">
        <v>1558</v>
      </c>
      <c r="L197" s="99" t="s">
        <v>1559</v>
      </c>
      <c r="M197" s="11" t="s">
        <v>1560</v>
      </c>
      <c r="N197" s="95"/>
      <c r="O197" s="7"/>
      <c r="P197" s="95"/>
      <c r="Q197" s="8">
        <v>44880</v>
      </c>
      <c r="R197" s="8"/>
      <c r="S197" s="8">
        <v>44886</v>
      </c>
      <c r="T197" s="8" t="s">
        <v>1561</v>
      </c>
      <c r="U197" s="6" t="s">
        <v>1562</v>
      </c>
      <c r="V197" s="147">
        <v>103266</v>
      </c>
      <c r="W197" s="8"/>
      <c r="X197" s="6"/>
      <c r="Y197" s="15" t="s">
        <v>1563</v>
      </c>
      <c r="Z197" s="53" t="s">
        <v>425</v>
      </c>
      <c r="AA197" s="8" t="s">
        <v>930</v>
      </c>
      <c r="AB197" s="3"/>
      <c r="AC197" s="3"/>
      <c r="AD197" s="3"/>
    </row>
    <row r="198" spans="1:30" ht="102.5">
      <c r="A198" s="5" t="s">
        <v>545</v>
      </c>
      <c r="B198" s="46"/>
      <c r="C198" s="3"/>
      <c r="D198" s="3" t="s">
        <v>1552</v>
      </c>
      <c r="E198" s="6">
        <v>25970982</v>
      </c>
      <c r="F198" s="47"/>
      <c r="G198" s="3" t="s">
        <v>180</v>
      </c>
      <c r="H198" s="13" t="str">
        <f>IFERROR(VLOOKUP(G198, Sheet2!$A:$B, 2, FALSE), A198)</f>
        <v>HONG KONG MONETARY AUTHORITY</v>
      </c>
      <c r="I198" s="6" t="s">
        <v>352</v>
      </c>
      <c r="J198" s="109" t="s">
        <v>1564</v>
      </c>
      <c r="K198" s="109" t="s">
        <v>1565</v>
      </c>
      <c r="L198" s="99" t="s">
        <v>1566</v>
      </c>
      <c r="M198" s="11" t="s">
        <v>1567</v>
      </c>
      <c r="N198" s="95"/>
      <c r="O198" s="7"/>
      <c r="P198" s="95"/>
      <c r="Q198" s="8">
        <v>44880</v>
      </c>
      <c r="R198" s="8"/>
      <c r="S198" s="8">
        <v>44886</v>
      </c>
      <c r="T198" s="8" t="s">
        <v>1568</v>
      </c>
      <c r="U198" s="6" t="s">
        <v>1569</v>
      </c>
      <c r="V198" s="147">
        <v>103267</v>
      </c>
      <c r="W198" s="8"/>
      <c r="X198" s="6"/>
      <c r="Y198" s="15" t="s">
        <v>1563</v>
      </c>
      <c r="Z198" s="53" t="s">
        <v>425</v>
      </c>
      <c r="AA198" s="8" t="s">
        <v>930</v>
      </c>
      <c r="AB198" s="3"/>
      <c r="AC198" s="3"/>
      <c r="AD198" s="3"/>
    </row>
    <row r="199" spans="1:30" ht="43.5">
      <c r="A199" s="8" t="s">
        <v>1508</v>
      </c>
      <c r="B199" s="46"/>
      <c r="C199" s="3"/>
      <c r="D199" s="3" t="s">
        <v>1048</v>
      </c>
      <c r="E199" s="6" t="s">
        <v>1048</v>
      </c>
      <c r="F199" s="47"/>
      <c r="G199" s="3" t="s">
        <v>176</v>
      </c>
      <c r="H199" s="13" t="str">
        <f>IFERROR(VLOOKUP(G199, Sheet2!$A:$B, 2, FALSE), A199)</f>
        <v>HOSPITAL AUTHORITY</v>
      </c>
      <c r="I199" s="6" t="s">
        <v>393</v>
      </c>
      <c r="J199" s="109" t="s">
        <v>1570</v>
      </c>
      <c r="K199" s="48" t="s">
        <v>1571</v>
      </c>
      <c r="L199" s="7" t="s">
        <v>1571</v>
      </c>
      <c r="M199" s="3" t="s">
        <v>1572</v>
      </c>
      <c r="N199" s="3"/>
      <c r="O199" s="7"/>
      <c r="P199" s="3"/>
      <c r="Q199" s="8">
        <v>44835</v>
      </c>
      <c r="R199" s="8"/>
      <c r="S199" s="8">
        <v>44886</v>
      </c>
      <c r="T199" s="72" t="s">
        <v>1573</v>
      </c>
      <c r="U199" s="90" t="s">
        <v>1574</v>
      </c>
      <c r="V199" s="75" t="s">
        <v>1575</v>
      </c>
      <c r="W199" s="8"/>
      <c r="X199" s="90"/>
      <c r="Y199" s="11" t="s">
        <v>1576</v>
      </c>
      <c r="Z199" s="53"/>
      <c r="AA199" s="8" t="s">
        <v>1264</v>
      </c>
      <c r="AB199" s="3"/>
      <c r="AC199" s="3"/>
      <c r="AD199" s="3"/>
    </row>
    <row r="200" spans="1:30" ht="43.5">
      <c r="A200" s="4" t="s">
        <v>1508</v>
      </c>
      <c r="B200" s="46"/>
      <c r="C200" s="3"/>
      <c r="D200" s="183" t="s">
        <v>1048</v>
      </c>
      <c r="E200" s="6" t="s">
        <v>1048</v>
      </c>
      <c r="F200" s="47"/>
      <c r="G200" s="5" t="s">
        <v>176</v>
      </c>
      <c r="H200" s="13" t="str">
        <f>IFERROR(VLOOKUP(G200, Sheet2!$A:$B, 2, FALSE), A200)</f>
        <v>HOSPITAL AUTHORITY</v>
      </c>
      <c r="I200" s="6" t="s">
        <v>393</v>
      </c>
      <c r="J200" s="109" t="s">
        <v>1570</v>
      </c>
      <c r="K200" s="48" t="s">
        <v>1577</v>
      </c>
      <c r="L200" s="7" t="s">
        <v>1577</v>
      </c>
      <c r="M200" s="3" t="s">
        <v>1572</v>
      </c>
      <c r="N200" s="3"/>
      <c r="O200" s="7"/>
      <c r="P200" s="3"/>
      <c r="Q200" s="4">
        <v>44835</v>
      </c>
      <c r="R200" s="8"/>
      <c r="S200" s="4">
        <v>44886</v>
      </c>
      <c r="T200" s="72" t="s">
        <v>1578</v>
      </c>
      <c r="U200" s="90" t="s">
        <v>1579</v>
      </c>
      <c r="V200" s="75" t="s">
        <v>1580</v>
      </c>
      <c r="W200" s="4"/>
      <c r="X200" s="90"/>
      <c r="Y200" s="15" t="s">
        <v>1576</v>
      </c>
      <c r="Z200" s="53"/>
      <c r="AA200" s="183" t="s">
        <v>1264</v>
      </c>
      <c r="AB200" s="3"/>
      <c r="AC200" s="3"/>
      <c r="AD200" s="3"/>
    </row>
    <row r="201" spans="1:30" ht="43.5">
      <c r="A201" s="4" t="s">
        <v>1508</v>
      </c>
      <c r="B201" s="46"/>
      <c r="C201" s="3"/>
      <c r="D201" s="183" t="s">
        <v>1048</v>
      </c>
      <c r="E201" s="6" t="s">
        <v>1048</v>
      </c>
      <c r="F201" s="47"/>
      <c r="G201" s="5" t="s">
        <v>176</v>
      </c>
      <c r="H201" s="13" t="str">
        <f>IFERROR(VLOOKUP(G201, Sheet2!$A:$B, 2, FALSE), A201)</f>
        <v>HOSPITAL AUTHORITY</v>
      </c>
      <c r="I201" s="6" t="s">
        <v>393</v>
      </c>
      <c r="J201" s="109" t="s">
        <v>1570</v>
      </c>
      <c r="K201" s="48" t="s">
        <v>1581</v>
      </c>
      <c r="L201" s="7" t="s">
        <v>1581</v>
      </c>
      <c r="M201" s="3" t="s">
        <v>1572</v>
      </c>
      <c r="N201" s="3"/>
      <c r="O201" s="7"/>
      <c r="P201" s="3"/>
      <c r="Q201" s="4">
        <v>44835</v>
      </c>
      <c r="R201" s="8"/>
      <c r="S201" s="4">
        <v>44886</v>
      </c>
      <c r="T201" s="72" t="s">
        <v>1582</v>
      </c>
      <c r="U201" s="90" t="s">
        <v>1583</v>
      </c>
      <c r="V201" s="75" t="s">
        <v>1584</v>
      </c>
      <c r="W201" s="4"/>
      <c r="X201" s="90"/>
      <c r="Y201" s="15" t="s">
        <v>1576</v>
      </c>
      <c r="Z201" s="53"/>
      <c r="AA201" s="183" t="s">
        <v>1264</v>
      </c>
      <c r="AB201" s="3"/>
      <c r="AC201" s="3"/>
      <c r="AD201" s="3"/>
    </row>
    <row r="202" spans="1:30" ht="43.5">
      <c r="A202" s="4" t="s">
        <v>1508</v>
      </c>
      <c r="B202" s="46"/>
      <c r="C202" s="3"/>
      <c r="D202" s="183" t="s">
        <v>1048</v>
      </c>
      <c r="E202" s="6" t="s">
        <v>1048</v>
      </c>
      <c r="F202" s="47"/>
      <c r="G202" s="5" t="s">
        <v>175</v>
      </c>
      <c r="H202" s="13" t="str">
        <f>IFERROR(VLOOKUP(G202, Sheet2!$A:$B, 2, FALSE), A202)</f>
        <v>HOSPITAL AUTHORITY</v>
      </c>
      <c r="I202" s="6" t="s">
        <v>393</v>
      </c>
      <c r="J202" s="109" t="s">
        <v>1570</v>
      </c>
      <c r="K202" s="48" t="s">
        <v>1585</v>
      </c>
      <c r="L202" s="7" t="s">
        <v>1585</v>
      </c>
      <c r="M202" s="3" t="s">
        <v>1572</v>
      </c>
      <c r="N202" s="3"/>
      <c r="O202" s="7"/>
      <c r="P202" s="3"/>
      <c r="Q202" s="4">
        <v>44835</v>
      </c>
      <c r="R202" s="8"/>
      <c r="S202" s="4">
        <v>44886</v>
      </c>
      <c r="T202" s="72" t="s">
        <v>1586</v>
      </c>
      <c r="U202" s="90" t="s">
        <v>1587</v>
      </c>
      <c r="V202" s="75" t="s">
        <v>1588</v>
      </c>
      <c r="W202" s="4"/>
      <c r="X202" s="90"/>
      <c r="Y202" s="15" t="s">
        <v>1576</v>
      </c>
      <c r="Z202" s="53"/>
      <c r="AA202" s="183" t="s">
        <v>1264</v>
      </c>
      <c r="AB202" s="3"/>
      <c r="AC202" s="3"/>
      <c r="AD202" s="3"/>
    </row>
    <row r="203" spans="1:30" ht="43.5">
      <c r="A203" s="4" t="s">
        <v>1508</v>
      </c>
      <c r="B203" s="46"/>
      <c r="C203" s="3"/>
      <c r="D203" s="183" t="s">
        <v>1048</v>
      </c>
      <c r="E203" s="6" t="s">
        <v>1048</v>
      </c>
      <c r="F203" s="47"/>
      <c r="G203" s="5" t="s">
        <v>176</v>
      </c>
      <c r="H203" s="13" t="str">
        <f>IFERROR(VLOOKUP(G203, Sheet2!$A:$B, 2, FALSE), A203)</f>
        <v>HOSPITAL AUTHORITY</v>
      </c>
      <c r="I203" s="6" t="s">
        <v>393</v>
      </c>
      <c r="J203" s="109" t="s">
        <v>1570</v>
      </c>
      <c r="K203" s="48" t="s">
        <v>1589</v>
      </c>
      <c r="L203" s="7" t="s">
        <v>1589</v>
      </c>
      <c r="M203" s="3" t="s">
        <v>1572</v>
      </c>
      <c r="N203" s="3"/>
      <c r="O203" s="7"/>
      <c r="P203" s="3"/>
      <c r="Q203" s="4">
        <v>44835</v>
      </c>
      <c r="R203" s="8"/>
      <c r="S203" s="4">
        <v>44886</v>
      </c>
      <c r="T203" s="72" t="s">
        <v>1590</v>
      </c>
      <c r="U203" s="90" t="s">
        <v>1591</v>
      </c>
      <c r="V203" s="75" t="s">
        <v>1592</v>
      </c>
      <c r="W203" s="4"/>
      <c r="X203" s="90"/>
      <c r="Y203" s="15" t="s">
        <v>1576</v>
      </c>
      <c r="Z203" s="53"/>
      <c r="AA203" s="183" t="s">
        <v>1264</v>
      </c>
      <c r="AB203" s="3"/>
      <c r="AC203" s="3"/>
      <c r="AD203" s="3"/>
    </row>
    <row r="204" spans="1:30" ht="43.5">
      <c r="A204" s="4" t="s">
        <v>1508</v>
      </c>
      <c r="B204" s="46"/>
      <c r="C204" s="3"/>
      <c r="D204" s="183" t="s">
        <v>1048</v>
      </c>
      <c r="E204" s="6" t="s">
        <v>1048</v>
      </c>
      <c r="F204" s="47"/>
      <c r="G204" s="5" t="s">
        <v>176</v>
      </c>
      <c r="H204" s="13" t="str">
        <f>IFERROR(VLOOKUP(G204, Sheet2!$A:$B, 2, FALSE), A204)</f>
        <v>HOSPITAL AUTHORITY</v>
      </c>
      <c r="I204" s="6" t="s">
        <v>393</v>
      </c>
      <c r="J204" s="109" t="s">
        <v>1570</v>
      </c>
      <c r="K204" s="48" t="s">
        <v>1593</v>
      </c>
      <c r="L204" s="7" t="s">
        <v>1593</v>
      </c>
      <c r="M204" s="3" t="s">
        <v>1572</v>
      </c>
      <c r="N204" s="3"/>
      <c r="O204" s="7"/>
      <c r="P204" s="3"/>
      <c r="Q204" s="4">
        <v>44835</v>
      </c>
      <c r="R204" s="8"/>
      <c r="S204" s="4">
        <v>44886</v>
      </c>
      <c r="T204" s="72" t="s">
        <v>1594</v>
      </c>
      <c r="U204" s="90" t="s">
        <v>1595</v>
      </c>
      <c r="V204" s="75" t="s">
        <v>1596</v>
      </c>
      <c r="W204" s="4"/>
      <c r="X204" s="90"/>
      <c r="Y204" s="15" t="s">
        <v>1576</v>
      </c>
      <c r="Z204" s="53"/>
      <c r="AA204" s="183" t="s">
        <v>1264</v>
      </c>
      <c r="AB204" s="3"/>
      <c r="AC204" s="3"/>
      <c r="AD204" s="3"/>
    </row>
    <row r="205" spans="1:30" ht="43.5">
      <c r="A205" s="4" t="s">
        <v>1508</v>
      </c>
      <c r="B205" s="46"/>
      <c r="C205" s="3"/>
      <c r="D205" s="183" t="s">
        <v>1048</v>
      </c>
      <c r="E205" s="6" t="s">
        <v>1048</v>
      </c>
      <c r="F205" s="47"/>
      <c r="G205" s="5" t="s">
        <v>176</v>
      </c>
      <c r="H205" s="13" t="str">
        <f>IFERROR(VLOOKUP(G205, Sheet2!$A:$B, 2, FALSE), A205)</f>
        <v>HOSPITAL AUTHORITY</v>
      </c>
      <c r="I205" s="6" t="s">
        <v>393</v>
      </c>
      <c r="J205" s="109" t="s">
        <v>1570</v>
      </c>
      <c r="K205" s="48" t="s">
        <v>1597</v>
      </c>
      <c r="L205" s="7" t="s">
        <v>1597</v>
      </c>
      <c r="M205" s="3" t="s">
        <v>1572</v>
      </c>
      <c r="N205" s="3"/>
      <c r="O205" s="7"/>
      <c r="P205" s="3"/>
      <c r="Q205" s="4">
        <v>44835</v>
      </c>
      <c r="R205" s="8"/>
      <c r="S205" s="4">
        <v>44886</v>
      </c>
      <c r="T205" s="72" t="s">
        <v>1598</v>
      </c>
      <c r="U205" s="90" t="s">
        <v>1599</v>
      </c>
      <c r="V205" s="75" t="s">
        <v>1600</v>
      </c>
      <c r="W205" s="4"/>
      <c r="X205" s="90"/>
      <c r="Y205" s="15" t="s">
        <v>1576</v>
      </c>
      <c r="Z205" s="53"/>
      <c r="AA205" s="183" t="s">
        <v>1264</v>
      </c>
      <c r="AB205" s="3"/>
      <c r="AC205" s="3"/>
      <c r="AD205" s="3"/>
    </row>
    <row r="206" spans="1:30" ht="43.5">
      <c r="A206" s="4" t="s">
        <v>1508</v>
      </c>
      <c r="B206" s="46"/>
      <c r="C206" s="3"/>
      <c r="D206" s="183" t="s">
        <v>1048</v>
      </c>
      <c r="E206" s="6" t="s">
        <v>1048</v>
      </c>
      <c r="F206" s="47"/>
      <c r="G206" s="5" t="s">
        <v>176</v>
      </c>
      <c r="H206" s="13" t="str">
        <f>IFERROR(VLOOKUP(G206, Sheet2!$A:$B, 2, FALSE), A206)</f>
        <v>HOSPITAL AUTHORITY</v>
      </c>
      <c r="I206" s="6" t="s">
        <v>393</v>
      </c>
      <c r="J206" s="109" t="s">
        <v>1570</v>
      </c>
      <c r="K206" s="48" t="s">
        <v>1601</v>
      </c>
      <c r="L206" s="7" t="s">
        <v>1602</v>
      </c>
      <c r="M206" s="3" t="s">
        <v>1572</v>
      </c>
      <c r="N206" s="3"/>
      <c r="O206" s="7"/>
      <c r="P206" s="3"/>
      <c r="Q206" s="4">
        <v>44835</v>
      </c>
      <c r="R206" s="8"/>
      <c r="S206" s="4">
        <v>44886</v>
      </c>
      <c r="T206" s="72" t="s">
        <v>1603</v>
      </c>
      <c r="U206" s="90" t="s">
        <v>1604</v>
      </c>
      <c r="V206" s="75" t="s">
        <v>1605</v>
      </c>
      <c r="W206" s="4"/>
      <c r="X206" s="90"/>
      <c r="Y206" s="15" t="s">
        <v>1576</v>
      </c>
      <c r="Z206" s="53"/>
      <c r="AA206" s="183" t="s">
        <v>1264</v>
      </c>
      <c r="AB206" s="3"/>
      <c r="AC206" s="3"/>
      <c r="AD206" s="3"/>
    </row>
    <row r="207" spans="1:30" ht="43.5">
      <c r="A207" s="4" t="s">
        <v>1508</v>
      </c>
      <c r="B207" s="46"/>
      <c r="C207" s="3"/>
      <c r="D207" s="183" t="s">
        <v>1048</v>
      </c>
      <c r="E207" s="6" t="s">
        <v>1048</v>
      </c>
      <c r="F207" s="47"/>
      <c r="G207" s="5" t="s">
        <v>176</v>
      </c>
      <c r="H207" s="13" t="str">
        <f>IFERROR(VLOOKUP(G207, Sheet2!$A:$B, 2, FALSE), A207)</f>
        <v>HOSPITAL AUTHORITY</v>
      </c>
      <c r="I207" s="6" t="s">
        <v>393</v>
      </c>
      <c r="J207" s="109" t="s">
        <v>1570</v>
      </c>
      <c r="K207" s="48" t="s">
        <v>1606</v>
      </c>
      <c r="L207" s="7" t="s">
        <v>1607</v>
      </c>
      <c r="M207" s="3" t="s">
        <v>1572</v>
      </c>
      <c r="N207" s="3"/>
      <c r="O207" s="7"/>
      <c r="P207" s="3"/>
      <c r="Q207" s="4">
        <v>44835</v>
      </c>
      <c r="R207" s="8"/>
      <c r="S207" s="4">
        <v>44886</v>
      </c>
      <c r="T207" s="72" t="s">
        <v>1608</v>
      </c>
      <c r="U207" s="90" t="s">
        <v>1609</v>
      </c>
      <c r="V207" s="75" t="s">
        <v>1610</v>
      </c>
      <c r="W207" s="4"/>
      <c r="X207" s="90"/>
      <c r="Y207" s="15" t="s">
        <v>1576</v>
      </c>
      <c r="Z207" s="53"/>
      <c r="AA207" s="183" t="s">
        <v>1264</v>
      </c>
      <c r="AB207" s="3"/>
      <c r="AC207" s="3"/>
      <c r="AD207" s="3"/>
    </row>
    <row r="208" spans="1:30" ht="43.5">
      <c r="A208" s="4" t="s">
        <v>1508</v>
      </c>
      <c r="B208" s="46"/>
      <c r="C208" s="3"/>
      <c r="D208" s="183" t="s">
        <v>1048</v>
      </c>
      <c r="E208" s="6" t="s">
        <v>1048</v>
      </c>
      <c r="F208" s="47"/>
      <c r="G208" s="5" t="s">
        <v>176</v>
      </c>
      <c r="H208" s="13" t="str">
        <f>IFERROR(VLOOKUP(G208, Sheet2!$A:$B, 2, FALSE), A208)</f>
        <v>HOSPITAL AUTHORITY</v>
      </c>
      <c r="I208" s="6" t="s">
        <v>393</v>
      </c>
      <c r="J208" s="109" t="s">
        <v>1570</v>
      </c>
      <c r="K208" s="48" t="s">
        <v>1611</v>
      </c>
      <c r="L208" s="7" t="s">
        <v>1611</v>
      </c>
      <c r="M208" s="3" t="s">
        <v>1572</v>
      </c>
      <c r="N208" s="3"/>
      <c r="O208" s="7"/>
      <c r="P208" s="3"/>
      <c r="Q208" s="4">
        <v>44835</v>
      </c>
      <c r="R208" s="8"/>
      <c r="S208" s="4">
        <v>44886</v>
      </c>
      <c r="T208" s="183" t="s">
        <v>1612</v>
      </c>
      <c r="U208" s="90" t="s">
        <v>1613</v>
      </c>
      <c r="V208" s="75" t="s">
        <v>1614</v>
      </c>
      <c r="W208" s="4"/>
      <c r="X208" s="90"/>
      <c r="Y208" s="15" t="s">
        <v>1576</v>
      </c>
      <c r="Z208" s="53"/>
      <c r="AA208" s="183" t="s">
        <v>1264</v>
      </c>
      <c r="AB208" s="3"/>
      <c r="AC208" s="3"/>
      <c r="AD208" s="3"/>
    </row>
    <row r="209" spans="1:30" ht="43.5">
      <c r="A209" s="4" t="s">
        <v>1508</v>
      </c>
      <c r="B209" s="46"/>
      <c r="C209" s="3"/>
      <c r="D209" s="183" t="s">
        <v>1048</v>
      </c>
      <c r="E209" s="6" t="s">
        <v>1048</v>
      </c>
      <c r="F209" s="47"/>
      <c r="G209" s="5" t="s">
        <v>176</v>
      </c>
      <c r="H209" s="13" t="str">
        <f>IFERROR(VLOOKUP(G209, Sheet2!$A:$B, 2, FALSE), A209)</f>
        <v>HOSPITAL AUTHORITY</v>
      </c>
      <c r="I209" s="6" t="s">
        <v>393</v>
      </c>
      <c r="J209" s="109" t="s">
        <v>1570</v>
      </c>
      <c r="K209" s="48" t="s">
        <v>1615</v>
      </c>
      <c r="L209" s="7" t="s">
        <v>1615</v>
      </c>
      <c r="M209" s="3" t="s">
        <v>1572</v>
      </c>
      <c r="N209" s="3"/>
      <c r="O209" s="7"/>
      <c r="P209" s="3"/>
      <c r="Q209" s="4">
        <v>44835</v>
      </c>
      <c r="R209" s="8"/>
      <c r="S209" s="4">
        <v>44886</v>
      </c>
      <c r="T209" s="183" t="s">
        <v>1616</v>
      </c>
      <c r="U209" s="90" t="s">
        <v>1617</v>
      </c>
      <c r="V209" s="75" t="s">
        <v>1618</v>
      </c>
      <c r="W209" s="4"/>
      <c r="X209" s="90"/>
      <c r="Y209" s="15" t="s">
        <v>1576</v>
      </c>
      <c r="Z209" s="53"/>
      <c r="AA209" s="183" t="s">
        <v>1264</v>
      </c>
      <c r="AB209" s="3"/>
      <c r="AC209" s="3"/>
      <c r="AD209" s="3"/>
    </row>
    <row r="210" spans="1:30" ht="43.5">
      <c r="A210" s="8" t="s">
        <v>1508</v>
      </c>
      <c r="B210" s="46"/>
      <c r="C210" s="3"/>
      <c r="D210" s="3" t="s">
        <v>1048</v>
      </c>
      <c r="E210" s="6" t="s">
        <v>1048</v>
      </c>
      <c r="F210" s="47"/>
      <c r="G210" s="3" t="s">
        <v>176</v>
      </c>
      <c r="H210" s="13" t="str">
        <f>IFERROR(VLOOKUP(G210, Sheet2!$A:$B, 2, FALSE), A210)</f>
        <v>HOSPITAL AUTHORITY</v>
      </c>
      <c r="I210" s="6" t="s">
        <v>393</v>
      </c>
      <c r="J210" s="109" t="s">
        <v>1570</v>
      </c>
      <c r="K210" s="48" t="s">
        <v>1619</v>
      </c>
      <c r="L210" s="7" t="s">
        <v>1619</v>
      </c>
      <c r="M210" s="3" t="s">
        <v>1572</v>
      </c>
      <c r="N210" s="3"/>
      <c r="O210" s="7"/>
      <c r="P210" s="3"/>
      <c r="Q210" s="8">
        <v>44835</v>
      </c>
      <c r="R210" s="8"/>
      <c r="S210" s="8">
        <v>44887</v>
      </c>
      <c r="T210" s="72" t="s">
        <v>1620</v>
      </c>
      <c r="U210" s="72" t="s">
        <v>1621</v>
      </c>
      <c r="V210" s="75" t="s">
        <v>1622</v>
      </c>
      <c r="W210" s="8"/>
      <c r="X210" s="72"/>
      <c r="Y210" s="11" t="s">
        <v>1576</v>
      </c>
      <c r="Z210" s="53"/>
      <c r="AA210" s="8"/>
      <c r="AB210" s="8"/>
      <c r="AC210" s="8"/>
      <c r="AD210" s="3"/>
    </row>
    <row r="211" spans="1:30" ht="43.5">
      <c r="A211" s="4" t="s">
        <v>1508</v>
      </c>
      <c r="B211" s="46"/>
      <c r="C211" s="3"/>
      <c r="D211" s="3" t="s">
        <v>1048</v>
      </c>
      <c r="E211" s="6" t="s">
        <v>1048</v>
      </c>
      <c r="F211" s="47"/>
      <c r="G211" s="5" t="s">
        <v>176</v>
      </c>
      <c r="H211" s="13" t="str">
        <f>IFERROR(VLOOKUP(G211, Sheet2!$A:$B, 2, FALSE), A211)</f>
        <v>HOSPITAL AUTHORITY</v>
      </c>
      <c r="I211" s="6" t="s">
        <v>393</v>
      </c>
      <c r="J211" s="109" t="s">
        <v>1570</v>
      </c>
      <c r="K211" s="48" t="s">
        <v>1623</v>
      </c>
      <c r="L211" s="7" t="s">
        <v>1623</v>
      </c>
      <c r="M211" s="3" t="s">
        <v>1572</v>
      </c>
      <c r="N211" s="3"/>
      <c r="O211" s="7"/>
      <c r="P211" s="3"/>
      <c r="Q211" s="4">
        <v>44835</v>
      </c>
      <c r="R211" s="8"/>
      <c r="S211" s="4">
        <v>44887</v>
      </c>
      <c r="T211" s="72" t="s">
        <v>1624</v>
      </c>
      <c r="U211" s="72" t="s">
        <v>1625</v>
      </c>
      <c r="V211" s="75" t="s">
        <v>1626</v>
      </c>
      <c r="W211" s="4"/>
      <c r="X211" s="72"/>
      <c r="Y211" s="15" t="s">
        <v>1576</v>
      </c>
      <c r="Z211" s="53"/>
      <c r="AA211" s="8" t="s">
        <v>1264</v>
      </c>
      <c r="AB211" s="3"/>
      <c r="AC211" s="3"/>
      <c r="AD211" s="3"/>
    </row>
    <row r="212" spans="1:30" ht="43.5">
      <c r="A212" s="4" t="s">
        <v>1508</v>
      </c>
      <c r="B212" s="46"/>
      <c r="C212" s="3"/>
      <c r="D212" s="3" t="s">
        <v>1048</v>
      </c>
      <c r="E212" s="6" t="s">
        <v>1048</v>
      </c>
      <c r="F212" s="47"/>
      <c r="G212" s="5" t="s">
        <v>176</v>
      </c>
      <c r="H212" s="13" t="str">
        <f>IFERROR(VLOOKUP(G212, Sheet2!$A:$B, 2, FALSE), A212)</f>
        <v>HOSPITAL AUTHORITY</v>
      </c>
      <c r="I212" s="6" t="s">
        <v>393</v>
      </c>
      <c r="J212" s="109" t="s">
        <v>1570</v>
      </c>
      <c r="K212" s="48" t="s">
        <v>1627</v>
      </c>
      <c r="L212" s="7" t="s">
        <v>1627</v>
      </c>
      <c r="M212" s="3" t="s">
        <v>1572</v>
      </c>
      <c r="N212" s="3"/>
      <c r="O212" s="7"/>
      <c r="P212" s="3"/>
      <c r="Q212" s="4">
        <v>44835</v>
      </c>
      <c r="R212" s="8"/>
      <c r="S212" s="4">
        <v>44887</v>
      </c>
      <c r="T212" s="72" t="s">
        <v>1628</v>
      </c>
      <c r="U212" s="72" t="s">
        <v>1629</v>
      </c>
      <c r="V212" s="75" t="s">
        <v>1630</v>
      </c>
      <c r="W212" s="4"/>
      <c r="X212" s="72"/>
      <c r="Y212" s="15" t="s">
        <v>1576</v>
      </c>
      <c r="Z212" s="53"/>
      <c r="AA212" s="8" t="s">
        <v>1264</v>
      </c>
      <c r="AB212" s="3"/>
      <c r="AC212" s="3"/>
      <c r="AD212" s="3"/>
    </row>
    <row r="213" spans="1:30" ht="43.5">
      <c r="A213" s="4" t="s">
        <v>1508</v>
      </c>
      <c r="B213" s="46"/>
      <c r="C213" s="3"/>
      <c r="D213" s="3" t="s">
        <v>1048</v>
      </c>
      <c r="E213" s="6" t="s">
        <v>1048</v>
      </c>
      <c r="F213" s="47"/>
      <c r="G213" s="5" t="s">
        <v>176</v>
      </c>
      <c r="H213" s="13" t="str">
        <f>IFERROR(VLOOKUP(G213, Sheet2!$A:$B, 2, FALSE), A213)</f>
        <v>HOSPITAL AUTHORITY</v>
      </c>
      <c r="I213" s="6" t="s">
        <v>393</v>
      </c>
      <c r="J213" s="109" t="s">
        <v>1570</v>
      </c>
      <c r="K213" s="48" t="s">
        <v>1631</v>
      </c>
      <c r="L213" s="7" t="s">
        <v>1631</v>
      </c>
      <c r="M213" s="3" t="s">
        <v>1572</v>
      </c>
      <c r="N213" s="3"/>
      <c r="O213" s="7"/>
      <c r="P213" s="3"/>
      <c r="Q213" s="4">
        <v>44835</v>
      </c>
      <c r="R213" s="8"/>
      <c r="S213" s="4">
        <v>44887</v>
      </c>
      <c r="T213" s="72" t="s">
        <v>1632</v>
      </c>
      <c r="U213" s="72" t="s">
        <v>1633</v>
      </c>
      <c r="V213" s="75" t="s">
        <v>1634</v>
      </c>
      <c r="W213" s="4"/>
      <c r="X213" s="72"/>
      <c r="Y213" s="15" t="s">
        <v>1576</v>
      </c>
      <c r="Z213" s="53"/>
      <c r="AA213" s="8" t="s">
        <v>1264</v>
      </c>
      <c r="AB213" s="3"/>
      <c r="AC213" s="3"/>
      <c r="AD213" s="3"/>
    </row>
    <row r="214" spans="1:30" ht="43.5">
      <c r="A214" s="4" t="s">
        <v>1508</v>
      </c>
      <c r="B214" s="46"/>
      <c r="C214" s="3"/>
      <c r="D214" s="3" t="s">
        <v>1048</v>
      </c>
      <c r="E214" s="6" t="s">
        <v>1048</v>
      </c>
      <c r="F214" s="47"/>
      <c r="G214" s="5" t="s">
        <v>176</v>
      </c>
      <c r="H214" s="13" t="str">
        <f>IFERROR(VLOOKUP(G214, Sheet2!$A:$B, 2, FALSE), A214)</f>
        <v>HOSPITAL AUTHORITY</v>
      </c>
      <c r="I214" s="6" t="s">
        <v>393</v>
      </c>
      <c r="J214" s="109" t="s">
        <v>1570</v>
      </c>
      <c r="K214" s="48" t="s">
        <v>1635</v>
      </c>
      <c r="L214" s="7" t="s">
        <v>1635</v>
      </c>
      <c r="M214" s="3" t="s">
        <v>1572</v>
      </c>
      <c r="N214" s="3"/>
      <c r="O214" s="7"/>
      <c r="P214" s="3"/>
      <c r="Q214" s="4">
        <v>44835</v>
      </c>
      <c r="R214" s="8"/>
      <c r="S214" s="4">
        <v>44887</v>
      </c>
      <c r="T214" s="72" t="s">
        <v>1636</v>
      </c>
      <c r="U214" s="72" t="s">
        <v>1637</v>
      </c>
      <c r="V214" s="75" t="s">
        <v>1638</v>
      </c>
      <c r="W214" s="4"/>
      <c r="X214" s="72"/>
      <c r="Y214" s="15" t="s">
        <v>1576</v>
      </c>
      <c r="Z214" s="53"/>
      <c r="AA214" s="8" t="s">
        <v>1264</v>
      </c>
      <c r="AB214" s="3"/>
      <c r="AC214" s="3"/>
      <c r="AD214" s="3"/>
    </row>
    <row r="215" spans="1:30" ht="43.5">
      <c r="A215" s="4" t="s">
        <v>1508</v>
      </c>
      <c r="B215" s="46"/>
      <c r="C215" s="3"/>
      <c r="D215" s="3" t="s">
        <v>1048</v>
      </c>
      <c r="E215" s="6" t="s">
        <v>1048</v>
      </c>
      <c r="F215" s="47"/>
      <c r="G215" s="5" t="s">
        <v>176</v>
      </c>
      <c r="H215" s="13" t="str">
        <f>IFERROR(VLOOKUP(G215, Sheet2!$A:$B, 2, FALSE), A215)</f>
        <v>HOSPITAL AUTHORITY</v>
      </c>
      <c r="I215" s="6" t="s">
        <v>393</v>
      </c>
      <c r="J215" s="109" t="s">
        <v>1570</v>
      </c>
      <c r="K215" s="48" t="s">
        <v>1639</v>
      </c>
      <c r="L215" s="7" t="s">
        <v>1639</v>
      </c>
      <c r="M215" s="3" t="s">
        <v>1572</v>
      </c>
      <c r="N215" s="3"/>
      <c r="O215" s="7"/>
      <c r="P215" s="3"/>
      <c r="Q215" s="4">
        <v>44835</v>
      </c>
      <c r="R215" s="8"/>
      <c r="S215" s="4">
        <v>44887</v>
      </c>
      <c r="T215" s="72" t="s">
        <v>1640</v>
      </c>
      <c r="U215" s="72" t="s">
        <v>1641</v>
      </c>
      <c r="V215" s="75" t="s">
        <v>1642</v>
      </c>
      <c r="W215" s="4"/>
      <c r="X215" s="72"/>
      <c r="Y215" s="15" t="s">
        <v>1576</v>
      </c>
      <c r="Z215" s="53"/>
      <c r="AA215" s="8" t="s">
        <v>1264</v>
      </c>
      <c r="AB215" s="3"/>
      <c r="AC215" s="3"/>
      <c r="AD215" s="3"/>
    </row>
    <row r="216" spans="1:30" ht="43.5">
      <c r="A216" s="4" t="s">
        <v>1508</v>
      </c>
      <c r="B216" s="46"/>
      <c r="C216" s="3"/>
      <c r="D216" s="3" t="s">
        <v>1048</v>
      </c>
      <c r="E216" s="6" t="s">
        <v>1048</v>
      </c>
      <c r="F216" s="47"/>
      <c r="G216" s="5" t="s">
        <v>176</v>
      </c>
      <c r="H216" s="13" t="str">
        <f>IFERROR(VLOOKUP(G216, Sheet2!$A:$B, 2, FALSE), A216)</f>
        <v>HOSPITAL AUTHORITY</v>
      </c>
      <c r="I216" s="6" t="s">
        <v>393</v>
      </c>
      <c r="J216" s="109" t="s">
        <v>1570</v>
      </c>
      <c r="K216" s="48" t="s">
        <v>1643</v>
      </c>
      <c r="L216" s="7" t="s">
        <v>1643</v>
      </c>
      <c r="M216" s="3" t="s">
        <v>1572</v>
      </c>
      <c r="N216" s="3"/>
      <c r="O216" s="7"/>
      <c r="P216" s="3"/>
      <c r="Q216" s="4">
        <v>44835</v>
      </c>
      <c r="R216" s="8"/>
      <c r="S216" s="4">
        <v>44887</v>
      </c>
      <c r="T216" s="72" t="s">
        <v>1644</v>
      </c>
      <c r="U216" s="72" t="s">
        <v>1645</v>
      </c>
      <c r="V216" s="75" t="s">
        <v>1646</v>
      </c>
      <c r="W216" s="4"/>
      <c r="X216" s="72"/>
      <c r="Y216" s="15" t="s">
        <v>1576</v>
      </c>
      <c r="Z216" s="53"/>
      <c r="AA216" s="8" t="s">
        <v>1264</v>
      </c>
      <c r="AB216" s="3"/>
      <c r="AC216" s="3"/>
      <c r="AD216" s="3"/>
    </row>
    <row r="217" spans="1:30" ht="43.5">
      <c r="A217" s="4" t="s">
        <v>1508</v>
      </c>
      <c r="B217" s="46"/>
      <c r="C217" s="3"/>
      <c r="D217" s="3" t="s">
        <v>1048</v>
      </c>
      <c r="E217" s="6" t="s">
        <v>1048</v>
      </c>
      <c r="F217" s="47"/>
      <c r="G217" s="5" t="s">
        <v>176</v>
      </c>
      <c r="H217" s="13" t="str">
        <f>IFERROR(VLOOKUP(G217, Sheet2!$A:$B, 2, FALSE), A217)</f>
        <v>HOSPITAL AUTHORITY</v>
      </c>
      <c r="I217" s="6" t="s">
        <v>393</v>
      </c>
      <c r="J217" s="109" t="s">
        <v>1570</v>
      </c>
      <c r="K217" s="48" t="s">
        <v>1647</v>
      </c>
      <c r="L217" s="7" t="s">
        <v>1647</v>
      </c>
      <c r="M217" s="3" t="s">
        <v>1572</v>
      </c>
      <c r="N217" s="3"/>
      <c r="O217" s="7"/>
      <c r="P217" s="3"/>
      <c r="Q217" s="4">
        <v>44835</v>
      </c>
      <c r="R217" s="8"/>
      <c r="S217" s="4">
        <v>44887</v>
      </c>
      <c r="T217" s="72" t="s">
        <v>1648</v>
      </c>
      <c r="U217" s="72" t="s">
        <v>1649</v>
      </c>
      <c r="V217" s="75" t="s">
        <v>1650</v>
      </c>
      <c r="W217" s="4"/>
      <c r="X217" s="72"/>
      <c r="Y217" s="15" t="s">
        <v>1576</v>
      </c>
      <c r="Z217" s="53"/>
      <c r="AA217" s="8" t="s">
        <v>1264</v>
      </c>
      <c r="AB217" s="3"/>
      <c r="AC217" s="3"/>
      <c r="AD217" s="3"/>
    </row>
    <row r="218" spans="1:30" ht="43.5">
      <c r="A218" s="4" t="s">
        <v>1508</v>
      </c>
      <c r="B218" s="46"/>
      <c r="C218" s="3"/>
      <c r="D218" s="3" t="s">
        <v>1048</v>
      </c>
      <c r="E218" s="6" t="s">
        <v>1048</v>
      </c>
      <c r="F218" s="47"/>
      <c r="G218" s="5" t="s">
        <v>176</v>
      </c>
      <c r="H218" s="13" t="str">
        <f>IFERROR(VLOOKUP(G218, Sheet2!$A:$B, 2, FALSE), A218)</f>
        <v>HOSPITAL AUTHORITY</v>
      </c>
      <c r="I218" s="6" t="s">
        <v>393</v>
      </c>
      <c r="J218" s="109" t="s">
        <v>1570</v>
      </c>
      <c r="K218" s="48" t="s">
        <v>1651</v>
      </c>
      <c r="L218" s="7" t="s">
        <v>1651</v>
      </c>
      <c r="M218" s="3" t="s">
        <v>1572</v>
      </c>
      <c r="N218" s="3"/>
      <c r="O218" s="7"/>
      <c r="P218" s="3"/>
      <c r="Q218" s="4">
        <v>44835</v>
      </c>
      <c r="R218" s="8"/>
      <c r="S218" s="4">
        <v>44887</v>
      </c>
      <c r="T218" s="72" t="s">
        <v>1652</v>
      </c>
      <c r="U218" s="72" t="s">
        <v>1653</v>
      </c>
      <c r="V218" s="75" t="s">
        <v>1654</v>
      </c>
      <c r="W218" s="4"/>
      <c r="X218" s="72"/>
      <c r="Y218" s="15" t="s">
        <v>1576</v>
      </c>
      <c r="Z218" s="53"/>
      <c r="AA218" s="8" t="s">
        <v>1264</v>
      </c>
      <c r="AB218" s="3"/>
      <c r="AC218" s="3"/>
      <c r="AD218" s="3"/>
    </row>
    <row r="219" spans="1:30" ht="43.5">
      <c r="A219" s="4" t="s">
        <v>1508</v>
      </c>
      <c r="B219" s="46"/>
      <c r="C219" s="3"/>
      <c r="D219" s="3" t="s">
        <v>1048</v>
      </c>
      <c r="E219" s="6" t="s">
        <v>1048</v>
      </c>
      <c r="F219" s="47"/>
      <c r="G219" s="5" t="s">
        <v>176</v>
      </c>
      <c r="H219" s="13" t="str">
        <f>IFERROR(VLOOKUP(G219, Sheet2!$A:$B, 2, FALSE), A219)</f>
        <v>HOSPITAL AUTHORITY</v>
      </c>
      <c r="I219" s="6" t="s">
        <v>393</v>
      </c>
      <c r="J219" s="109" t="s">
        <v>1570</v>
      </c>
      <c r="K219" s="48" t="s">
        <v>1655</v>
      </c>
      <c r="L219" s="7" t="s">
        <v>1655</v>
      </c>
      <c r="M219" s="3" t="s">
        <v>1572</v>
      </c>
      <c r="N219" s="3"/>
      <c r="O219" s="7"/>
      <c r="P219" s="3"/>
      <c r="Q219" s="4">
        <v>44835</v>
      </c>
      <c r="R219" s="8"/>
      <c r="S219" s="4">
        <v>44887</v>
      </c>
      <c r="T219" s="72" t="s">
        <v>1656</v>
      </c>
      <c r="U219" s="72" t="s">
        <v>1657</v>
      </c>
      <c r="V219" s="75" t="s">
        <v>1658</v>
      </c>
      <c r="W219" s="4"/>
      <c r="X219" s="72"/>
      <c r="Y219" s="15" t="s">
        <v>1576</v>
      </c>
      <c r="Z219" s="53"/>
      <c r="AA219" s="4" t="s">
        <v>1264</v>
      </c>
      <c r="AB219" s="3"/>
      <c r="AC219" s="3"/>
      <c r="AD219" s="3"/>
    </row>
    <row r="220" spans="1:30" ht="43.5">
      <c r="A220" s="4" t="s">
        <v>1508</v>
      </c>
      <c r="B220" s="46"/>
      <c r="C220" s="3"/>
      <c r="D220" s="3" t="s">
        <v>1048</v>
      </c>
      <c r="E220" s="6" t="s">
        <v>1048</v>
      </c>
      <c r="F220" s="47"/>
      <c r="G220" s="5" t="s">
        <v>176</v>
      </c>
      <c r="H220" s="13" t="str">
        <f>IFERROR(VLOOKUP(G220, Sheet2!$A:$B, 2, FALSE), A220)</f>
        <v>HOSPITAL AUTHORITY</v>
      </c>
      <c r="I220" s="6" t="s">
        <v>393</v>
      </c>
      <c r="J220" s="109" t="s">
        <v>1570</v>
      </c>
      <c r="K220" s="48" t="s">
        <v>1659</v>
      </c>
      <c r="L220" s="7" t="s">
        <v>1659</v>
      </c>
      <c r="M220" s="3" t="s">
        <v>1572</v>
      </c>
      <c r="N220" s="3"/>
      <c r="O220" s="7"/>
      <c r="P220" s="3"/>
      <c r="Q220" s="4">
        <v>44835</v>
      </c>
      <c r="R220" s="8"/>
      <c r="S220" s="4">
        <v>44887</v>
      </c>
      <c r="T220" s="72" t="s">
        <v>1660</v>
      </c>
      <c r="U220" s="72" t="s">
        <v>1661</v>
      </c>
      <c r="V220" s="75" t="s">
        <v>1662</v>
      </c>
      <c r="W220" s="4"/>
      <c r="X220" s="72"/>
      <c r="Y220" s="15" t="s">
        <v>1576</v>
      </c>
      <c r="Z220" s="53"/>
      <c r="AA220" s="4" t="s">
        <v>1264</v>
      </c>
      <c r="AB220" s="3"/>
      <c r="AC220" s="3"/>
      <c r="AD220" s="3"/>
    </row>
    <row r="221" spans="1:30" ht="101.5">
      <c r="A221" s="206" t="s">
        <v>1508</v>
      </c>
      <c r="B221" s="161"/>
      <c r="C221" s="3"/>
      <c r="D221" s="8" t="s">
        <v>1048</v>
      </c>
      <c r="E221" s="8" t="s">
        <v>1048</v>
      </c>
      <c r="F221" s="3"/>
      <c r="G221" s="160" t="s">
        <v>176</v>
      </c>
      <c r="H221" s="13" t="str">
        <f>IFERROR(VLOOKUP(G221, Sheet2!$A:$B, 2, FALSE), A221)</f>
        <v>HOSPITAL AUTHORITY</v>
      </c>
      <c r="I221" s="163" t="s">
        <v>352</v>
      </c>
      <c r="J221" s="164" t="s">
        <v>1663</v>
      </c>
      <c r="K221" s="207" t="s">
        <v>1664</v>
      </c>
      <c r="L221" s="208" t="s">
        <v>1665</v>
      </c>
      <c r="M221" s="160" t="s">
        <v>1572</v>
      </c>
      <c r="N221" s="3"/>
      <c r="O221" s="7"/>
      <c r="P221" s="3"/>
      <c r="Q221" s="8">
        <v>44835</v>
      </c>
      <c r="R221" s="8"/>
      <c r="S221" s="8">
        <v>44876</v>
      </c>
      <c r="T221" s="167" t="s">
        <v>1666</v>
      </c>
      <c r="U221" s="209" t="s">
        <v>1667</v>
      </c>
      <c r="V221" s="210" t="s">
        <v>1668</v>
      </c>
      <c r="W221" s="206"/>
      <c r="X221" s="209"/>
      <c r="Y221" s="209" t="s">
        <v>1669</v>
      </c>
      <c r="Z221" s="172"/>
      <c r="AA221" s="170" t="s">
        <v>1264</v>
      </c>
      <c r="AB221" s="160"/>
      <c r="AC221" s="160"/>
      <c r="AD221" s="160"/>
    </row>
    <row r="222" spans="1:30" ht="101.5">
      <c r="A222" s="170" t="s">
        <v>1508</v>
      </c>
      <c r="B222" s="161"/>
      <c r="C222" s="3"/>
      <c r="D222" s="8" t="s">
        <v>1048</v>
      </c>
      <c r="E222" s="8" t="s">
        <v>1048</v>
      </c>
      <c r="F222" s="3"/>
      <c r="G222" s="211" t="s">
        <v>176</v>
      </c>
      <c r="H222" s="13" t="str">
        <f>IFERROR(VLOOKUP(G222, Sheet2!$A:$B, 2, FALSE), A222)</f>
        <v>HOSPITAL AUTHORITY</v>
      </c>
      <c r="I222" s="163" t="s">
        <v>352</v>
      </c>
      <c r="J222" s="164">
        <v>524889937358</v>
      </c>
      <c r="K222" s="207" t="s">
        <v>1670</v>
      </c>
      <c r="L222" s="208" t="s">
        <v>1671</v>
      </c>
      <c r="M222" s="160" t="s">
        <v>1572</v>
      </c>
      <c r="N222" s="3"/>
      <c r="O222" s="7"/>
      <c r="P222" s="3"/>
      <c r="Q222" s="4">
        <v>44835</v>
      </c>
      <c r="R222" s="8"/>
      <c r="S222" s="4">
        <v>44876</v>
      </c>
      <c r="T222" s="167" t="s">
        <v>1672</v>
      </c>
      <c r="U222" s="209" t="s">
        <v>1673</v>
      </c>
      <c r="V222" s="210" t="s">
        <v>1674</v>
      </c>
      <c r="W222" s="170"/>
      <c r="X222" s="209"/>
      <c r="Y222" s="212" t="s">
        <v>1669</v>
      </c>
      <c r="Z222" s="172"/>
      <c r="AA222" s="206" t="s">
        <v>1264</v>
      </c>
      <c r="AB222" s="160"/>
      <c r="AC222" s="160"/>
      <c r="AD222" s="160"/>
    </row>
    <row r="223" spans="1:30" ht="101.5">
      <c r="A223" s="170" t="s">
        <v>1508</v>
      </c>
      <c r="B223" s="161"/>
      <c r="C223" s="3"/>
      <c r="D223" s="8" t="s">
        <v>1048</v>
      </c>
      <c r="E223" s="8" t="s">
        <v>1048</v>
      </c>
      <c r="F223" s="3"/>
      <c r="G223" s="211" t="s">
        <v>176</v>
      </c>
      <c r="H223" s="13" t="str">
        <f>IFERROR(VLOOKUP(G223, Sheet2!$A:$B, 2, FALSE), A223)</f>
        <v>HOSPITAL AUTHORITY</v>
      </c>
      <c r="I223" s="163" t="s">
        <v>352</v>
      </c>
      <c r="J223" s="164">
        <v>524889937358</v>
      </c>
      <c r="K223" s="207" t="s">
        <v>1675</v>
      </c>
      <c r="L223" s="208" t="s">
        <v>1676</v>
      </c>
      <c r="M223" s="160" t="s">
        <v>1572</v>
      </c>
      <c r="N223" s="3"/>
      <c r="O223" s="7"/>
      <c r="P223" s="3"/>
      <c r="Q223" s="4">
        <v>44835</v>
      </c>
      <c r="R223" s="8"/>
      <c r="S223" s="4">
        <v>44876</v>
      </c>
      <c r="T223" s="167" t="s">
        <v>1677</v>
      </c>
      <c r="U223" s="209" t="s">
        <v>1678</v>
      </c>
      <c r="V223" s="210" t="s">
        <v>1679</v>
      </c>
      <c r="W223" s="170"/>
      <c r="X223" s="209"/>
      <c r="Y223" s="212" t="s">
        <v>1669</v>
      </c>
      <c r="Z223" s="172"/>
      <c r="AA223" s="206" t="s">
        <v>1264</v>
      </c>
      <c r="AB223" s="160"/>
      <c r="AC223" s="160"/>
      <c r="AD223" s="160"/>
    </row>
    <row r="224" spans="1:30" ht="101.5">
      <c r="A224" s="170" t="s">
        <v>1508</v>
      </c>
      <c r="B224" s="161"/>
      <c r="C224" s="3"/>
      <c r="D224" s="8" t="s">
        <v>1048</v>
      </c>
      <c r="E224" s="8" t="s">
        <v>1048</v>
      </c>
      <c r="F224" s="3"/>
      <c r="G224" s="211" t="s">
        <v>176</v>
      </c>
      <c r="H224" s="13" t="str">
        <f>IFERROR(VLOOKUP(G224, Sheet2!$A:$B, 2, FALSE), A224)</f>
        <v>HOSPITAL AUTHORITY</v>
      </c>
      <c r="I224" s="163" t="s">
        <v>352</v>
      </c>
      <c r="J224" s="164" t="s">
        <v>1663</v>
      </c>
      <c r="K224" s="207" t="s">
        <v>1680</v>
      </c>
      <c r="L224" s="208" t="s">
        <v>1681</v>
      </c>
      <c r="M224" s="160" t="s">
        <v>1572</v>
      </c>
      <c r="N224" s="3"/>
      <c r="O224" s="7"/>
      <c r="P224" s="3"/>
      <c r="Q224" s="4">
        <v>44835</v>
      </c>
      <c r="R224" s="8"/>
      <c r="S224" s="4">
        <v>44876</v>
      </c>
      <c r="T224" s="167" t="s">
        <v>1682</v>
      </c>
      <c r="U224" s="209" t="s">
        <v>1683</v>
      </c>
      <c r="V224" s="210" t="s">
        <v>1684</v>
      </c>
      <c r="W224" s="170"/>
      <c r="X224" s="209"/>
      <c r="Y224" s="212" t="s">
        <v>1669</v>
      </c>
      <c r="Z224" s="172"/>
      <c r="AA224" s="206" t="s">
        <v>1264</v>
      </c>
      <c r="AB224" s="160"/>
      <c r="AC224" s="160"/>
      <c r="AD224" s="160"/>
    </row>
    <row r="225" spans="1:30" ht="101.5">
      <c r="A225" s="170" t="s">
        <v>1508</v>
      </c>
      <c r="B225" s="161"/>
      <c r="C225" s="3"/>
      <c r="D225" s="8" t="s">
        <v>1048</v>
      </c>
      <c r="E225" s="8" t="s">
        <v>1048</v>
      </c>
      <c r="F225" s="3"/>
      <c r="G225" s="211" t="s">
        <v>176</v>
      </c>
      <c r="H225" s="13" t="str">
        <f>IFERROR(VLOOKUP(G225, Sheet2!$A:$B, 2, FALSE), A225)</f>
        <v>HOSPITAL AUTHORITY</v>
      </c>
      <c r="I225" s="163" t="s">
        <v>352</v>
      </c>
      <c r="J225" s="164" t="s">
        <v>1663</v>
      </c>
      <c r="K225" s="207" t="s">
        <v>1685</v>
      </c>
      <c r="L225" s="208" t="s">
        <v>1571</v>
      </c>
      <c r="M225" s="160" t="s">
        <v>1572</v>
      </c>
      <c r="N225" s="3"/>
      <c r="O225" s="7"/>
      <c r="P225" s="3"/>
      <c r="Q225" s="4">
        <v>44835</v>
      </c>
      <c r="R225" s="8"/>
      <c r="S225" s="4">
        <v>44876</v>
      </c>
      <c r="T225" s="167" t="s">
        <v>1686</v>
      </c>
      <c r="U225" s="209" t="s">
        <v>1687</v>
      </c>
      <c r="V225" s="210" t="s">
        <v>1688</v>
      </c>
      <c r="W225" s="170"/>
      <c r="X225" s="209"/>
      <c r="Y225" s="212" t="s">
        <v>1669</v>
      </c>
      <c r="Z225" s="172"/>
      <c r="AA225" s="206" t="s">
        <v>1264</v>
      </c>
      <c r="AB225" s="160"/>
      <c r="AC225" s="160"/>
      <c r="AD225" s="160"/>
    </row>
    <row r="226" spans="1:30" ht="101.5">
      <c r="A226" s="170" t="s">
        <v>1508</v>
      </c>
      <c r="B226" s="161"/>
      <c r="C226" s="3"/>
      <c r="D226" s="8" t="s">
        <v>1048</v>
      </c>
      <c r="E226" s="8" t="s">
        <v>1048</v>
      </c>
      <c r="F226" s="3"/>
      <c r="G226" s="211" t="s">
        <v>176</v>
      </c>
      <c r="H226" s="13" t="str">
        <f>IFERROR(VLOOKUP(G226, Sheet2!$A:$B, 2, FALSE), A226)</f>
        <v>HOSPITAL AUTHORITY</v>
      </c>
      <c r="I226" s="163" t="s">
        <v>352</v>
      </c>
      <c r="J226" s="164" t="s">
        <v>1663</v>
      </c>
      <c r="K226" s="207" t="s">
        <v>1689</v>
      </c>
      <c r="L226" s="208" t="s">
        <v>1690</v>
      </c>
      <c r="M226" s="160" t="s">
        <v>1572</v>
      </c>
      <c r="N226" s="3"/>
      <c r="O226" s="7"/>
      <c r="P226" s="3"/>
      <c r="Q226" s="4">
        <v>44835</v>
      </c>
      <c r="R226" s="8"/>
      <c r="S226" s="4">
        <v>44876</v>
      </c>
      <c r="T226" s="167" t="s">
        <v>1691</v>
      </c>
      <c r="U226" s="209" t="s">
        <v>1692</v>
      </c>
      <c r="V226" s="210" t="s">
        <v>1693</v>
      </c>
      <c r="W226" s="170"/>
      <c r="X226" s="209"/>
      <c r="Y226" s="212" t="s">
        <v>1669</v>
      </c>
      <c r="Z226" s="172"/>
      <c r="AA226" s="206" t="s">
        <v>1264</v>
      </c>
      <c r="AB226" s="160"/>
      <c r="AC226" s="160"/>
      <c r="AD226" s="160"/>
    </row>
    <row r="227" spans="1:30" ht="101.5">
      <c r="A227" s="170" t="s">
        <v>1508</v>
      </c>
      <c r="B227" s="161"/>
      <c r="C227" s="3"/>
      <c r="D227" s="8" t="s">
        <v>1048</v>
      </c>
      <c r="E227" s="8" t="s">
        <v>1048</v>
      </c>
      <c r="F227" s="3"/>
      <c r="G227" s="211" t="s">
        <v>176</v>
      </c>
      <c r="H227" s="13" t="str">
        <f>IFERROR(VLOOKUP(G227, Sheet2!$A:$B, 2, FALSE), A227)</f>
        <v>HOSPITAL AUTHORITY</v>
      </c>
      <c r="I227" s="163" t="s">
        <v>352</v>
      </c>
      <c r="J227" s="164" t="s">
        <v>1663</v>
      </c>
      <c r="K227" s="207" t="s">
        <v>1694</v>
      </c>
      <c r="L227" s="208" t="s">
        <v>1695</v>
      </c>
      <c r="M227" s="160" t="s">
        <v>1572</v>
      </c>
      <c r="N227" s="3"/>
      <c r="O227" s="7"/>
      <c r="P227" s="3"/>
      <c r="Q227" s="4">
        <v>44835</v>
      </c>
      <c r="R227" s="8"/>
      <c r="S227" s="4">
        <v>44876</v>
      </c>
      <c r="T227" s="167" t="s">
        <v>1696</v>
      </c>
      <c r="U227" s="209" t="s">
        <v>1697</v>
      </c>
      <c r="V227" s="210" t="s">
        <v>1698</v>
      </c>
      <c r="W227" s="170"/>
      <c r="X227" s="209"/>
      <c r="Y227" s="212" t="s">
        <v>1669</v>
      </c>
      <c r="Z227" s="172"/>
      <c r="AA227" s="206" t="s">
        <v>1264</v>
      </c>
      <c r="AB227" s="160"/>
      <c r="AC227" s="160"/>
      <c r="AD227" s="160"/>
    </row>
    <row r="228" spans="1:30" ht="101.5">
      <c r="A228" s="170" t="s">
        <v>1508</v>
      </c>
      <c r="B228" s="161"/>
      <c r="C228" s="3"/>
      <c r="D228" s="8" t="s">
        <v>1048</v>
      </c>
      <c r="E228" s="8" t="s">
        <v>1048</v>
      </c>
      <c r="F228" s="3"/>
      <c r="G228" s="211" t="s">
        <v>176</v>
      </c>
      <c r="H228" s="13" t="str">
        <f>IFERROR(VLOOKUP(G228, Sheet2!$A:$B, 2, FALSE), A228)</f>
        <v>HOSPITAL AUTHORITY</v>
      </c>
      <c r="I228" s="163" t="s">
        <v>352</v>
      </c>
      <c r="J228" s="164">
        <v>524889937358</v>
      </c>
      <c r="K228" s="207" t="s">
        <v>1699</v>
      </c>
      <c r="L228" s="208" t="s">
        <v>1700</v>
      </c>
      <c r="M228" s="160" t="s">
        <v>1572</v>
      </c>
      <c r="N228" s="3"/>
      <c r="O228" s="7"/>
      <c r="P228" s="3"/>
      <c r="Q228" s="4">
        <v>44835</v>
      </c>
      <c r="R228" s="8"/>
      <c r="S228" s="4">
        <v>44876</v>
      </c>
      <c r="T228" s="167" t="s">
        <v>1701</v>
      </c>
      <c r="U228" s="209" t="s">
        <v>1702</v>
      </c>
      <c r="V228" s="210" t="s">
        <v>1703</v>
      </c>
      <c r="W228" s="170"/>
      <c r="X228" s="209"/>
      <c r="Y228" s="212" t="s">
        <v>1669</v>
      </c>
      <c r="Z228" s="172"/>
      <c r="AA228" s="206" t="s">
        <v>1264</v>
      </c>
      <c r="AB228" s="160"/>
      <c r="AC228" s="160"/>
      <c r="AD228" s="160"/>
    </row>
    <row r="229" spans="1:30" ht="101.5">
      <c r="A229" s="170" t="s">
        <v>1508</v>
      </c>
      <c r="B229" s="161"/>
      <c r="C229" s="3"/>
      <c r="D229" s="8" t="s">
        <v>1048</v>
      </c>
      <c r="E229" s="8" t="s">
        <v>1048</v>
      </c>
      <c r="F229" s="3"/>
      <c r="G229" s="211" t="s">
        <v>176</v>
      </c>
      <c r="H229" s="13" t="str">
        <f>IFERROR(VLOOKUP(G229, Sheet2!$A:$B, 2, FALSE), A229)</f>
        <v>HOSPITAL AUTHORITY</v>
      </c>
      <c r="I229" s="163" t="s">
        <v>352</v>
      </c>
      <c r="J229" s="164">
        <v>524889937358</v>
      </c>
      <c r="K229" s="207" t="s">
        <v>1704</v>
      </c>
      <c r="L229" s="208" t="s">
        <v>1705</v>
      </c>
      <c r="M229" s="160" t="s">
        <v>1572</v>
      </c>
      <c r="N229" s="3"/>
      <c r="O229" s="7"/>
      <c r="P229" s="3"/>
      <c r="Q229" s="4">
        <v>44835</v>
      </c>
      <c r="R229" s="8"/>
      <c r="S229" s="4">
        <v>44876</v>
      </c>
      <c r="T229" s="167" t="s">
        <v>1706</v>
      </c>
      <c r="U229" s="209" t="s">
        <v>1707</v>
      </c>
      <c r="V229" s="210" t="s">
        <v>1708</v>
      </c>
      <c r="W229" s="170"/>
      <c r="X229" s="209"/>
      <c r="Y229" s="212" t="s">
        <v>1669</v>
      </c>
      <c r="Z229" s="172"/>
      <c r="AA229" s="206" t="s">
        <v>1264</v>
      </c>
      <c r="AB229" s="160"/>
      <c r="AC229" s="160"/>
      <c r="AD229" s="160"/>
    </row>
    <row r="230" spans="1:30" ht="101.5">
      <c r="A230" s="206" t="s">
        <v>1508</v>
      </c>
      <c r="B230" s="161"/>
      <c r="C230" s="3"/>
      <c r="D230" s="8" t="s">
        <v>1048</v>
      </c>
      <c r="E230" s="4" t="s">
        <v>1048</v>
      </c>
      <c r="F230" s="5"/>
      <c r="G230" s="160" t="s">
        <v>176</v>
      </c>
      <c r="H230" s="13" t="str">
        <f>IFERROR(VLOOKUP(G230, Sheet2!$A:$B, 2, FALSE), A230)</f>
        <v>HOSPITAL AUTHORITY</v>
      </c>
      <c r="I230" s="163" t="s">
        <v>352</v>
      </c>
      <c r="J230" s="164">
        <v>524889937358</v>
      </c>
      <c r="K230" s="207" t="s">
        <v>1709</v>
      </c>
      <c r="L230" s="213" t="s">
        <v>1710</v>
      </c>
      <c r="M230" s="160" t="s">
        <v>1572</v>
      </c>
      <c r="N230" s="3"/>
      <c r="O230" s="7"/>
      <c r="P230" s="3"/>
      <c r="Q230" s="8">
        <v>44835</v>
      </c>
      <c r="R230" s="8"/>
      <c r="S230" s="8">
        <v>44876</v>
      </c>
      <c r="T230" s="173" t="s">
        <v>1711</v>
      </c>
      <c r="U230" s="173" t="s">
        <v>1712</v>
      </c>
      <c r="V230" s="210" t="s">
        <v>1713</v>
      </c>
      <c r="W230" s="206"/>
      <c r="X230" s="173"/>
      <c r="Y230" s="212" t="s">
        <v>1669</v>
      </c>
      <c r="Z230" s="172"/>
      <c r="AA230" s="206"/>
      <c r="AB230" s="160"/>
      <c r="AC230" s="160"/>
      <c r="AD230" s="160"/>
    </row>
    <row r="231" spans="1:30" ht="101.5">
      <c r="A231" s="170" t="s">
        <v>1508</v>
      </c>
      <c r="B231" s="161"/>
      <c r="C231" s="3"/>
      <c r="D231" s="8" t="s">
        <v>1048</v>
      </c>
      <c r="E231" s="4" t="s">
        <v>1048</v>
      </c>
      <c r="F231" s="5"/>
      <c r="G231" s="211" t="s">
        <v>176</v>
      </c>
      <c r="H231" s="13" t="str">
        <f>IFERROR(VLOOKUP(G231, Sheet2!$A:$B, 2, FALSE), A231)</f>
        <v>HOSPITAL AUTHORITY</v>
      </c>
      <c r="I231" s="163" t="s">
        <v>352</v>
      </c>
      <c r="J231" s="164">
        <v>524889937358</v>
      </c>
      <c r="K231" s="207" t="s">
        <v>1714</v>
      </c>
      <c r="L231" s="213" t="s">
        <v>1715</v>
      </c>
      <c r="M231" s="160" t="s">
        <v>1572</v>
      </c>
      <c r="N231" s="3"/>
      <c r="O231" s="7"/>
      <c r="P231" s="3"/>
      <c r="Q231" s="4">
        <v>44835</v>
      </c>
      <c r="R231" s="8"/>
      <c r="S231" s="4">
        <v>44876</v>
      </c>
      <c r="T231" s="173" t="s">
        <v>1716</v>
      </c>
      <c r="U231" s="173" t="s">
        <v>1717</v>
      </c>
      <c r="V231" s="210" t="s">
        <v>1718</v>
      </c>
      <c r="W231" s="170"/>
      <c r="X231" s="173"/>
      <c r="Y231" s="212" t="s">
        <v>1669</v>
      </c>
      <c r="Z231" s="172"/>
      <c r="AA231" s="206"/>
      <c r="AB231" s="160"/>
      <c r="AC231" s="160"/>
      <c r="AD231" s="160"/>
    </row>
    <row r="232" spans="1:30" ht="101.5">
      <c r="A232" s="170" t="s">
        <v>1508</v>
      </c>
      <c r="B232" s="161"/>
      <c r="C232" s="3"/>
      <c r="D232" s="8" t="s">
        <v>1048</v>
      </c>
      <c r="E232" s="4" t="s">
        <v>1048</v>
      </c>
      <c r="F232" s="5"/>
      <c r="G232" s="211" t="s">
        <v>176</v>
      </c>
      <c r="H232" s="13" t="str">
        <f>IFERROR(VLOOKUP(G232, Sheet2!$A:$B, 2, FALSE), A232)</f>
        <v>HOSPITAL AUTHORITY</v>
      </c>
      <c r="I232" s="163" t="s">
        <v>352</v>
      </c>
      <c r="J232" s="164">
        <v>524889937358</v>
      </c>
      <c r="K232" s="207" t="s">
        <v>1719</v>
      </c>
      <c r="L232" s="213" t="s">
        <v>1720</v>
      </c>
      <c r="M232" s="160" t="s">
        <v>1572</v>
      </c>
      <c r="N232" s="3"/>
      <c r="O232" s="7"/>
      <c r="P232" s="3"/>
      <c r="Q232" s="4">
        <v>44835</v>
      </c>
      <c r="R232" s="8"/>
      <c r="S232" s="4">
        <v>44876</v>
      </c>
      <c r="T232" s="173" t="s">
        <v>1721</v>
      </c>
      <c r="U232" s="173" t="s">
        <v>1722</v>
      </c>
      <c r="V232" s="210" t="s">
        <v>1723</v>
      </c>
      <c r="W232" s="170"/>
      <c r="X232" s="173"/>
      <c r="Y232" s="212" t="s">
        <v>1669</v>
      </c>
      <c r="Z232" s="172"/>
      <c r="AA232" s="206"/>
      <c r="AB232" s="160"/>
      <c r="AC232" s="160"/>
      <c r="AD232" s="160"/>
    </row>
    <row r="233" spans="1:30" ht="101.5">
      <c r="A233" s="170" t="s">
        <v>1508</v>
      </c>
      <c r="B233" s="161"/>
      <c r="C233" s="3"/>
      <c r="D233" s="8" t="s">
        <v>1048</v>
      </c>
      <c r="E233" s="4" t="s">
        <v>1048</v>
      </c>
      <c r="F233" s="5"/>
      <c r="G233" s="211" t="s">
        <v>176</v>
      </c>
      <c r="H233" s="13" t="str">
        <f>IFERROR(VLOOKUP(G233, Sheet2!$A:$B, 2, FALSE), A233)</f>
        <v>HOSPITAL AUTHORITY</v>
      </c>
      <c r="I233" s="163" t="s">
        <v>352</v>
      </c>
      <c r="J233" s="164">
        <v>524889937358</v>
      </c>
      <c r="K233" s="207" t="s">
        <v>1724</v>
      </c>
      <c r="L233" s="213" t="s">
        <v>1725</v>
      </c>
      <c r="M233" s="160" t="s">
        <v>1572</v>
      </c>
      <c r="N233" s="3"/>
      <c r="O233" s="7"/>
      <c r="P233" s="3"/>
      <c r="Q233" s="4">
        <v>44835</v>
      </c>
      <c r="R233" s="8"/>
      <c r="S233" s="4">
        <v>44876</v>
      </c>
      <c r="T233" s="173" t="s">
        <v>1726</v>
      </c>
      <c r="U233" s="173" t="s">
        <v>1727</v>
      </c>
      <c r="V233" s="210" t="s">
        <v>1728</v>
      </c>
      <c r="W233" s="170"/>
      <c r="X233" s="173"/>
      <c r="Y233" s="212" t="s">
        <v>1669</v>
      </c>
      <c r="Z233" s="172"/>
      <c r="AA233" s="206"/>
      <c r="AB233" s="160"/>
      <c r="AC233" s="160"/>
      <c r="AD233" s="160"/>
    </row>
    <row r="234" spans="1:30" ht="101.5">
      <c r="A234" s="170" t="s">
        <v>1508</v>
      </c>
      <c r="B234" s="161"/>
      <c r="C234" s="3"/>
      <c r="D234" s="8" t="s">
        <v>1048</v>
      </c>
      <c r="E234" s="4" t="s">
        <v>1048</v>
      </c>
      <c r="F234" s="5"/>
      <c r="G234" s="211" t="s">
        <v>176</v>
      </c>
      <c r="H234" s="13" t="str">
        <f>IFERROR(VLOOKUP(G234, Sheet2!$A:$B, 2, FALSE), A234)</f>
        <v>HOSPITAL AUTHORITY</v>
      </c>
      <c r="I234" s="163" t="s">
        <v>352</v>
      </c>
      <c r="J234" s="164">
        <v>524889937358</v>
      </c>
      <c r="K234" s="207" t="s">
        <v>1729</v>
      </c>
      <c r="L234" s="213" t="s">
        <v>1730</v>
      </c>
      <c r="M234" s="160" t="s">
        <v>1572</v>
      </c>
      <c r="N234" s="3"/>
      <c r="O234" s="7"/>
      <c r="P234" s="3"/>
      <c r="Q234" s="4">
        <v>44835</v>
      </c>
      <c r="R234" s="8"/>
      <c r="S234" s="4">
        <v>44876</v>
      </c>
      <c r="T234" s="173" t="s">
        <v>1731</v>
      </c>
      <c r="U234" s="173" t="s">
        <v>1732</v>
      </c>
      <c r="V234" s="210" t="s">
        <v>1733</v>
      </c>
      <c r="W234" s="170"/>
      <c r="X234" s="173"/>
      <c r="Y234" s="212" t="s">
        <v>1669</v>
      </c>
      <c r="Z234" s="172"/>
      <c r="AA234" s="206"/>
      <c r="AB234" s="160"/>
      <c r="AC234" s="160"/>
      <c r="AD234" s="160"/>
    </row>
    <row r="235" spans="1:30" ht="101.5">
      <c r="A235" s="170" t="s">
        <v>1508</v>
      </c>
      <c r="B235" s="161"/>
      <c r="C235" s="3"/>
      <c r="D235" s="8" t="s">
        <v>1048</v>
      </c>
      <c r="E235" s="4" t="s">
        <v>1048</v>
      </c>
      <c r="F235" s="5"/>
      <c r="G235" s="211" t="s">
        <v>176</v>
      </c>
      <c r="H235" s="13" t="str">
        <f>IFERROR(VLOOKUP(G235, Sheet2!$A:$B, 2, FALSE), A235)</f>
        <v>HOSPITAL AUTHORITY</v>
      </c>
      <c r="I235" s="163" t="s">
        <v>352</v>
      </c>
      <c r="J235" s="164">
        <v>524889937358</v>
      </c>
      <c r="K235" s="207" t="s">
        <v>1734</v>
      </c>
      <c r="L235" s="213" t="s">
        <v>1735</v>
      </c>
      <c r="M235" s="160" t="s">
        <v>1572</v>
      </c>
      <c r="N235" s="3"/>
      <c r="O235" s="7"/>
      <c r="P235" s="3"/>
      <c r="Q235" s="4">
        <v>44835</v>
      </c>
      <c r="R235" s="8"/>
      <c r="S235" s="4">
        <v>44876</v>
      </c>
      <c r="T235" s="173" t="s">
        <v>1736</v>
      </c>
      <c r="U235" s="173" t="s">
        <v>1737</v>
      </c>
      <c r="V235" s="210" t="s">
        <v>1738</v>
      </c>
      <c r="W235" s="170"/>
      <c r="X235" s="173"/>
      <c r="Y235" s="212" t="s">
        <v>1669</v>
      </c>
      <c r="Z235" s="172"/>
      <c r="AA235" s="206"/>
      <c r="AB235" s="160"/>
      <c r="AC235" s="160"/>
      <c r="AD235" s="160"/>
    </row>
    <row r="236" spans="1:30" ht="101.5">
      <c r="A236" s="170" t="s">
        <v>1508</v>
      </c>
      <c r="B236" s="161"/>
      <c r="C236" s="3"/>
      <c r="D236" s="8" t="s">
        <v>1048</v>
      </c>
      <c r="E236" s="4" t="s">
        <v>1048</v>
      </c>
      <c r="F236" s="5"/>
      <c r="G236" s="211" t="s">
        <v>176</v>
      </c>
      <c r="H236" s="13" t="str">
        <f>IFERROR(VLOOKUP(G236, Sheet2!$A:$B, 2, FALSE), A236)</f>
        <v>HOSPITAL AUTHORITY</v>
      </c>
      <c r="I236" s="163" t="s">
        <v>352</v>
      </c>
      <c r="J236" s="164">
        <v>524889937358</v>
      </c>
      <c r="K236" s="207" t="s">
        <v>1739</v>
      </c>
      <c r="L236" s="213" t="s">
        <v>1740</v>
      </c>
      <c r="M236" s="160" t="s">
        <v>1572</v>
      </c>
      <c r="N236" s="3"/>
      <c r="O236" s="7"/>
      <c r="P236" s="3"/>
      <c r="Q236" s="4">
        <v>44835</v>
      </c>
      <c r="R236" s="8"/>
      <c r="S236" s="4">
        <v>44876</v>
      </c>
      <c r="T236" s="173" t="s">
        <v>1741</v>
      </c>
      <c r="U236" s="173" t="s">
        <v>1742</v>
      </c>
      <c r="V236" s="210" t="s">
        <v>1743</v>
      </c>
      <c r="W236" s="170"/>
      <c r="X236" s="173"/>
      <c r="Y236" s="212" t="s">
        <v>1669</v>
      </c>
      <c r="Z236" s="172"/>
      <c r="AA236" s="206"/>
      <c r="AB236" s="160"/>
      <c r="AC236" s="160"/>
      <c r="AD236" s="160"/>
    </row>
    <row r="237" spans="1:30" ht="101.5">
      <c r="A237" s="170" t="s">
        <v>1508</v>
      </c>
      <c r="B237" s="161"/>
      <c r="C237" s="214"/>
      <c r="D237" s="215" t="s">
        <v>1048</v>
      </c>
      <c r="E237" s="216" t="s">
        <v>1048</v>
      </c>
      <c r="F237" s="217"/>
      <c r="G237" s="211" t="s">
        <v>176</v>
      </c>
      <c r="H237" s="13" t="str">
        <f>IFERROR(VLOOKUP(G237, Sheet2!$A:$B, 2, FALSE), A237)</f>
        <v>HOSPITAL AUTHORITY</v>
      </c>
      <c r="I237" s="163" t="s">
        <v>352</v>
      </c>
      <c r="J237" s="164">
        <v>524889937358</v>
      </c>
      <c r="K237" s="207" t="s">
        <v>1744</v>
      </c>
      <c r="L237" s="213" t="s">
        <v>1745</v>
      </c>
      <c r="M237" s="160" t="s">
        <v>1572</v>
      </c>
      <c r="N237" s="214"/>
      <c r="O237" s="218"/>
      <c r="P237" s="214"/>
      <c r="Q237" s="216">
        <v>44835</v>
      </c>
      <c r="R237" s="215"/>
      <c r="S237" s="216">
        <v>44876</v>
      </c>
      <c r="T237" s="173" t="s">
        <v>1746</v>
      </c>
      <c r="U237" s="173" t="s">
        <v>1747</v>
      </c>
      <c r="V237" s="210" t="s">
        <v>1748</v>
      </c>
      <c r="W237" s="170"/>
      <c r="X237" s="173"/>
      <c r="Y237" s="212" t="s">
        <v>1669</v>
      </c>
      <c r="Z237" s="172"/>
      <c r="AA237" s="206"/>
      <c r="AB237" s="160"/>
      <c r="AC237" s="160"/>
      <c r="AD237" s="160"/>
    </row>
    <row r="238" spans="1:30" ht="101.5">
      <c r="A238" s="170" t="s">
        <v>1508</v>
      </c>
      <c r="B238" s="161"/>
      <c r="C238" s="3"/>
      <c r="D238" s="8" t="s">
        <v>1048</v>
      </c>
      <c r="E238" s="4" t="s">
        <v>1048</v>
      </c>
      <c r="F238" s="5"/>
      <c r="G238" s="211" t="s">
        <v>176</v>
      </c>
      <c r="H238" s="13" t="str">
        <f>IFERROR(VLOOKUP(G238, Sheet2!$A:$B, 2, FALSE), A238)</f>
        <v>HOSPITAL AUTHORITY</v>
      </c>
      <c r="I238" s="163" t="s">
        <v>352</v>
      </c>
      <c r="J238" s="164">
        <v>524889937358</v>
      </c>
      <c r="K238" s="207" t="s">
        <v>1749</v>
      </c>
      <c r="L238" s="213" t="s">
        <v>1750</v>
      </c>
      <c r="M238" s="160" t="s">
        <v>1572</v>
      </c>
      <c r="N238" s="3"/>
      <c r="O238" s="7"/>
      <c r="P238" s="3"/>
      <c r="Q238" s="4">
        <v>44835</v>
      </c>
      <c r="R238" s="8"/>
      <c r="S238" s="4">
        <v>44876</v>
      </c>
      <c r="T238" s="173" t="s">
        <v>1751</v>
      </c>
      <c r="U238" s="173" t="s">
        <v>1752</v>
      </c>
      <c r="V238" s="210" t="s">
        <v>1753</v>
      </c>
      <c r="W238" s="170"/>
      <c r="X238" s="173"/>
      <c r="Y238" s="212" t="s">
        <v>1669</v>
      </c>
      <c r="Z238" s="172"/>
      <c r="AA238" s="206"/>
      <c r="AB238" s="160"/>
      <c r="AC238" s="160"/>
      <c r="AD238" s="160"/>
    </row>
    <row r="239" spans="1:30" ht="101.5">
      <c r="A239" s="170" t="s">
        <v>1508</v>
      </c>
      <c r="B239" s="161"/>
      <c r="C239" s="3"/>
      <c r="D239" s="8" t="s">
        <v>1048</v>
      </c>
      <c r="E239" s="4" t="s">
        <v>1048</v>
      </c>
      <c r="F239" s="5"/>
      <c r="G239" s="211" t="s">
        <v>176</v>
      </c>
      <c r="H239" s="13" t="str">
        <f>IFERROR(VLOOKUP(G239, Sheet2!$A:$B, 2, FALSE), A239)</f>
        <v>HOSPITAL AUTHORITY</v>
      </c>
      <c r="I239" s="163" t="s">
        <v>352</v>
      </c>
      <c r="J239" s="164">
        <v>524889937358</v>
      </c>
      <c r="K239" s="207" t="s">
        <v>1754</v>
      </c>
      <c r="L239" s="213" t="s">
        <v>1755</v>
      </c>
      <c r="M239" s="160" t="s">
        <v>1572</v>
      </c>
      <c r="N239" s="3"/>
      <c r="O239" s="7"/>
      <c r="P239" s="3"/>
      <c r="Q239" s="4">
        <v>44835</v>
      </c>
      <c r="R239" s="8"/>
      <c r="S239" s="4">
        <v>44876</v>
      </c>
      <c r="T239" s="173" t="s">
        <v>1756</v>
      </c>
      <c r="U239" s="173" t="s">
        <v>1757</v>
      </c>
      <c r="V239" s="210" t="s">
        <v>1758</v>
      </c>
      <c r="W239" s="170"/>
      <c r="X239" s="173"/>
      <c r="Y239" s="212" t="s">
        <v>1669</v>
      </c>
      <c r="Z239" s="172"/>
      <c r="AA239" s="206"/>
      <c r="AB239" s="160"/>
      <c r="AC239" s="160"/>
      <c r="AD239" s="160"/>
    </row>
    <row r="240" spans="1:30" ht="101.5">
      <c r="A240" s="206" t="s">
        <v>1508</v>
      </c>
      <c r="B240" s="161"/>
      <c r="C240" s="3"/>
      <c r="D240" s="219" t="s">
        <v>1048</v>
      </c>
      <c r="E240" s="8" t="s">
        <v>1048</v>
      </c>
      <c r="F240" s="3"/>
      <c r="G240" s="220" t="s">
        <v>176</v>
      </c>
      <c r="H240" s="13" t="str">
        <f>IFERROR(VLOOKUP(G240, Sheet2!$A:$B, 2, FALSE), A240)</f>
        <v>HOSPITAL AUTHORITY</v>
      </c>
      <c r="I240" s="163" t="s">
        <v>352</v>
      </c>
      <c r="J240" s="164" t="s">
        <v>1663</v>
      </c>
      <c r="K240" s="207" t="s">
        <v>1759</v>
      </c>
      <c r="L240" s="213"/>
      <c r="M240" s="160" t="s">
        <v>1572</v>
      </c>
      <c r="N240" s="3"/>
      <c r="O240" s="7"/>
      <c r="P240" s="3"/>
      <c r="Q240" s="8">
        <v>44835</v>
      </c>
      <c r="R240" s="8"/>
      <c r="S240" s="8">
        <v>44876</v>
      </c>
      <c r="T240" s="173" t="s">
        <v>1760</v>
      </c>
      <c r="U240" s="221" t="s">
        <v>1761</v>
      </c>
      <c r="V240" s="210" t="s">
        <v>1762</v>
      </c>
      <c r="W240" s="206"/>
      <c r="X240" s="221"/>
      <c r="Y240" s="209" t="s">
        <v>1669</v>
      </c>
      <c r="Z240" s="172"/>
      <c r="AA240" s="206"/>
      <c r="AB240" s="160"/>
      <c r="AC240" s="160"/>
      <c r="AD240" s="160"/>
    </row>
    <row r="241" spans="1:30" ht="101.5">
      <c r="A241" s="170" t="s">
        <v>1508</v>
      </c>
      <c r="B241" s="161"/>
      <c r="C241" s="3"/>
      <c r="D241" s="219" t="s">
        <v>1048</v>
      </c>
      <c r="E241" s="8" t="s">
        <v>1048</v>
      </c>
      <c r="F241" s="3"/>
      <c r="G241" s="211" t="s">
        <v>176</v>
      </c>
      <c r="H241" s="13" t="str">
        <f>IFERROR(VLOOKUP(G241, Sheet2!$A:$B, 2, FALSE), A241)</f>
        <v>HOSPITAL AUTHORITY</v>
      </c>
      <c r="I241" s="163" t="s">
        <v>352</v>
      </c>
      <c r="J241" s="164">
        <v>524889937358</v>
      </c>
      <c r="K241" s="207" t="s">
        <v>1763</v>
      </c>
      <c r="L241" s="208" t="s">
        <v>1764</v>
      </c>
      <c r="M241" s="160" t="s">
        <v>1572</v>
      </c>
      <c r="N241" s="3"/>
      <c r="O241" s="7"/>
      <c r="P241" s="3"/>
      <c r="Q241" s="4">
        <v>44835</v>
      </c>
      <c r="R241" s="8"/>
      <c r="S241" s="4">
        <v>44876</v>
      </c>
      <c r="T241" s="173" t="s">
        <v>1765</v>
      </c>
      <c r="U241" s="221" t="s">
        <v>1766</v>
      </c>
      <c r="V241" s="210" t="s">
        <v>1767</v>
      </c>
      <c r="W241" s="170"/>
      <c r="X241" s="221"/>
      <c r="Y241" s="212" t="s">
        <v>1669</v>
      </c>
      <c r="Z241" s="172"/>
      <c r="AA241" s="206"/>
      <c r="AB241" s="160"/>
      <c r="AC241" s="160"/>
      <c r="AD241" s="160"/>
    </row>
    <row r="242" spans="1:30" ht="101.5">
      <c r="A242" s="170" t="s">
        <v>1508</v>
      </c>
      <c r="B242" s="161"/>
      <c r="C242" s="3"/>
      <c r="D242" s="219" t="s">
        <v>1048</v>
      </c>
      <c r="E242" s="8" t="s">
        <v>1048</v>
      </c>
      <c r="F242" s="3"/>
      <c r="G242" s="211" t="s">
        <v>176</v>
      </c>
      <c r="H242" s="13" t="str">
        <f>IFERROR(VLOOKUP(G242, Sheet2!$A:$B, 2, FALSE), A242)</f>
        <v>HOSPITAL AUTHORITY</v>
      </c>
      <c r="I242" s="163" t="s">
        <v>352</v>
      </c>
      <c r="J242" s="164">
        <v>524889937358</v>
      </c>
      <c r="K242" s="207" t="s">
        <v>1768</v>
      </c>
      <c r="L242" s="208" t="s">
        <v>1769</v>
      </c>
      <c r="M242" s="160" t="s">
        <v>1572</v>
      </c>
      <c r="N242" s="3"/>
      <c r="O242" s="7"/>
      <c r="P242" s="3"/>
      <c r="Q242" s="4">
        <v>44835</v>
      </c>
      <c r="R242" s="8"/>
      <c r="S242" s="4">
        <v>44876</v>
      </c>
      <c r="T242" s="173" t="s">
        <v>1770</v>
      </c>
      <c r="U242" s="221" t="s">
        <v>1771</v>
      </c>
      <c r="V242" s="210" t="s">
        <v>1772</v>
      </c>
      <c r="W242" s="170"/>
      <c r="X242" s="221"/>
      <c r="Y242" s="212" t="s">
        <v>1669</v>
      </c>
      <c r="Z242" s="172"/>
      <c r="AA242" s="206"/>
      <c r="AB242" s="160"/>
      <c r="AC242" s="160"/>
      <c r="AD242" s="160"/>
    </row>
    <row r="243" spans="1:30" ht="101.5">
      <c r="A243" s="170" t="s">
        <v>1508</v>
      </c>
      <c r="B243" s="161"/>
      <c r="C243" s="3"/>
      <c r="D243" s="219" t="s">
        <v>1048</v>
      </c>
      <c r="E243" s="8" t="s">
        <v>1048</v>
      </c>
      <c r="F243" s="3"/>
      <c r="G243" s="211" t="s">
        <v>176</v>
      </c>
      <c r="H243" s="13" t="str">
        <f>IFERROR(VLOOKUP(G243, Sheet2!$A:$B, 2, FALSE), A243)</f>
        <v>HOSPITAL AUTHORITY</v>
      </c>
      <c r="I243" s="163" t="s">
        <v>352</v>
      </c>
      <c r="J243" s="164">
        <v>524889937358</v>
      </c>
      <c r="K243" s="207" t="s">
        <v>1773</v>
      </c>
      <c r="L243" s="208" t="s">
        <v>1774</v>
      </c>
      <c r="M243" s="160" t="s">
        <v>1572</v>
      </c>
      <c r="N243" s="3"/>
      <c r="O243" s="7"/>
      <c r="P243" s="3"/>
      <c r="Q243" s="4">
        <v>44835</v>
      </c>
      <c r="R243" s="8"/>
      <c r="S243" s="4">
        <v>44876</v>
      </c>
      <c r="T243" s="173" t="s">
        <v>1775</v>
      </c>
      <c r="U243" s="221" t="s">
        <v>1776</v>
      </c>
      <c r="V243" s="210" t="s">
        <v>1777</v>
      </c>
      <c r="W243" s="170"/>
      <c r="X243" s="221"/>
      <c r="Y243" s="212" t="s">
        <v>1669</v>
      </c>
      <c r="Z243" s="172"/>
      <c r="AA243" s="206"/>
      <c r="AB243" s="160"/>
      <c r="AC243" s="160"/>
      <c r="AD243" s="160"/>
    </row>
    <row r="244" spans="1:30" ht="101.5">
      <c r="A244" s="170" t="s">
        <v>1508</v>
      </c>
      <c r="B244" s="161"/>
      <c r="C244" s="3"/>
      <c r="D244" s="219" t="s">
        <v>1048</v>
      </c>
      <c r="E244" s="8" t="s">
        <v>1048</v>
      </c>
      <c r="F244" s="3"/>
      <c r="G244" s="211" t="s">
        <v>176</v>
      </c>
      <c r="H244" s="13" t="str">
        <f>IFERROR(VLOOKUP(G244, Sheet2!$A:$B, 2, FALSE), A244)</f>
        <v>HOSPITAL AUTHORITY</v>
      </c>
      <c r="I244" s="163" t="s">
        <v>352</v>
      </c>
      <c r="J244" s="164">
        <v>524889937358</v>
      </c>
      <c r="K244" s="207" t="s">
        <v>1778</v>
      </c>
      <c r="L244" s="208" t="s">
        <v>1779</v>
      </c>
      <c r="M244" s="160" t="s">
        <v>1572</v>
      </c>
      <c r="N244" s="3"/>
      <c r="O244" s="7"/>
      <c r="P244" s="3"/>
      <c r="Q244" s="4">
        <v>44835</v>
      </c>
      <c r="R244" s="8"/>
      <c r="S244" s="4">
        <v>44876</v>
      </c>
      <c r="T244" s="173" t="s">
        <v>1780</v>
      </c>
      <c r="U244" s="221" t="s">
        <v>1781</v>
      </c>
      <c r="V244" s="210" t="s">
        <v>1782</v>
      </c>
      <c r="W244" s="170"/>
      <c r="X244" s="221"/>
      <c r="Y244" s="212" t="s">
        <v>1669</v>
      </c>
      <c r="Z244" s="172"/>
      <c r="AA244" s="206"/>
      <c r="AB244" s="160"/>
      <c r="AC244" s="160"/>
      <c r="AD244" s="160"/>
    </row>
    <row r="245" spans="1:30" ht="101.5">
      <c r="A245" s="170" t="s">
        <v>1508</v>
      </c>
      <c r="B245" s="161"/>
      <c r="C245" s="3"/>
      <c r="D245" s="219" t="s">
        <v>1048</v>
      </c>
      <c r="E245" s="8" t="s">
        <v>1048</v>
      </c>
      <c r="F245" s="3"/>
      <c r="G245" s="211" t="s">
        <v>176</v>
      </c>
      <c r="H245" s="13" t="str">
        <f>IFERROR(VLOOKUP(G245, Sheet2!$A:$B, 2, FALSE), A245)</f>
        <v>HOSPITAL AUTHORITY</v>
      </c>
      <c r="I245" s="163" t="s">
        <v>352</v>
      </c>
      <c r="J245" s="164">
        <v>524889937358</v>
      </c>
      <c r="K245" s="207" t="s">
        <v>1783</v>
      </c>
      <c r="L245" s="208" t="s">
        <v>1784</v>
      </c>
      <c r="M245" s="160" t="s">
        <v>1572</v>
      </c>
      <c r="N245" s="3"/>
      <c r="O245" s="7"/>
      <c r="P245" s="3"/>
      <c r="Q245" s="4">
        <v>44835</v>
      </c>
      <c r="R245" s="8"/>
      <c r="S245" s="4">
        <v>44876</v>
      </c>
      <c r="T245" s="173" t="s">
        <v>1785</v>
      </c>
      <c r="U245" s="221" t="s">
        <v>1786</v>
      </c>
      <c r="V245" s="210" t="s">
        <v>1787</v>
      </c>
      <c r="W245" s="170"/>
      <c r="X245" s="221"/>
      <c r="Y245" s="212" t="s">
        <v>1669</v>
      </c>
      <c r="Z245" s="172"/>
      <c r="AA245" s="206"/>
      <c r="AB245" s="160"/>
      <c r="AC245" s="160"/>
      <c r="AD245" s="160"/>
    </row>
    <row r="246" spans="1:30" ht="101.5">
      <c r="A246" s="170" t="s">
        <v>1508</v>
      </c>
      <c r="B246" s="161"/>
      <c r="C246" s="3"/>
      <c r="D246" s="219" t="s">
        <v>1048</v>
      </c>
      <c r="E246" s="8" t="s">
        <v>1048</v>
      </c>
      <c r="F246" s="3"/>
      <c r="G246" s="211" t="s">
        <v>176</v>
      </c>
      <c r="H246" s="13" t="str">
        <f>IFERROR(VLOOKUP(G246, Sheet2!$A:$B, 2, FALSE), A246)</f>
        <v>HOSPITAL AUTHORITY</v>
      </c>
      <c r="I246" s="163" t="s">
        <v>352</v>
      </c>
      <c r="J246" s="164">
        <v>524889937358</v>
      </c>
      <c r="K246" s="207" t="s">
        <v>1788</v>
      </c>
      <c r="L246" s="208" t="s">
        <v>1789</v>
      </c>
      <c r="M246" s="160" t="s">
        <v>1572</v>
      </c>
      <c r="N246" s="3"/>
      <c r="O246" s="7"/>
      <c r="P246" s="3"/>
      <c r="Q246" s="4">
        <v>44835</v>
      </c>
      <c r="R246" s="8"/>
      <c r="S246" s="4">
        <v>44876</v>
      </c>
      <c r="T246" s="173" t="s">
        <v>1790</v>
      </c>
      <c r="U246" s="221" t="s">
        <v>1791</v>
      </c>
      <c r="V246" s="210" t="s">
        <v>1792</v>
      </c>
      <c r="W246" s="170"/>
      <c r="X246" s="221"/>
      <c r="Y246" s="212" t="s">
        <v>1669</v>
      </c>
      <c r="Z246" s="172"/>
      <c r="AA246" s="206"/>
      <c r="AB246" s="160"/>
      <c r="AC246" s="160"/>
      <c r="AD246" s="160"/>
    </row>
    <row r="247" spans="1:30" ht="101.5">
      <c r="A247" s="170" t="s">
        <v>1508</v>
      </c>
      <c r="B247" s="161"/>
      <c r="C247" s="3"/>
      <c r="D247" s="219" t="s">
        <v>1048</v>
      </c>
      <c r="E247" s="8" t="s">
        <v>1048</v>
      </c>
      <c r="F247" s="3"/>
      <c r="G247" s="211" t="s">
        <v>176</v>
      </c>
      <c r="H247" s="13" t="str">
        <f>IFERROR(VLOOKUP(G247, Sheet2!$A:$B, 2, FALSE), A247)</f>
        <v>HOSPITAL AUTHORITY</v>
      </c>
      <c r="I247" s="163" t="s">
        <v>352</v>
      </c>
      <c r="J247" s="164">
        <v>524889937358</v>
      </c>
      <c r="K247" s="207" t="s">
        <v>1793</v>
      </c>
      <c r="L247" s="208" t="s">
        <v>1794</v>
      </c>
      <c r="M247" s="160" t="s">
        <v>1572</v>
      </c>
      <c r="N247" s="3"/>
      <c r="O247" s="7"/>
      <c r="P247" s="3"/>
      <c r="Q247" s="4">
        <v>44835</v>
      </c>
      <c r="R247" s="8"/>
      <c r="S247" s="4">
        <v>44876</v>
      </c>
      <c r="T247" s="173" t="s">
        <v>1795</v>
      </c>
      <c r="U247" s="221" t="s">
        <v>1796</v>
      </c>
      <c r="V247" s="210" t="s">
        <v>1797</v>
      </c>
      <c r="W247" s="170"/>
      <c r="X247" s="221"/>
      <c r="Y247" s="212" t="s">
        <v>1669</v>
      </c>
      <c r="Z247" s="172"/>
      <c r="AA247" s="206"/>
      <c r="AB247" s="160"/>
      <c r="AC247" s="160"/>
      <c r="AD247" s="160"/>
    </row>
    <row r="248" spans="1:30" ht="101.5">
      <c r="A248" s="170" t="s">
        <v>1508</v>
      </c>
      <c r="B248" s="161"/>
      <c r="C248" s="3"/>
      <c r="D248" s="219" t="s">
        <v>1048</v>
      </c>
      <c r="E248" s="8" t="s">
        <v>1048</v>
      </c>
      <c r="F248" s="3"/>
      <c r="G248" s="211" t="s">
        <v>176</v>
      </c>
      <c r="H248" s="13" t="str">
        <f>IFERROR(VLOOKUP(G248, Sheet2!$A:$B, 2, FALSE), A248)</f>
        <v>HOSPITAL AUTHORITY</v>
      </c>
      <c r="I248" s="163" t="s">
        <v>352</v>
      </c>
      <c r="J248" s="164">
        <v>524889937358</v>
      </c>
      <c r="K248" s="207" t="s">
        <v>1798</v>
      </c>
      <c r="L248" s="208" t="s">
        <v>1799</v>
      </c>
      <c r="M248" s="160" t="s">
        <v>1572</v>
      </c>
      <c r="N248" s="3"/>
      <c r="O248" s="7"/>
      <c r="P248" s="3"/>
      <c r="Q248" s="4">
        <v>44835</v>
      </c>
      <c r="R248" s="8"/>
      <c r="S248" s="4">
        <v>44876</v>
      </c>
      <c r="T248" s="173" t="s">
        <v>1800</v>
      </c>
      <c r="U248" s="221" t="s">
        <v>1801</v>
      </c>
      <c r="V248" s="210" t="s">
        <v>1802</v>
      </c>
      <c r="W248" s="170"/>
      <c r="X248" s="221"/>
      <c r="Y248" s="212" t="s">
        <v>1669</v>
      </c>
      <c r="Z248" s="172"/>
      <c r="AA248" s="206"/>
      <c r="AB248" s="160"/>
      <c r="AC248" s="160"/>
      <c r="AD248" s="160"/>
    </row>
    <row r="249" spans="1:30" ht="101.5">
      <c r="A249" s="170" t="s">
        <v>1508</v>
      </c>
      <c r="B249" s="161"/>
      <c r="C249" s="3"/>
      <c r="D249" s="219" t="s">
        <v>1048</v>
      </c>
      <c r="E249" s="8" t="s">
        <v>1048</v>
      </c>
      <c r="F249" s="3"/>
      <c r="G249" s="211" t="s">
        <v>176</v>
      </c>
      <c r="H249" s="13" t="str">
        <f>IFERROR(VLOOKUP(G249, Sheet2!$A:$B, 2, FALSE), A249)</f>
        <v>HOSPITAL AUTHORITY</v>
      </c>
      <c r="I249" s="163" t="s">
        <v>352</v>
      </c>
      <c r="J249" s="164">
        <v>524889937358</v>
      </c>
      <c r="K249" s="207" t="s">
        <v>1803</v>
      </c>
      <c r="L249" s="208" t="s">
        <v>1593</v>
      </c>
      <c r="M249" s="160" t="s">
        <v>1572</v>
      </c>
      <c r="N249" s="3"/>
      <c r="O249" s="7"/>
      <c r="P249" s="3"/>
      <c r="Q249" s="4">
        <v>44835</v>
      </c>
      <c r="R249" s="8"/>
      <c r="S249" s="4">
        <v>44876</v>
      </c>
      <c r="T249" s="173" t="s">
        <v>1804</v>
      </c>
      <c r="U249" s="221" t="s">
        <v>1805</v>
      </c>
      <c r="V249" s="210" t="s">
        <v>1806</v>
      </c>
      <c r="W249" s="170"/>
      <c r="X249" s="221"/>
      <c r="Y249" s="212" t="s">
        <v>1669</v>
      </c>
      <c r="Z249" s="172"/>
      <c r="AA249" s="206"/>
      <c r="AB249" s="160"/>
      <c r="AC249" s="160"/>
      <c r="AD249" s="160"/>
    </row>
    <row r="250" spans="1:30" ht="102">
      <c r="A250" s="206" t="s">
        <v>1508</v>
      </c>
      <c r="B250" s="161"/>
      <c r="C250" s="3"/>
      <c r="D250" s="8" t="s">
        <v>1048</v>
      </c>
      <c r="E250" s="8" t="s">
        <v>1048</v>
      </c>
      <c r="F250" s="3"/>
      <c r="G250" s="160" t="s">
        <v>176</v>
      </c>
      <c r="H250" s="13" t="str">
        <f>IFERROR(VLOOKUP(G250, Sheet2!$A:$B, 2, FALSE), A250)</f>
        <v>HOSPITAL AUTHORITY</v>
      </c>
      <c r="I250" s="163" t="s">
        <v>352</v>
      </c>
      <c r="J250" s="164">
        <v>524889937358</v>
      </c>
      <c r="K250" s="207" t="s">
        <v>1807</v>
      </c>
      <c r="L250" s="222" t="s">
        <v>1597</v>
      </c>
      <c r="M250" s="160" t="s">
        <v>1572</v>
      </c>
      <c r="N250" s="3"/>
      <c r="O250" s="7"/>
      <c r="P250" s="3"/>
      <c r="Q250" s="8">
        <v>44835</v>
      </c>
      <c r="R250" s="8"/>
      <c r="S250" s="8">
        <v>44876</v>
      </c>
      <c r="T250" s="173" t="s">
        <v>1808</v>
      </c>
      <c r="U250" s="221" t="s">
        <v>1809</v>
      </c>
      <c r="V250" s="210" t="s">
        <v>1810</v>
      </c>
      <c r="W250" s="206"/>
      <c r="X250" s="223"/>
      <c r="Y250" s="224" t="s">
        <v>1669</v>
      </c>
      <c r="Z250" s="172"/>
      <c r="AA250" s="206"/>
      <c r="AB250" s="160"/>
      <c r="AC250" s="160"/>
      <c r="AD250" s="160"/>
    </row>
    <row r="251" spans="1:30" ht="101.5">
      <c r="A251" s="170" t="s">
        <v>1508</v>
      </c>
      <c r="B251" s="161"/>
      <c r="C251" s="3"/>
      <c r="D251" s="8" t="s">
        <v>1048</v>
      </c>
      <c r="E251" s="8" t="s">
        <v>1048</v>
      </c>
      <c r="F251" s="3"/>
      <c r="G251" s="211" t="s">
        <v>176</v>
      </c>
      <c r="H251" s="13" t="str">
        <f>IFERROR(VLOOKUP(G251, Sheet2!$A:$B, 2, FALSE), A251)</f>
        <v>HOSPITAL AUTHORITY</v>
      </c>
      <c r="I251" s="163" t="s">
        <v>352</v>
      </c>
      <c r="J251" s="164">
        <v>524889937358</v>
      </c>
      <c r="K251" s="207" t="s">
        <v>1811</v>
      </c>
      <c r="L251" s="222" t="s">
        <v>1812</v>
      </c>
      <c r="M251" s="160" t="s">
        <v>1572</v>
      </c>
      <c r="N251" s="3"/>
      <c r="O251" s="7"/>
      <c r="P251" s="3"/>
      <c r="Q251" s="4">
        <v>44835</v>
      </c>
      <c r="R251" s="8"/>
      <c r="S251" s="4">
        <v>44876</v>
      </c>
      <c r="T251" s="173" t="s">
        <v>1813</v>
      </c>
      <c r="U251" s="225" t="s">
        <v>1814</v>
      </c>
      <c r="V251" s="210" t="s">
        <v>1815</v>
      </c>
      <c r="W251" s="170"/>
      <c r="X251" s="223"/>
      <c r="Y251" s="212" t="s">
        <v>1669</v>
      </c>
      <c r="Z251" s="172"/>
      <c r="AA251" s="206"/>
      <c r="AB251" s="160"/>
      <c r="AC251" s="160"/>
      <c r="AD251" s="160"/>
    </row>
    <row r="252" spans="1:30" ht="101.5">
      <c r="A252" s="170" t="s">
        <v>1508</v>
      </c>
      <c r="B252" s="161"/>
      <c r="C252" s="3"/>
      <c r="D252" s="8" t="s">
        <v>1048</v>
      </c>
      <c r="E252" s="8" t="s">
        <v>1048</v>
      </c>
      <c r="F252" s="3"/>
      <c r="G252" s="211" t="s">
        <v>176</v>
      </c>
      <c r="H252" s="13" t="str">
        <f>IFERROR(VLOOKUP(G252, Sheet2!$A:$B, 2, FALSE), A252)</f>
        <v>HOSPITAL AUTHORITY</v>
      </c>
      <c r="I252" s="163" t="s">
        <v>352</v>
      </c>
      <c r="J252" s="164">
        <v>524889937358</v>
      </c>
      <c r="K252" s="207" t="s">
        <v>1816</v>
      </c>
      <c r="L252" s="222" t="s">
        <v>1817</v>
      </c>
      <c r="M252" s="160" t="s">
        <v>1572</v>
      </c>
      <c r="N252" s="3"/>
      <c r="O252" s="7"/>
      <c r="P252" s="3"/>
      <c r="Q252" s="4">
        <v>44835</v>
      </c>
      <c r="R252" s="8"/>
      <c r="S252" s="4">
        <v>44876</v>
      </c>
      <c r="T252" s="173" t="s">
        <v>1818</v>
      </c>
      <c r="U252" s="226" t="s">
        <v>1819</v>
      </c>
      <c r="V252" s="210" t="s">
        <v>1820</v>
      </c>
      <c r="W252" s="170"/>
      <c r="X252" s="223"/>
      <c r="Y252" s="212" t="s">
        <v>1669</v>
      </c>
      <c r="Z252" s="172"/>
      <c r="AA252" s="206"/>
      <c r="AB252" s="160"/>
      <c r="AC252" s="160"/>
      <c r="AD252" s="160"/>
    </row>
    <row r="253" spans="1:30" ht="101.5">
      <c r="A253" s="170" t="s">
        <v>1508</v>
      </c>
      <c r="B253" s="161"/>
      <c r="C253" s="3"/>
      <c r="D253" s="8" t="s">
        <v>1048</v>
      </c>
      <c r="E253" s="8" t="s">
        <v>1048</v>
      </c>
      <c r="F253" s="3"/>
      <c r="G253" s="211" t="s">
        <v>176</v>
      </c>
      <c r="H253" s="13" t="str">
        <f>IFERROR(VLOOKUP(G253, Sheet2!$A:$B, 2, FALSE), A253)</f>
        <v>HOSPITAL AUTHORITY</v>
      </c>
      <c r="I253" s="163" t="s">
        <v>352</v>
      </c>
      <c r="J253" s="164">
        <v>524889937358</v>
      </c>
      <c r="K253" s="207" t="s">
        <v>1821</v>
      </c>
      <c r="L253" s="222" t="s">
        <v>1822</v>
      </c>
      <c r="M253" s="160" t="s">
        <v>1572</v>
      </c>
      <c r="N253" s="3"/>
      <c r="O253" s="7"/>
      <c r="P253" s="3"/>
      <c r="Q253" s="4">
        <v>44835</v>
      </c>
      <c r="R253" s="8"/>
      <c r="S253" s="4">
        <v>44876</v>
      </c>
      <c r="T253" s="173" t="s">
        <v>1823</v>
      </c>
      <c r="U253" s="225" t="s">
        <v>1824</v>
      </c>
      <c r="V253" s="210" t="s">
        <v>1825</v>
      </c>
      <c r="W253" s="170"/>
      <c r="X253" s="223"/>
      <c r="Y253" s="212" t="s">
        <v>1669</v>
      </c>
      <c r="Z253" s="172"/>
      <c r="AA253" s="206"/>
      <c r="AB253" s="160"/>
      <c r="AC253" s="160"/>
      <c r="AD253" s="160"/>
    </row>
    <row r="254" spans="1:30" ht="101.5">
      <c r="A254" s="170" t="s">
        <v>1508</v>
      </c>
      <c r="B254" s="161"/>
      <c r="C254" s="3"/>
      <c r="D254" s="8" t="s">
        <v>1048</v>
      </c>
      <c r="E254" s="8" t="s">
        <v>1048</v>
      </c>
      <c r="F254" s="3"/>
      <c r="G254" s="211" t="s">
        <v>176</v>
      </c>
      <c r="H254" s="13" t="str">
        <f>IFERROR(VLOOKUP(G254, Sheet2!$A:$B, 2, FALSE), A254)</f>
        <v>HOSPITAL AUTHORITY</v>
      </c>
      <c r="I254" s="163" t="s">
        <v>352</v>
      </c>
      <c r="J254" s="164">
        <v>524889937358</v>
      </c>
      <c r="K254" s="207" t="s">
        <v>1826</v>
      </c>
      <c r="L254" s="222" t="s">
        <v>1827</v>
      </c>
      <c r="M254" s="160" t="s">
        <v>1572</v>
      </c>
      <c r="N254" s="3"/>
      <c r="O254" s="7"/>
      <c r="P254" s="3"/>
      <c r="Q254" s="4">
        <v>44835</v>
      </c>
      <c r="R254" s="8"/>
      <c r="S254" s="4">
        <v>44876</v>
      </c>
      <c r="T254" s="173" t="s">
        <v>1828</v>
      </c>
      <c r="U254" s="225" t="s">
        <v>1829</v>
      </c>
      <c r="V254" s="210" t="s">
        <v>1830</v>
      </c>
      <c r="W254" s="170"/>
      <c r="X254" s="223"/>
      <c r="Y254" s="212" t="s">
        <v>1669</v>
      </c>
      <c r="Z254" s="172"/>
      <c r="AA254" s="206"/>
      <c r="AB254" s="160"/>
      <c r="AC254" s="160"/>
      <c r="AD254" s="160"/>
    </row>
    <row r="255" spans="1:30" ht="101.5">
      <c r="A255" s="170" t="s">
        <v>1508</v>
      </c>
      <c r="B255" s="161"/>
      <c r="C255" s="3"/>
      <c r="D255" s="8" t="s">
        <v>1048</v>
      </c>
      <c r="E255" s="8" t="s">
        <v>1048</v>
      </c>
      <c r="F255" s="3"/>
      <c r="G255" s="211" t="s">
        <v>176</v>
      </c>
      <c r="H255" s="13" t="str">
        <f>IFERROR(VLOOKUP(G255, Sheet2!$A:$B, 2, FALSE), A255)</f>
        <v>HOSPITAL AUTHORITY</v>
      </c>
      <c r="I255" s="163" t="s">
        <v>352</v>
      </c>
      <c r="J255" s="164">
        <v>524889937358</v>
      </c>
      <c r="K255" s="207" t="s">
        <v>1831</v>
      </c>
      <c r="L255" s="222" t="s">
        <v>1832</v>
      </c>
      <c r="M255" s="160" t="s">
        <v>1572</v>
      </c>
      <c r="N255" s="3"/>
      <c r="O255" s="7"/>
      <c r="P255" s="3"/>
      <c r="Q255" s="4">
        <v>44835</v>
      </c>
      <c r="R255" s="8"/>
      <c r="S255" s="4">
        <v>44876</v>
      </c>
      <c r="T255" s="173" t="s">
        <v>1833</v>
      </c>
      <c r="U255" s="225" t="s">
        <v>1834</v>
      </c>
      <c r="V255" s="210" t="s">
        <v>1835</v>
      </c>
      <c r="W255" s="170"/>
      <c r="X255" s="223"/>
      <c r="Y255" s="212" t="s">
        <v>1669</v>
      </c>
      <c r="Z255" s="172"/>
      <c r="AA255" s="206"/>
      <c r="AB255" s="160"/>
      <c r="AC255" s="160"/>
      <c r="AD255" s="160"/>
    </row>
    <row r="256" spans="1:30" ht="101.5">
      <c r="A256" s="170" t="s">
        <v>1508</v>
      </c>
      <c r="B256" s="161"/>
      <c r="C256" s="3"/>
      <c r="D256" s="8" t="s">
        <v>1048</v>
      </c>
      <c r="E256" s="8" t="s">
        <v>1048</v>
      </c>
      <c r="F256" s="3"/>
      <c r="G256" s="211" t="s">
        <v>176</v>
      </c>
      <c r="H256" s="13" t="str">
        <f>IFERROR(VLOOKUP(G256, Sheet2!$A:$B, 2, FALSE), A256)</f>
        <v>HOSPITAL AUTHORITY</v>
      </c>
      <c r="I256" s="163" t="s">
        <v>352</v>
      </c>
      <c r="J256" s="164">
        <v>524889937358</v>
      </c>
      <c r="K256" s="207" t="s">
        <v>1836</v>
      </c>
      <c r="L256" s="222" t="s">
        <v>1837</v>
      </c>
      <c r="M256" s="160" t="s">
        <v>1572</v>
      </c>
      <c r="N256" s="3"/>
      <c r="O256" s="7"/>
      <c r="P256" s="3"/>
      <c r="Q256" s="4">
        <v>44835</v>
      </c>
      <c r="R256" s="8"/>
      <c r="S256" s="4">
        <v>44876</v>
      </c>
      <c r="T256" s="173" t="s">
        <v>1838</v>
      </c>
      <c r="U256" s="225" t="s">
        <v>1839</v>
      </c>
      <c r="V256" s="210" t="s">
        <v>1840</v>
      </c>
      <c r="W256" s="170"/>
      <c r="X256" s="223"/>
      <c r="Y256" s="212" t="s">
        <v>1669</v>
      </c>
      <c r="Z256" s="172"/>
      <c r="AA256" s="206"/>
      <c r="AB256" s="160"/>
      <c r="AC256" s="160"/>
      <c r="AD256" s="160"/>
    </row>
    <row r="257" spans="1:30" ht="101.5">
      <c r="A257" s="170" t="s">
        <v>1508</v>
      </c>
      <c r="B257" s="161"/>
      <c r="C257" s="3"/>
      <c r="D257" s="8" t="s">
        <v>1048</v>
      </c>
      <c r="E257" s="8" t="s">
        <v>1048</v>
      </c>
      <c r="F257" s="3"/>
      <c r="G257" s="211" t="s">
        <v>176</v>
      </c>
      <c r="H257" s="13" t="str">
        <f>IFERROR(VLOOKUP(G257, Sheet2!$A:$B, 2, FALSE), A257)</f>
        <v>HOSPITAL AUTHORITY</v>
      </c>
      <c r="I257" s="163" t="s">
        <v>352</v>
      </c>
      <c r="J257" s="164">
        <v>524889937358</v>
      </c>
      <c r="K257" s="207" t="s">
        <v>1841</v>
      </c>
      <c r="L257" s="222" t="s">
        <v>1842</v>
      </c>
      <c r="M257" s="160" t="s">
        <v>1572</v>
      </c>
      <c r="N257" s="3"/>
      <c r="O257" s="7"/>
      <c r="P257" s="3"/>
      <c r="Q257" s="4">
        <v>44835</v>
      </c>
      <c r="R257" s="8"/>
      <c r="S257" s="4">
        <v>44876</v>
      </c>
      <c r="T257" s="173" t="s">
        <v>1843</v>
      </c>
      <c r="U257" s="225" t="s">
        <v>1844</v>
      </c>
      <c r="V257" s="210" t="s">
        <v>1845</v>
      </c>
      <c r="W257" s="170"/>
      <c r="X257" s="223"/>
      <c r="Y257" s="212" t="s">
        <v>1669</v>
      </c>
      <c r="Z257" s="172"/>
      <c r="AA257" s="206"/>
      <c r="AB257" s="160"/>
      <c r="AC257" s="160"/>
      <c r="AD257" s="160"/>
    </row>
    <row r="258" spans="1:30" ht="101.5">
      <c r="A258" s="170" t="s">
        <v>1508</v>
      </c>
      <c r="B258" s="161"/>
      <c r="C258" s="3"/>
      <c r="D258" s="8" t="s">
        <v>1048</v>
      </c>
      <c r="E258" s="8" t="s">
        <v>1048</v>
      </c>
      <c r="F258" s="3"/>
      <c r="G258" s="211" t="s">
        <v>176</v>
      </c>
      <c r="H258" s="13" t="str">
        <f>IFERROR(VLOOKUP(G258, Sheet2!$A:$B, 2, FALSE), A258)</f>
        <v>HOSPITAL AUTHORITY</v>
      </c>
      <c r="I258" s="163" t="s">
        <v>352</v>
      </c>
      <c r="J258" s="164">
        <v>524889937358</v>
      </c>
      <c r="K258" s="207" t="s">
        <v>1846</v>
      </c>
      <c r="L258" s="222" t="s">
        <v>1847</v>
      </c>
      <c r="M258" s="160" t="s">
        <v>1572</v>
      </c>
      <c r="N258" s="3"/>
      <c r="O258" s="7"/>
      <c r="P258" s="3"/>
      <c r="Q258" s="4">
        <v>44835</v>
      </c>
      <c r="R258" s="8"/>
      <c r="S258" s="4">
        <v>44876</v>
      </c>
      <c r="T258" s="173" t="s">
        <v>1848</v>
      </c>
      <c r="U258" s="225" t="s">
        <v>1849</v>
      </c>
      <c r="V258" s="210" t="s">
        <v>1850</v>
      </c>
      <c r="W258" s="170"/>
      <c r="X258" s="223"/>
      <c r="Y258" s="212" t="s">
        <v>1669</v>
      </c>
      <c r="Z258" s="172"/>
      <c r="AA258" s="206"/>
      <c r="AB258" s="160"/>
      <c r="AC258" s="160"/>
      <c r="AD258" s="160"/>
    </row>
    <row r="259" spans="1:30" ht="101.5">
      <c r="A259" s="170" t="s">
        <v>1508</v>
      </c>
      <c r="B259" s="161"/>
      <c r="C259" s="3"/>
      <c r="D259" s="8" t="s">
        <v>1048</v>
      </c>
      <c r="E259" s="8" t="s">
        <v>1048</v>
      </c>
      <c r="F259" s="3"/>
      <c r="G259" s="211" t="s">
        <v>176</v>
      </c>
      <c r="H259" s="13" t="str">
        <f>IFERROR(VLOOKUP(G259, Sheet2!$A:$B, 2, FALSE), A259)</f>
        <v>HOSPITAL AUTHORITY</v>
      </c>
      <c r="I259" s="163" t="s">
        <v>352</v>
      </c>
      <c r="J259" s="164">
        <v>524889937358</v>
      </c>
      <c r="K259" s="207" t="s">
        <v>1851</v>
      </c>
      <c r="L259" s="222" t="s">
        <v>1852</v>
      </c>
      <c r="M259" s="160" t="s">
        <v>1572</v>
      </c>
      <c r="N259" s="3"/>
      <c r="O259" s="7"/>
      <c r="P259" s="3"/>
      <c r="Q259" s="4">
        <v>44835</v>
      </c>
      <c r="R259" s="8"/>
      <c r="S259" s="4">
        <v>44876</v>
      </c>
      <c r="T259" s="173" t="s">
        <v>1853</v>
      </c>
      <c r="U259" s="225" t="s">
        <v>1854</v>
      </c>
      <c r="V259" s="210" t="s">
        <v>1855</v>
      </c>
      <c r="W259" s="170"/>
      <c r="X259" s="223"/>
      <c r="Y259" s="212" t="s">
        <v>1669</v>
      </c>
      <c r="Z259" s="172"/>
      <c r="AA259" s="206"/>
      <c r="AB259" s="160"/>
      <c r="AC259" s="160"/>
      <c r="AD259" s="160"/>
    </row>
    <row r="260" spans="1:30" ht="101.5">
      <c r="A260" s="206" t="s">
        <v>1508</v>
      </c>
      <c r="B260" s="161"/>
      <c r="C260" s="3"/>
      <c r="D260" s="8" t="s">
        <v>1048</v>
      </c>
      <c r="E260" s="8" t="s">
        <v>1048</v>
      </c>
      <c r="F260" s="3"/>
      <c r="G260" s="160" t="s">
        <v>176</v>
      </c>
      <c r="H260" s="13" t="str">
        <f>IFERROR(VLOOKUP(G260, Sheet2!$A:$B, 2, FALSE), A260)</f>
        <v>HOSPITAL AUTHORITY</v>
      </c>
      <c r="I260" s="163" t="s">
        <v>352</v>
      </c>
      <c r="J260" s="164">
        <v>524889937358</v>
      </c>
      <c r="K260" s="207" t="s">
        <v>1856</v>
      </c>
      <c r="L260" s="213" t="s">
        <v>1857</v>
      </c>
      <c r="M260" s="160" t="s">
        <v>1572</v>
      </c>
      <c r="N260" s="3"/>
      <c r="O260" s="7"/>
      <c r="P260" s="3"/>
      <c r="Q260" s="8">
        <v>44835</v>
      </c>
      <c r="R260" s="8"/>
      <c r="S260" s="8">
        <v>44876</v>
      </c>
      <c r="T260" s="173" t="s">
        <v>1858</v>
      </c>
      <c r="U260" s="173" t="s">
        <v>1859</v>
      </c>
      <c r="V260" s="210" t="s">
        <v>1860</v>
      </c>
      <c r="W260" s="206"/>
      <c r="X260" s="173"/>
      <c r="Y260" s="209" t="s">
        <v>1669</v>
      </c>
      <c r="Z260" s="172"/>
      <c r="AA260" s="206"/>
      <c r="AB260" s="160"/>
      <c r="AC260" s="160"/>
      <c r="AD260" s="160"/>
    </row>
    <row r="261" spans="1:30" ht="101.5">
      <c r="A261" s="170" t="s">
        <v>1508</v>
      </c>
      <c r="B261" s="161"/>
      <c r="C261" s="3"/>
      <c r="D261" s="8" t="s">
        <v>1048</v>
      </c>
      <c r="E261" s="8" t="s">
        <v>1048</v>
      </c>
      <c r="F261" s="3"/>
      <c r="G261" s="211" t="s">
        <v>176</v>
      </c>
      <c r="H261" s="13" t="str">
        <f>IFERROR(VLOOKUP(G261, Sheet2!$A:$B, 2, FALSE), A261)</f>
        <v>HOSPITAL AUTHORITY</v>
      </c>
      <c r="I261" s="163" t="s">
        <v>352</v>
      </c>
      <c r="J261" s="164">
        <v>524889937358</v>
      </c>
      <c r="K261" s="207" t="s">
        <v>1861</v>
      </c>
      <c r="L261" s="208" t="s">
        <v>1862</v>
      </c>
      <c r="M261" s="160" t="s">
        <v>1572</v>
      </c>
      <c r="N261" s="3"/>
      <c r="O261" s="7"/>
      <c r="P261" s="3"/>
      <c r="Q261" s="4">
        <v>44835</v>
      </c>
      <c r="R261" s="8"/>
      <c r="S261" s="4">
        <v>44876</v>
      </c>
      <c r="T261" s="173" t="s">
        <v>1863</v>
      </c>
      <c r="U261" s="173" t="s">
        <v>1864</v>
      </c>
      <c r="V261" s="210" t="s">
        <v>1865</v>
      </c>
      <c r="W261" s="170"/>
      <c r="X261" s="173"/>
      <c r="Y261" s="212" t="s">
        <v>1669</v>
      </c>
      <c r="Z261" s="172"/>
      <c r="AA261" s="206"/>
      <c r="AB261" s="160"/>
      <c r="AC261" s="160"/>
      <c r="AD261" s="160"/>
    </row>
    <row r="262" spans="1:30" ht="101.5">
      <c r="A262" s="170" t="s">
        <v>1508</v>
      </c>
      <c r="B262" s="161"/>
      <c r="C262" s="3"/>
      <c r="D262" s="8" t="s">
        <v>1048</v>
      </c>
      <c r="E262" s="8" t="s">
        <v>1048</v>
      </c>
      <c r="F262" s="3"/>
      <c r="G262" s="211" t="s">
        <v>176</v>
      </c>
      <c r="H262" s="13" t="str">
        <f>IFERROR(VLOOKUP(G262, Sheet2!$A:$B, 2, FALSE), A262)</f>
        <v>HOSPITAL AUTHORITY</v>
      </c>
      <c r="I262" s="163" t="s">
        <v>352</v>
      </c>
      <c r="J262" s="164">
        <v>524889937358</v>
      </c>
      <c r="K262" s="207" t="s">
        <v>1866</v>
      </c>
      <c r="L262" s="208" t="s">
        <v>1867</v>
      </c>
      <c r="M262" s="160" t="s">
        <v>1572</v>
      </c>
      <c r="N262" s="3"/>
      <c r="O262" s="7"/>
      <c r="P262" s="3"/>
      <c r="Q262" s="4">
        <v>44835</v>
      </c>
      <c r="R262" s="8"/>
      <c r="S262" s="4">
        <v>44876</v>
      </c>
      <c r="T262" s="173" t="s">
        <v>1868</v>
      </c>
      <c r="U262" s="173" t="s">
        <v>1869</v>
      </c>
      <c r="V262" s="210" t="s">
        <v>1870</v>
      </c>
      <c r="W262" s="170"/>
      <c r="X262" s="173"/>
      <c r="Y262" s="212" t="s">
        <v>1669</v>
      </c>
      <c r="Z262" s="172"/>
      <c r="AA262" s="206"/>
      <c r="AB262" s="160"/>
      <c r="AC262" s="160"/>
      <c r="AD262" s="160"/>
    </row>
    <row r="263" spans="1:30" ht="101.5">
      <c r="A263" s="170" t="s">
        <v>1508</v>
      </c>
      <c r="B263" s="161"/>
      <c r="C263" s="3"/>
      <c r="D263" s="8" t="s">
        <v>1048</v>
      </c>
      <c r="E263" s="8" t="s">
        <v>1048</v>
      </c>
      <c r="F263" s="3"/>
      <c r="G263" s="211" t="s">
        <v>176</v>
      </c>
      <c r="H263" s="13" t="str">
        <f>IFERROR(VLOOKUP(G263, Sheet2!$A:$B, 2, FALSE), A263)</f>
        <v>HOSPITAL AUTHORITY</v>
      </c>
      <c r="I263" s="163" t="s">
        <v>352</v>
      </c>
      <c r="J263" s="164">
        <v>524889937358</v>
      </c>
      <c r="K263" s="207" t="s">
        <v>1871</v>
      </c>
      <c r="L263" s="208" t="s">
        <v>1872</v>
      </c>
      <c r="M263" s="160" t="s">
        <v>1572</v>
      </c>
      <c r="N263" s="3"/>
      <c r="O263" s="7"/>
      <c r="P263" s="3"/>
      <c r="Q263" s="4">
        <v>44835</v>
      </c>
      <c r="R263" s="8"/>
      <c r="S263" s="4">
        <v>44876</v>
      </c>
      <c r="T263" s="173" t="s">
        <v>1873</v>
      </c>
      <c r="U263" s="173" t="s">
        <v>1874</v>
      </c>
      <c r="V263" s="210" t="s">
        <v>1875</v>
      </c>
      <c r="W263" s="170"/>
      <c r="X263" s="173"/>
      <c r="Y263" s="212" t="s">
        <v>1669</v>
      </c>
      <c r="Z263" s="172"/>
      <c r="AA263" s="206"/>
      <c r="AB263" s="160"/>
      <c r="AC263" s="160"/>
      <c r="AD263" s="160"/>
    </row>
    <row r="264" spans="1:30" ht="101.5">
      <c r="A264" s="170" t="s">
        <v>1508</v>
      </c>
      <c r="B264" s="161"/>
      <c r="C264" s="3"/>
      <c r="D264" s="8" t="s">
        <v>1048</v>
      </c>
      <c r="E264" s="8" t="s">
        <v>1048</v>
      </c>
      <c r="F264" s="3"/>
      <c r="G264" s="211" t="s">
        <v>176</v>
      </c>
      <c r="H264" s="13" t="str">
        <f>IFERROR(VLOOKUP(G264, Sheet2!$A:$B, 2, FALSE), A264)</f>
        <v>HOSPITAL AUTHORITY</v>
      </c>
      <c r="I264" s="163" t="s">
        <v>352</v>
      </c>
      <c r="J264" s="164">
        <v>524889937358</v>
      </c>
      <c r="K264" s="207" t="s">
        <v>1876</v>
      </c>
      <c r="L264" s="208" t="s">
        <v>1877</v>
      </c>
      <c r="M264" s="160" t="s">
        <v>1572</v>
      </c>
      <c r="N264" s="3"/>
      <c r="O264" s="7"/>
      <c r="P264" s="3"/>
      <c r="Q264" s="4">
        <v>44835</v>
      </c>
      <c r="R264" s="8"/>
      <c r="S264" s="4">
        <v>44876</v>
      </c>
      <c r="T264" s="173" t="s">
        <v>1878</v>
      </c>
      <c r="U264" s="173" t="s">
        <v>1879</v>
      </c>
      <c r="V264" s="210" t="s">
        <v>1880</v>
      </c>
      <c r="W264" s="170"/>
      <c r="X264" s="173"/>
      <c r="Y264" s="212" t="s">
        <v>1669</v>
      </c>
      <c r="Z264" s="172"/>
      <c r="AA264" s="206"/>
      <c r="AB264" s="160"/>
      <c r="AC264" s="160"/>
      <c r="AD264" s="160"/>
    </row>
    <row r="265" spans="1:30" ht="101.5">
      <c r="A265" s="170" t="s">
        <v>1508</v>
      </c>
      <c r="B265" s="161"/>
      <c r="C265" s="3"/>
      <c r="D265" s="8" t="s">
        <v>1048</v>
      </c>
      <c r="E265" s="8" t="s">
        <v>1048</v>
      </c>
      <c r="F265" s="3"/>
      <c r="G265" s="211" t="s">
        <v>176</v>
      </c>
      <c r="H265" s="13" t="str">
        <f>IFERROR(VLOOKUP(G265, Sheet2!$A:$B, 2, FALSE), A265)</f>
        <v>HOSPITAL AUTHORITY</v>
      </c>
      <c r="I265" s="163" t="s">
        <v>352</v>
      </c>
      <c r="J265" s="164">
        <v>524889937358</v>
      </c>
      <c r="K265" s="207" t="s">
        <v>1881</v>
      </c>
      <c r="L265" s="208" t="s">
        <v>1882</v>
      </c>
      <c r="M265" s="160" t="s">
        <v>1572</v>
      </c>
      <c r="N265" s="3"/>
      <c r="O265" s="7"/>
      <c r="P265" s="3"/>
      <c r="Q265" s="4">
        <v>44835</v>
      </c>
      <c r="R265" s="8"/>
      <c r="S265" s="4">
        <v>44876</v>
      </c>
      <c r="T265" s="173" t="s">
        <v>1883</v>
      </c>
      <c r="U265" s="173" t="s">
        <v>1884</v>
      </c>
      <c r="V265" s="210" t="s">
        <v>1885</v>
      </c>
      <c r="W265" s="170"/>
      <c r="X265" s="173"/>
      <c r="Y265" s="212" t="s">
        <v>1669</v>
      </c>
      <c r="Z265" s="172"/>
      <c r="AA265" s="206"/>
      <c r="AB265" s="160"/>
      <c r="AC265" s="160"/>
      <c r="AD265" s="160"/>
    </row>
    <row r="266" spans="1:30" ht="101.5">
      <c r="A266" s="206" t="s">
        <v>1508</v>
      </c>
      <c r="B266" s="161"/>
      <c r="C266" s="3"/>
      <c r="D266" s="8" t="s">
        <v>1048</v>
      </c>
      <c r="E266" s="8" t="s">
        <v>1048</v>
      </c>
      <c r="F266" s="3"/>
      <c r="G266" s="160" t="s">
        <v>176</v>
      </c>
      <c r="H266" s="13" t="str">
        <f>IFERROR(VLOOKUP(G266, Sheet2!$A:$B, 2, FALSE), A266)</f>
        <v>HOSPITAL AUTHORITY</v>
      </c>
      <c r="I266" s="163" t="s">
        <v>352</v>
      </c>
      <c r="J266" s="164">
        <v>524889937358</v>
      </c>
      <c r="K266" s="207" t="s">
        <v>1886</v>
      </c>
      <c r="L266" s="213" t="s">
        <v>1887</v>
      </c>
      <c r="M266" s="160" t="s">
        <v>1572</v>
      </c>
      <c r="N266" s="3"/>
      <c r="O266" s="11"/>
      <c r="P266" s="3"/>
      <c r="Q266" s="8">
        <v>44835</v>
      </c>
      <c r="R266" s="8"/>
      <c r="S266" s="8">
        <v>44876</v>
      </c>
      <c r="T266" s="173" t="s">
        <v>1888</v>
      </c>
      <c r="U266" s="173" t="s">
        <v>1889</v>
      </c>
      <c r="V266" s="210" t="s">
        <v>1890</v>
      </c>
      <c r="W266" s="206"/>
      <c r="X266" s="173"/>
      <c r="Y266" s="212" t="s">
        <v>1669</v>
      </c>
      <c r="Z266" s="172"/>
      <c r="AA266" s="160"/>
      <c r="AB266" s="160"/>
      <c r="AC266" s="160"/>
      <c r="AD266" s="160"/>
    </row>
    <row r="267" spans="1:30" ht="101.5">
      <c r="A267" s="170" t="s">
        <v>1508</v>
      </c>
      <c r="B267" s="161"/>
      <c r="C267" s="3"/>
      <c r="D267" s="8" t="s">
        <v>1048</v>
      </c>
      <c r="E267" s="8" t="s">
        <v>1048</v>
      </c>
      <c r="F267" s="3"/>
      <c r="G267" s="211" t="s">
        <v>176</v>
      </c>
      <c r="H267" s="13" t="str">
        <f>IFERROR(VLOOKUP(G267, Sheet2!$A:$B, 2, FALSE), A267)</f>
        <v>HOSPITAL AUTHORITY</v>
      </c>
      <c r="I267" s="163" t="s">
        <v>352</v>
      </c>
      <c r="J267" s="164">
        <v>524889937358</v>
      </c>
      <c r="K267" s="207" t="s">
        <v>1891</v>
      </c>
      <c r="L267" s="213" t="s">
        <v>1892</v>
      </c>
      <c r="M267" s="160" t="s">
        <v>1572</v>
      </c>
      <c r="N267" s="3"/>
      <c r="O267" s="7"/>
      <c r="P267" s="3"/>
      <c r="Q267" s="4">
        <v>44835</v>
      </c>
      <c r="R267" s="8"/>
      <c r="S267" s="4">
        <v>44876</v>
      </c>
      <c r="T267" s="173" t="s">
        <v>1893</v>
      </c>
      <c r="U267" s="173" t="s">
        <v>1894</v>
      </c>
      <c r="V267" s="210" t="s">
        <v>1895</v>
      </c>
      <c r="W267" s="170"/>
      <c r="X267" s="173"/>
      <c r="Y267" s="212" t="s">
        <v>1669</v>
      </c>
      <c r="Z267" s="172"/>
      <c r="AA267" s="206"/>
      <c r="AB267" s="160"/>
      <c r="AC267" s="160"/>
      <c r="AD267" s="160"/>
    </row>
    <row r="268" spans="1:30" ht="101.5">
      <c r="A268" s="170" t="s">
        <v>1508</v>
      </c>
      <c r="B268" s="161"/>
      <c r="C268" s="3"/>
      <c r="D268" s="8" t="s">
        <v>1048</v>
      </c>
      <c r="E268" s="8" t="s">
        <v>1048</v>
      </c>
      <c r="F268" s="3"/>
      <c r="G268" s="211" t="s">
        <v>176</v>
      </c>
      <c r="H268" s="13" t="str">
        <f>IFERROR(VLOOKUP(G268, Sheet2!$A:$B, 2, FALSE), A268)</f>
        <v>HOSPITAL AUTHORITY</v>
      </c>
      <c r="I268" s="163" t="s">
        <v>352</v>
      </c>
      <c r="J268" s="164">
        <v>524889937358</v>
      </c>
      <c r="K268" s="207" t="s">
        <v>1896</v>
      </c>
      <c r="L268" s="213" t="s">
        <v>1897</v>
      </c>
      <c r="M268" s="160" t="s">
        <v>1572</v>
      </c>
      <c r="N268" s="3"/>
      <c r="O268" s="7"/>
      <c r="P268" s="3"/>
      <c r="Q268" s="4">
        <v>44835</v>
      </c>
      <c r="R268" s="8"/>
      <c r="S268" s="4">
        <v>44876</v>
      </c>
      <c r="T268" s="173" t="s">
        <v>1898</v>
      </c>
      <c r="U268" s="173" t="s">
        <v>1899</v>
      </c>
      <c r="V268" s="210" t="s">
        <v>1900</v>
      </c>
      <c r="W268" s="170"/>
      <c r="X268" s="173"/>
      <c r="Y268" s="212" t="s">
        <v>1669</v>
      </c>
      <c r="Z268" s="172"/>
      <c r="AA268" s="206"/>
      <c r="AB268" s="160"/>
      <c r="AC268" s="160"/>
      <c r="AD268" s="160"/>
    </row>
    <row r="269" spans="1:30" ht="101.5">
      <c r="A269" s="170" t="s">
        <v>1508</v>
      </c>
      <c r="B269" s="161"/>
      <c r="C269" s="3"/>
      <c r="D269" s="8" t="s">
        <v>1048</v>
      </c>
      <c r="E269" s="8" t="s">
        <v>1048</v>
      </c>
      <c r="F269" s="3"/>
      <c r="G269" s="211" t="s">
        <v>176</v>
      </c>
      <c r="H269" s="13" t="str">
        <f>IFERROR(VLOOKUP(G269, Sheet2!$A:$B, 2, FALSE), A269)</f>
        <v>HOSPITAL AUTHORITY</v>
      </c>
      <c r="I269" s="163" t="s">
        <v>352</v>
      </c>
      <c r="J269" s="164">
        <v>524889937358</v>
      </c>
      <c r="K269" s="207" t="s">
        <v>1901</v>
      </c>
      <c r="L269" s="213" t="s">
        <v>1902</v>
      </c>
      <c r="M269" s="160" t="s">
        <v>1572</v>
      </c>
      <c r="N269" s="3"/>
      <c r="O269" s="7"/>
      <c r="P269" s="3"/>
      <c r="Q269" s="4">
        <v>44835</v>
      </c>
      <c r="R269" s="8"/>
      <c r="S269" s="4">
        <v>44876</v>
      </c>
      <c r="T269" s="173" t="s">
        <v>1903</v>
      </c>
      <c r="U269" s="173" t="s">
        <v>1904</v>
      </c>
      <c r="V269" s="210" t="s">
        <v>1905</v>
      </c>
      <c r="W269" s="170"/>
      <c r="X269" s="173"/>
      <c r="Y269" s="212" t="s">
        <v>1669</v>
      </c>
      <c r="Z269" s="172"/>
      <c r="AA269" s="206"/>
      <c r="AB269" s="160"/>
      <c r="AC269" s="160"/>
      <c r="AD269" s="160"/>
    </row>
    <row r="270" spans="1:30" ht="101.5">
      <c r="A270" s="170" t="s">
        <v>1508</v>
      </c>
      <c r="B270" s="161"/>
      <c r="C270" s="3"/>
      <c r="D270" s="8" t="s">
        <v>1048</v>
      </c>
      <c r="E270" s="8" t="s">
        <v>1048</v>
      </c>
      <c r="F270" s="3"/>
      <c r="G270" s="211" t="s">
        <v>176</v>
      </c>
      <c r="H270" s="13" t="str">
        <f>IFERROR(VLOOKUP(G270, Sheet2!$A:$B, 2, FALSE), A270)</f>
        <v>HOSPITAL AUTHORITY</v>
      </c>
      <c r="I270" s="163" t="s">
        <v>352</v>
      </c>
      <c r="J270" s="164">
        <v>524889937358</v>
      </c>
      <c r="K270" s="207" t="s">
        <v>1906</v>
      </c>
      <c r="L270" s="213" t="s">
        <v>1907</v>
      </c>
      <c r="M270" s="160" t="s">
        <v>1572</v>
      </c>
      <c r="N270" s="3"/>
      <c r="O270" s="7"/>
      <c r="P270" s="3"/>
      <c r="Q270" s="4">
        <v>44835</v>
      </c>
      <c r="R270" s="8"/>
      <c r="S270" s="4">
        <v>44876</v>
      </c>
      <c r="T270" s="173" t="s">
        <v>1908</v>
      </c>
      <c r="U270" s="173" t="s">
        <v>1909</v>
      </c>
      <c r="V270" s="210" t="s">
        <v>1910</v>
      </c>
      <c r="W270" s="170"/>
      <c r="X270" s="173"/>
      <c r="Y270" s="212" t="s">
        <v>1669</v>
      </c>
      <c r="Z270" s="172"/>
      <c r="AA270" s="206"/>
      <c r="AB270" s="160"/>
      <c r="AC270" s="160"/>
      <c r="AD270" s="160"/>
    </row>
    <row r="271" spans="1:30" ht="101.5">
      <c r="A271" s="170" t="s">
        <v>1508</v>
      </c>
      <c r="B271" s="161"/>
      <c r="C271" s="3"/>
      <c r="D271" s="8" t="s">
        <v>1048</v>
      </c>
      <c r="E271" s="8" t="s">
        <v>1048</v>
      </c>
      <c r="F271" s="3"/>
      <c r="G271" s="211" t="s">
        <v>176</v>
      </c>
      <c r="H271" s="13" t="str">
        <f>IFERROR(VLOOKUP(G271, Sheet2!$A:$B, 2, FALSE), A271)</f>
        <v>HOSPITAL AUTHORITY</v>
      </c>
      <c r="I271" s="163" t="s">
        <v>352</v>
      </c>
      <c r="J271" s="164">
        <v>524889937358</v>
      </c>
      <c r="K271" s="207" t="s">
        <v>1911</v>
      </c>
      <c r="L271" s="213" t="s">
        <v>1912</v>
      </c>
      <c r="M271" s="160" t="s">
        <v>1572</v>
      </c>
      <c r="N271" s="3"/>
      <c r="O271" s="7"/>
      <c r="P271" s="3"/>
      <c r="Q271" s="4">
        <v>44835</v>
      </c>
      <c r="R271" s="8"/>
      <c r="S271" s="4">
        <v>44876</v>
      </c>
      <c r="T271" s="173" t="s">
        <v>1913</v>
      </c>
      <c r="U271" s="173" t="s">
        <v>1914</v>
      </c>
      <c r="V271" s="210" t="s">
        <v>1915</v>
      </c>
      <c r="W271" s="170"/>
      <c r="X271" s="173"/>
      <c r="Y271" s="212" t="s">
        <v>1669</v>
      </c>
      <c r="Z271" s="172"/>
      <c r="AA271" s="206"/>
      <c r="AB271" s="160"/>
      <c r="AC271" s="160"/>
      <c r="AD271" s="160"/>
    </row>
    <row r="272" spans="1:30" ht="101.5">
      <c r="A272" s="206" t="s">
        <v>1508</v>
      </c>
      <c r="B272" s="161"/>
      <c r="C272" s="3"/>
      <c r="D272" s="8" t="s">
        <v>1048</v>
      </c>
      <c r="E272" s="8" t="s">
        <v>1048</v>
      </c>
      <c r="F272" s="3"/>
      <c r="G272" s="160" t="s">
        <v>176</v>
      </c>
      <c r="H272" s="13" t="str">
        <f>IFERROR(VLOOKUP(G272, Sheet2!$A:$B, 2, FALSE), A272)</f>
        <v>HOSPITAL AUTHORITY</v>
      </c>
      <c r="I272" s="163" t="s">
        <v>352</v>
      </c>
      <c r="J272" s="164">
        <v>524889937358</v>
      </c>
      <c r="K272" s="207" t="s">
        <v>1916</v>
      </c>
      <c r="L272" s="208" t="s">
        <v>1917</v>
      </c>
      <c r="M272" s="160" t="s">
        <v>1572</v>
      </c>
      <c r="N272" s="3"/>
      <c r="O272" s="7"/>
      <c r="P272" s="3"/>
      <c r="Q272" s="8">
        <v>44835</v>
      </c>
      <c r="R272" s="8"/>
      <c r="S272" s="8">
        <v>44876</v>
      </c>
      <c r="T272" s="227" t="s">
        <v>1918</v>
      </c>
      <c r="U272" s="206" t="s">
        <v>1919</v>
      </c>
      <c r="V272" s="207" t="s">
        <v>1920</v>
      </c>
      <c r="W272" s="206"/>
      <c r="X272" s="206"/>
      <c r="Y272" s="209" t="s">
        <v>1669</v>
      </c>
      <c r="Z272" s="172"/>
      <c r="AA272" s="206"/>
      <c r="AB272" s="160"/>
      <c r="AC272" s="160"/>
      <c r="AD272" s="160"/>
    </row>
    <row r="273" spans="1:30" ht="72.5">
      <c r="A273" s="228" t="s">
        <v>1508</v>
      </c>
      <c r="B273" s="229"/>
      <c r="C273" s="228"/>
      <c r="D273" s="230" t="s">
        <v>1048</v>
      </c>
      <c r="E273" s="230" t="s">
        <v>1048</v>
      </c>
      <c r="F273" s="228"/>
      <c r="G273" s="228" t="s">
        <v>176</v>
      </c>
      <c r="H273" s="13" t="str">
        <f>IFERROR(VLOOKUP(G273, Sheet2!$A:$B, 2, FALSE), A273)</f>
        <v>HOSPITAL AUTHORITY</v>
      </c>
      <c r="I273" s="231" t="s">
        <v>675</v>
      </c>
      <c r="J273" s="232">
        <v>524889937358</v>
      </c>
      <c r="K273" s="233" t="s">
        <v>1921</v>
      </c>
      <c r="L273" s="234" t="s">
        <v>1922</v>
      </c>
      <c r="M273" s="235" t="s">
        <v>1923</v>
      </c>
      <c r="N273" s="235"/>
      <c r="O273" s="236"/>
      <c r="P273" s="235"/>
      <c r="Q273" s="230">
        <v>44889</v>
      </c>
      <c r="R273" s="230"/>
      <c r="S273" s="230">
        <v>44890</v>
      </c>
      <c r="T273" s="230" t="s">
        <v>1924</v>
      </c>
      <c r="U273" s="230" t="s">
        <v>1925</v>
      </c>
      <c r="V273" s="237" t="s">
        <v>1926</v>
      </c>
      <c r="W273" s="230"/>
      <c r="X273" s="230"/>
      <c r="Y273" s="235" t="s">
        <v>1927</v>
      </c>
      <c r="Z273" s="238" t="s">
        <v>425</v>
      </c>
      <c r="AA273" s="230" t="s">
        <v>930</v>
      </c>
      <c r="AB273" s="228"/>
      <c r="AC273" s="228"/>
      <c r="AD273" s="239"/>
    </row>
    <row r="274" spans="1:30" ht="44">
      <c r="A274" s="3" t="s">
        <v>1508</v>
      </c>
      <c r="B274" s="46"/>
      <c r="C274" s="3"/>
      <c r="D274" s="8" t="s">
        <v>1048</v>
      </c>
      <c r="E274" s="8" t="s">
        <v>1048</v>
      </c>
      <c r="F274" s="3"/>
      <c r="G274" s="3" t="s">
        <v>176</v>
      </c>
      <c r="H274" s="13" t="str">
        <f>IFERROR(VLOOKUP(G274, Sheet2!$A:$B, 2, FALSE), A274)</f>
        <v>HOSPITAL AUTHORITY</v>
      </c>
      <c r="I274" s="6" t="s">
        <v>675</v>
      </c>
      <c r="J274" s="109"/>
      <c r="K274" s="79"/>
      <c r="L274" s="84"/>
      <c r="M274" s="3" t="s">
        <v>1572</v>
      </c>
      <c r="N274" s="3"/>
      <c r="O274" s="7"/>
      <c r="P274" s="3"/>
      <c r="Q274" s="8">
        <v>44835</v>
      </c>
      <c r="R274" s="8"/>
      <c r="S274" s="8">
        <v>44886</v>
      </c>
      <c r="T274" s="8" t="s">
        <v>1928</v>
      </c>
      <c r="U274" s="7" t="s">
        <v>1929</v>
      </c>
      <c r="V274" s="19" t="s">
        <v>1930</v>
      </c>
      <c r="W274" s="8"/>
      <c r="X274" s="7"/>
      <c r="Y274" s="95" t="s">
        <v>1931</v>
      </c>
      <c r="Z274" s="53" t="s">
        <v>425</v>
      </c>
      <c r="AA274" s="8" t="s">
        <v>930</v>
      </c>
      <c r="AB274" s="3"/>
      <c r="AC274" s="3"/>
      <c r="AD274" s="3"/>
    </row>
    <row r="275" spans="1:30" ht="43.5">
      <c r="A275" s="5" t="s">
        <v>1508</v>
      </c>
      <c r="B275" s="46"/>
      <c r="C275" s="3"/>
      <c r="D275" s="4" t="s">
        <v>1048</v>
      </c>
      <c r="E275" s="4" t="s">
        <v>1048</v>
      </c>
      <c r="F275" s="3"/>
      <c r="G275" s="5" t="s">
        <v>176</v>
      </c>
      <c r="H275" s="13" t="str">
        <f>IFERROR(VLOOKUP(G275, Sheet2!$A:$B, 2, FALSE), A275)</f>
        <v>HOSPITAL AUTHORITY</v>
      </c>
      <c r="I275" s="6" t="s">
        <v>675</v>
      </c>
      <c r="J275" s="109"/>
      <c r="K275" s="79"/>
      <c r="L275" s="79" t="s">
        <v>1932</v>
      </c>
      <c r="M275" s="3" t="s">
        <v>1933</v>
      </c>
      <c r="N275" s="3"/>
      <c r="O275" s="7"/>
      <c r="P275" s="3"/>
      <c r="Q275" s="4">
        <v>44835</v>
      </c>
      <c r="R275" s="8"/>
      <c r="S275" s="4">
        <v>44886</v>
      </c>
      <c r="T275" s="7" t="s">
        <v>1934</v>
      </c>
      <c r="U275" s="7" t="s">
        <v>1935</v>
      </c>
      <c r="V275" s="48" t="s">
        <v>1936</v>
      </c>
      <c r="W275" s="4"/>
      <c r="X275" s="7"/>
      <c r="Y275" s="15" t="s">
        <v>1931</v>
      </c>
      <c r="Z275" s="70" t="s">
        <v>425</v>
      </c>
      <c r="AA275" s="4" t="s">
        <v>930</v>
      </c>
      <c r="AB275" s="3"/>
      <c r="AC275" s="3"/>
      <c r="AD275" s="3"/>
    </row>
    <row r="276" spans="1:30" ht="43.5">
      <c r="A276" s="5" t="s">
        <v>1508</v>
      </c>
      <c r="B276" s="46"/>
      <c r="C276" s="3"/>
      <c r="D276" s="4" t="s">
        <v>1048</v>
      </c>
      <c r="E276" s="4" t="s">
        <v>1048</v>
      </c>
      <c r="F276" s="3"/>
      <c r="G276" s="5" t="s">
        <v>176</v>
      </c>
      <c r="H276" s="13" t="str">
        <f>IFERROR(VLOOKUP(G276, Sheet2!$A:$B, 2, FALSE), A276)</f>
        <v>HOSPITAL AUTHORITY</v>
      </c>
      <c r="I276" s="6" t="s">
        <v>675</v>
      </c>
      <c r="J276" s="109"/>
      <c r="K276" s="79"/>
      <c r="L276" s="79" t="s">
        <v>1937</v>
      </c>
      <c r="M276" s="3" t="s">
        <v>1933</v>
      </c>
      <c r="N276" s="3"/>
      <c r="O276" s="7"/>
      <c r="P276" s="3"/>
      <c r="Q276" s="4">
        <v>44835</v>
      </c>
      <c r="R276" s="8"/>
      <c r="S276" s="4">
        <v>44886</v>
      </c>
      <c r="T276" s="7" t="s">
        <v>1938</v>
      </c>
      <c r="U276" s="7" t="s">
        <v>1939</v>
      </c>
      <c r="V276" s="48" t="s">
        <v>1940</v>
      </c>
      <c r="W276" s="4"/>
      <c r="X276" s="7"/>
      <c r="Y276" s="15" t="s">
        <v>1931</v>
      </c>
      <c r="Z276" s="70" t="s">
        <v>425</v>
      </c>
      <c r="AA276" s="4" t="s">
        <v>930</v>
      </c>
      <c r="AB276" s="3"/>
      <c r="AC276" s="3"/>
      <c r="AD276" s="3"/>
    </row>
    <row r="277" spans="1:30" ht="43.5">
      <c r="A277" s="5" t="s">
        <v>1508</v>
      </c>
      <c r="B277" s="46"/>
      <c r="C277" s="3"/>
      <c r="D277" s="4" t="s">
        <v>1048</v>
      </c>
      <c r="E277" s="4" t="s">
        <v>1048</v>
      </c>
      <c r="F277" s="3"/>
      <c r="G277" s="5" t="s">
        <v>176</v>
      </c>
      <c r="H277" s="13" t="str">
        <f>IFERROR(VLOOKUP(G277, Sheet2!$A:$B, 2, FALSE), A277)</f>
        <v>HOSPITAL AUTHORITY</v>
      </c>
      <c r="I277" s="6" t="s">
        <v>675</v>
      </c>
      <c r="J277" s="109"/>
      <c r="K277" s="79"/>
      <c r="L277" s="56" t="s">
        <v>1941</v>
      </c>
      <c r="M277" s="3" t="s">
        <v>1933</v>
      </c>
      <c r="N277" s="3"/>
      <c r="O277" s="7"/>
      <c r="P277" s="3"/>
      <c r="Q277" s="4">
        <v>44835</v>
      </c>
      <c r="R277" s="8"/>
      <c r="S277" s="4">
        <v>44886</v>
      </c>
      <c r="T277" s="7" t="s">
        <v>1942</v>
      </c>
      <c r="U277" s="7" t="s">
        <v>1943</v>
      </c>
      <c r="V277" s="48" t="s">
        <v>1944</v>
      </c>
      <c r="W277" s="4"/>
      <c r="X277" s="7"/>
      <c r="Y277" s="15" t="s">
        <v>1931</v>
      </c>
      <c r="Z277" s="70" t="s">
        <v>425</v>
      </c>
      <c r="AA277" s="4" t="s">
        <v>930</v>
      </c>
      <c r="AB277" s="3"/>
      <c r="AC277" s="3"/>
      <c r="AD277" s="3"/>
    </row>
    <row r="278" spans="1:30" ht="43.5">
      <c r="A278" s="5" t="s">
        <v>1508</v>
      </c>
      <c r="B278" s="46"/>
      <c r="C278" s="3"/>
      <c r="D278" s="4" t="s">
        <v>1048</v>
      </c>
      <c r="E278" s="4" t="s">
        <v>1048</v>
      </c>
      <c r="F278" s="3"/>
      <c r="G278" s="5" t="s">
        <v>176</v>
      </c>
      <c r="H278" s="13" t="str">
        <f>IFERROR(VLOOKUP(G278, Sheet2!$A:$B, 2, FALSE), A278)</f>
        <v>HOSPITAL AUTHORITY</v>
      </c>
      <c r="I278" s="6" t="s">
        <v>675</v>
      </c>
      <c r="J278" s="109"/>
      <c r="K278" s="79"/>
      <c r="L278" s="56" t="s">
        <v>1945</v>
      </c>
      <c r="M278" s="3" t="s">
        <v>1933</v>
      </c>
      <c r="N278" s="3"/>
      <c r="O278" s="7"/>
      <c r="P278" s="3"/>
      <c r="Q278" s="4">
        <v>44835</v>
      </c>
      <c r="R278" s="8"/>
      <c r="S278" s="4">
        <v>44886</v>
      </c>
      <c r="T278" s="7" t="s">
        <v>1946</v>
      </c>
      <c r="U278" s="7" t="s">
        <v>1947</v>
      </c>
      <c r="V278" s="48" t="s">
        <v>1948</v>
      </c>
      <c r="W278" s="4"/>
      <c r="X278" s="7"/>
      <c r="Y278" s="15" t="s">
        <v>1931</v>
      </c>
      <c r="Z278" s="70" t="s">
        <v>425</v>
      </c>
      <c r="AA278" s="4" t="s">
        <v>930</v>
      </c>
      <c r="AB278" s="3"/>
      <c r="AC278" s="3"/>
      <c r="AD278" s="3"/>
    </row>
    <row r="279" spans="1:30" ht="43.5">
      <c r="A279" s="5" t="s">
        <v>1508</v>
      </c>
      <c r="B279" s="46"/>
      <c r="C279" s="3"/>
      <c r="D279" s="4" t="s">
        <v>1048</v>
      </c>
      <c r="E279" s="4" t="s">
        <v>1048</v>
      </c>
      <c r="F279" s="3"/>
      <c r="G279" s="5" t="s">
        <v>176</v>
      </c>
      <c r="H279" s="13" t="str">
        <f>IFERROR(VLOOKUP(G279, Sheet2!$A:$B, 2, FALSE), A279)</f>
        <v>HOSPITAL AUTHORITY</v>
      </c>
      <c r="I279" s="6" t="s">
        <v>675</v>
      </c>
      <c r="J279" s="109"/>
      <c r="K279" s="79"/>
      <c r="L279" s="79" t="s">
        <v>1949</v>
      </c>
      <c r="M279" s="3" t="s">
        <v>1933</v>
      </c>
      <c r="N279" s="3"/>
      <c r="O279" s="7"/>
      <c r="P279" s="3"/>
      <c r="Q279" s="4">
        <v>44835</v>
      </c>
      <c r="R279" s="8"/>
      <c r="S279" s="4">
        <v>44886</v>
      </c>
      <c r="T279" s="7" t="s">
        <v>1950</v>
      </c>
      <c r="U279" s="7" t="s">
        <v>1951</v>
      </c>
      <c r="V279" s="48" t="s">
        <v>1952</v>
      </c>
      <c r="W279" s="4"/>
      <c r="X279" s="7"/>
      <c r="Y279" s="15" t="s">
        <v>1931</v>
      </c>
      <c r="Z279" s="70" t="s">
        <v>425</v>
      </c>
      <c r="AA279" s="4" t="s">
        <v>930</v>
      </c>
      <c r="AB279" s="3"/>
      <c r="AC279" s="3"/>
      <c r="AD279" s="3"/>
    </row>
    <row r="280" spans="1:30" ht="43.5">
      <c r="A280" s="5" t="s">
        <v>1508</v>
      </c>
      <c r="B280" s="46"/>
      <c r="C280" s="3"/>
      <c r="D280" s="4" t="s">
        <v>1048</v>
      </c>
      <c r="E280" s="4" t="s">
        <v>1048</v>
      </c>
      <c r="F280" s="3"/>
      <c r="G280" s="5" t="s">
        <v>176</v>
      </c>
      <c r="H280" s="13" t="str">
        <f>IFERROR(VLOOKUP(G280, Sheet2!$A:$B, 2, FALSE), A280)</f>
        <v>HOSPITAL AUTHORITY</v>
      </c>
      <c r="I280" s="6" t="s">
        <v>675</v>
      </c>
      <c r="J280" s="109"/>
      <c r="K280" s="79"/>
      <c r="L280" s="56" t="s">
        <v>1953</v>
      </c>
      <c r="M280" s="3" t="s">
        <v>1933</v>
      </c>
      <c r="N280" s="3"/>
      <c r="O280" s="7"/>
      <c r="P280" s="3"/>
      <c r="Q280" s="4">
        <v>44835</v>
      </c>
      <c r="R280" s="8"/>
      <c r="S280" s="4">
        <v>44886</v>
      </c>
      <c r="T280" s="7" t="s">
        <v>1954</v>
      </c>
      <c r="U280" s="7" t="s">
        <v>1955</v>
      </c>
      <c r="V280" s="48" t="s">
        <v>1956</v>
      </c>
      <c r="W280" s="4"/>
      <c r="X280" s="7"/>
      <c r="Y280" s="15" t="s">
        <v>1931</v>
      </c>
      <c r="Z280" s="70" t="s">
        <v>425</v>
      </c>
      <c r="AA280" s="4" t="s">
        <v>930</v>
      </c>
      <c r="AB280" s="3"/>
      <c r="AC280" s="3"/>
      <c r="AD280" s="3"/>
    </row>
    <row r="281" spans="1:30" ht="43.5">
      <c r="A281" s="5" t="s">
        <v>1508</v>
      </c>
      <c r="B281" s="46"/>
      <c r="C281" s="3"/>
      <c r="D281" s="4" t="s">
        <v>1048</v>
      </c>
      <c r="E281" s="4" t="s">
        <v>1048</v>
      </c>
      <c r="F281" s="3"/>
      <c r="G281" s="5" t="s">
        <v>176</v>
      </c>
      <c r="H281" s="13" t="str">
        <f>IFERROR(VLOOKUP(G281, Sheet2!$A:$B, 2, FALSE), A281)</f>
        <v>HOSPITAL AUTHORITY</v>
      </c>
      <c r="I281" s="6" t="s">
        <v>675</v>
      </c>
      <c r="J281" s="109"/>
      <c r="K281" s="79"/>
      <c r="L281" s="99" t="s">
        <v>1957</v>
      </c>
      <c r="M281" s="3" t="s">
        <v>1933</v>
      </c>
      <c r="N281" s="3"/>
      <c r="O281" s="7"/>
      <c r="P281" s="3"/>
      <c r="Q281" s="4">
        <v>44835</v>
      </c>
      <c r="R281" s="8"/>
      <c r="S281" s="4">
        <v>44886</v>
      </c>
      <c r="T281" s="7" t="s">
        <v>1958</v>
      </c>
      <c r="U281" s="7" t="s">
        <v>1959</v>
      </c>
      <c r="V281" s="48" t="s">
        <v>1960</v>
      </c>
      <c r="W281" s="4"/>
      <c r="X281" s="7"/>
      <c r="Y281" s="15" t="s">
        <v>1931</v>
      </c>
      <c r="Z281" s="70" t="s">
        <v>425</v>
      </c>
      <c r="AA281" s="4" t="s">
        <v>930</v>
      </c>
      <c r="AB281" s="3"/>
      <c r="AC281" s="3"/>
      <c r="AD281" s="3"/>
    </row>
    <row r="282" spans="1:30" ht="43.5">
      <c r="A282" s="5" t="s">
        <v>1508</v>
      </c>
      <c r="B282" s="46"/>
      <c r="C282" s="3"/>
      <c r="D282" s="4" t="s">
        <v>1048</v>
      </c>
      <c r="E282" s="4" t="s">
        <v>1048</v>
      </c>
      <c r="F282" s="3"/>
      <c r="G282" s="5" t="s">
        <v>176</v>
      </c>
      <c r="H282" s="13" t="str">
        <f>IFERROR(VLOOKUP(G282, Sheet2!$A:$B, 2, FALSE), A282)</f>
        <v>HOSPITAL AUTHORITY</v>
      </c>
      <c r="I282" s="6" t="s">
        <v>675</v>
      </c>
      <c r="J282" s="109"/>
      <c r="K282" s="79"/>
      <c r="L282" s="99" t="s">
        <v>1961</v>
      </c>
      <c r="M282" s="3" t="s">
        <v>1933</v>
      </c>
      <c r="N282" s="3"/>
      <c r="O282" s="7"/>
      <c r="P282" s="3"/>
      <c r="Q282" s="4">
        <v>44835</v>
      </c>
      <c r="R282" s="8"/>
      <c r="S282" s="4">
        <v>44886</v>
      </c>
      <c r="T282" s="7" t="s">
        <v>1962</v>
      </c>
      <c r="U282" s="7" t="s">
        <v>1963</v>
      </c>
      <c r="V282" s="48" t="s">
        <v>1964</v>
      </c>
      <c r="W282" s="4"/>
      <c r="X282" s="7"/>
      <c r="Y282" s="15" t="s">
        <v>1931</v>
      </c>
      <c r="Z282" s="70" t="s">
        <v>425</v>
      </c>
      <c r="AA282" s="4" t="s">
        <v>930</v>
      </c>
      <c r="AB282" s="3"/>
      <c r="AC282" s="3"/>
      <c r="AD282" s="3"/>
    </row>
    <row r="283" spans="1:30" ht="43.5">
      <c r="A283" s="5" t="s">
        <v>1508</v>
      </c>
      <c r="B283" s="46"/>
      <c r="C283" s="3"/>
      <c r="D283" s="4" t="s">
        <v>1048</v>
      </c>
      <c r="E283" s="4" t="s">
        <v>1048</v>
      </c>
      <c r="F283" s="3"/>
      <c r="G283" s="5" t="s">
        <v>176</v>
      </c>
      <c r="H283" s="13" t="str">
        <f>IFERROR(VLOOKUP(G283, Sheet2!$A:$B, 2, FALSE), A283)</f>
        <v>HOSPITAL AUTHORITY</v>
      </c>
      <c r="I283" s="6" t="s">
        <v>675</v>
      </c>
      <c r="J283" s="109"/>
      <c r="K283" s="79"/>
      <c r="L283" s="99" t="s">
        <v>1965</v>
      </c>
      <c r="M283" s="3" t="s">
        <v>1933</v>
      </c>
      <c r="N283" s="3"/>
      <c r="O283" s="7"/>
      <c r="P283" s="3"/>
      <c r="Q283" s="4">
        <v>44835</v>
      </c>
      <c r="R283" s="8"/>
      <c r="S283" s="4">
        <v>44886</v>
      </c>
      <c r="T283" s="7" t="s">
        <v>1966</v>
      </c>
      <c r="U283" s="7" t="s">
        <v>1967</v>
      </c>
      <c r="V283" s="48" t="s">
        <v>1968</v>
      </c>
      <c r="W283" s="4"/>
      <c r="X283" s="7"/>
      <c r="Y283" s="15" t="s">
        <v>1931</v>
      </c>
      <c r="Z283" s="70" t="s">
        <v>425</v>
      </c>
      <c r="AA283" s="4" t="s">
        <v>930</v>
      </c>
      <c r="AB283" s="3"/>
      <c r="AC283" s="3"/>
      <c r="AD283" s="3"/>
    </row>
    <row r="284" spans="1:30" ht="44">
      <c r="A284" s="3" t="s">
        <v>1508</v>
      </c>
      <c r="B284" s="46"/>
      <c r="C284" s="3"/>
      <c r="D284" s="8" t="s">
        <v>1048</v>
      </c>
      <c r="E284" s="8" t="s">
        <v>1048</v>
      </c>
      <c r="F284" s="3"/>
      <c r="G284" s="3" t="s">
        <v>176</v>
      </c>
      <c r="H284" s="13" t="str">
        <f>IFERROR(VLOOKUP(G284, Sheet2!$A:$B, 2, FALSE), A284)</f>
        <v>HOSPITAL AUTHORITY</v>
      </c>
      <c r="I284" s="6" t="s">
        <v>675</v>
      </c>
      <c r="J284" s="109"/>
      <c r="K284" s="79"/>
      <c r="L284" s="99" t="s">
        <v>1969</v>
      </c>
      <c r="M284" s="3" t="s">
        <v>1933</v>
      </c>
      <c r="N284" s="3"/>
      <c r="O284" s="7"/>
      <c r="P284" s="3"/>
      <c r="Q284" s="8">
        <v>44835</v>
      </c>
      <c r="R284" s="8"/>
      <c r="S284" s="8">
        <v>44886</v>
      </c>
      <c r="T284" s="7" t="s">
        <v>1970</v>
      </c>
      <c r="U284" s="7" t="s">
        <v>1971</v>
      </c>
      <c r="V284" s="48" t="s">
        <v>1972</v>
      </c>
      <c r="W284" s="8"/>
      <c r="X284" s="7"/>
      <c r="Y284" s="95" t="s">
        <v>1931</v>
      </c>
      <c r="Z284" s="70" t="s">
        <v>425</v>
      </c>
      <c r="AA284" s="4" t="s">
        <v>930</v>
      </c>
      <c r="AB284" s="3"/>
      <c r="AC284" s="3"/>
      <c r="AD284" s="13"/>
    </row>
    <row r="285" spans="1:30" ht="43.5">
      <c r="A285" s="5" t="s">
        <v>1508</v>
      </c>
      <c r="B285" s="46"/>
      <c r="C285" s="3"/>
      <c r="D285" s="8" t="s">
        <v>1048</v>
      </c>
      <c r="E285" s="8" t="s">
        <v>1048</v>
      </c>
      <c r="F285" s="3"/>
      <c r="G285" s="5" t="s">
        <v>176</v>
      </c>
      <c r="H285" s="13" t="str">
        <f>IFERROR(VLOOKUP(G285, Sheet2!$A:$B, 2, FALSE), A285)</f>
        <v>HOSPITAL AUTHORITY</v>
      </c>
      <c r="I285" s="6" t="s">
        <v>675</v>
      </c>
      <c r="J285" s="109"/>
      <c r="K285" s="79"/>
      <c r="L285" s="99" t="s">
        <v>1973</v>
      </c>
      <c r="M285" s="3" t="s">
        <v>1933</v>
      </c>
      <c r="N285" s="3"/>
      <c r="O285" s="7"/>
      <c r="P285" s="3"/>
      <c r="Q285" s="4">
        <v>44835</v>
      </c>
      <c r="R285" s="8"/>
      <c r="S285" s="4">
        <v>44886</v>
      </c>
      <c r="T285" s="7" t="s">
        <v>1974</v>
      </c>
      <c r="U285" s="7" t="s">
        <v>1975</v>
      </c>
      <c r="V285" s="48" t="s">
        <v>1976</v>
      </c>
      <c r="W285" s="4"/>
      <c r="X285" s="7"/>
      <c r="Y285" s="15" t="s">
        <v>1931</v>
      </c>
      <c r="Z285" s="70" t="s">
        <v>425</v>
      </c>
      <c r="AA285" s="4" t="s">
        <v>930</v>
      </c>
      <c r="AB285" s="3"/>
      <c r="AC285" s="3"/>
      <c r="AD285" s="13"/>
    </row>
    <row r="286" spans="1:30" ht="43.5">
      <c r="A286" s="5" t="s">
        <v>1508</v>
      </c>
      <c r="B286" s="46"/>
      <c r="C286" s="3"/>
      <c r="D286" s="8" t="s">
        <v>1048</v>
      </c>
      <c r="E286" s="8" t="s">
        <v>1048</v>
      </c>
      <c r="F286" s="3"/>
      <c r="G286" s="5" t="s">
        <v>176</v>
      </c>
      <c r="H286" s="13" t="str">
        <f>IFERROR(VLOOKUP(G286, Sheet2!$A:$B, 2, FALSE), A286)</f>
        <v>HOSPITAL AUTHORITY</v>
      </c>
      <c r="I286" s="6" t="s">
        <v>675</v>
      </c>
      <c r="J286" s="109"/>
      <c r="K286" s="79"/>
      <c r="L286" s="99" t="s">
        <v>1977</v>
      </c>
      <c r="M286" s="3" t="s">
        <v>1933</v>
      </c>
      <c r="N286" s="3"/>
      <c r="O286" s="7"/>
      <c r="P286" s="3"/>
      <c r="Q286" s="4">
        <v>44835</v>
      </c>
      <c r="R286" s="8"/>
      <c r="S286" s="4">
        <v>44886</v>
      </c>
      <c r="T286" s="7" t="s">
        <v>1978</v>
      </c>
      <c r="U286" s="7" t="s">
        <v>1979</v>
      </c>
      <c r="V286" s="48" t="s">
        <v>1980</v>
      </c>
      <c r="W286" s="4"/>
      <c r="X286" s="7"/>
      <c r="Y286" s="15" t="s">
        <v>1931</v>
      </c>
      <c r="Z286" s="70" t="s">
        <v>425</v>
      </c>
      <c r="AA286" s="4" t="s">
        <v>930</v>
      </c>
      <c r="AB286" s="3"/>
      <c r="AC286" s="3"/>
      <c r="AD286" s="13"/>
    </row>
    <row r="287" spans="1:30" ht="43.5">
      <c r="A287" s="5" t="s">
        <v>1508</v>
      </c>
      <c r="B287" s="46"/>
      <c r="C287" s="3"/>
      <c r="D287" s="8" t="s">
        <v>1048</v>
      </c>
      <c r="E287" s="8" t="s">
        <v>1048</v>
      </c>
      <c r="F287" s="3"/>
      <c r="G287" s="5" t="s">
        <v>176</v>
      </c>
      <c r="H287" s="13" t="str">
        <f>IFERROR(VLOOKUP(G287, Sheet2!$A:$B, 2, FALSE), A287)</f>
        <v>HOSPITAL AUTHORITY</v>
      </c>
      <c r="I287" s="6" t="s">
        <v>675</v>
      </c>
      <c r="J287" s="109"/>
      <c r="K287" s="79"/>
      <c r="L287" s="99" t="s">
        <v>1981</v>
      </c>
      <c r="M287" s="3" t="s">
        <v>1933</v>
      </c>
      <c r="N287" s="3"/>
      <c r="O287" s="7"/>
      <c r="P287" s="3"/>
      <c r="Q287" s="4">
        <v>44835</v>
      </c>
      <c r="R287" s="8"/>
      <c r="S287" s="4">
        <v>44886</v>
      </c>
      <c r="T287" s="7" t="s">
        <v>1982</v>
      </c>
      <c r="U287" s="7" t="s">
        <v>1983</v>
      </c>
      <c r="V287" s="48" t="s">
        <v>1984</v>
      </c>
      <c r="W287" s="4"/>
      <c r="X287" s="7"/>
      <c r="Y287" s="15" t="s">
        <v>1931</v>
      </c>
      <c r="Z287" s="70" t="s">
        <v>425</v>
      </c>
      <c r="AA287" s="4" t="s">
        <v>930</v>
      </c>
      <c r="AB287" s="3"/>
      <c r="AC287" s="3"/>
      <c r="AD287" s="13"/>
    </row>
    <row r="288" spans="1:30" ht="43.5">
      <c r="A288" s="5" t="s">
        <v>1508</v>
      </c>
      <c r="B288" s="46"/>
      <c r="C288" s="3"/>
      <c r="D288" s="8" t="s">
        <v>1048</v>
      </c>
      <c r="E288" s="8" t="s">
        <v>1048</v>
      </c>
      <c r="F288" s="3"/>
      <c r="G288" s="5" t="s">
        <v>176</v>
      </c>
      <c r="H288" s="13" t="str">
        <f>IFERROR(VLOOKUP(G288, Sheet2!$A:$B, 2, FALSE), A288)</f>
        <v>HOSPITAL AUTHORITY</v>
      </c>
      <c r="I288" s="6" t="s">
        <v>675</v>
      </c>
      <c r="J288" s="109"/>
      <c r="K288" s="79"/>
      <c r="L288" s="99" t="s">
        <v>1985</v>
      </c>
      <c r="M288" s="3" t="s">
        <v>1933</v>
      </c>
      <c r="N288" s="3"/>
      <c r="O288" s="7"/>
      <c r="P288" s="3"/>
      <c r="Q288" s="4">
        <v>44835</v>
      </c>
      <c r="R288" s="8"/>
      <c r="S288" s="4">
        <v>44886</v>
      </c>
      <c r="T288" s="7" t="s">
        <v>1986</v>
      </c>
      <c r="U288" s="7" t="s">
        <v>1987</v>
      </c>
      <c r="V288" s="48" t="s">
        <v>1988</v>
      </c>
      <c r="W288" s="4"/>
      <c r="X288" s="7"/>
      <c r="Y288" s="15" t="s">
        <v>1931</v>
      </c>
      <c r="Z288" s="70" t="s">
        <v>425</v>
      </c>
      <c r="AA288" s="4" t="s">
        <v>930</v>
      </c>
      <c r="AB288" s="3"/>
      <c r="AC288" s="3"/>
      <c r="AD288" s="13"/>
    </row>
    <row r="289" spans="1:30" ht="43.5">
      <c r="A289" s="5" t="s">
        <v>1508</v>
      </c>
      <c r="B289" s="46"/>
      <c r="C289" s="3"/>
      <c r="D289" s="8" t="s">
        <v>1048</v>
      </c>
      <c r="E289" s="8" t="s">
        <v>1048</v>
      </c>
      <c r="F289" s="3"/>
      <c r="G289" s="5" t="s">
        <v>176</v>
      </c>
      <c r="H289" s="13" t="str">
        <f>IFERROR(VLOOKUP(G289, Sheet2!$A:$B, 2, FALSE), A289)</f>
        <v>HOSPITAL AUTHORITY</v>
      </c>
      <c r="I289" s="6" t="s">
        <v>675</v>
      </c>
      <c r="J289" s="109"/>
      <c r="K289" s="79"/>
      <c r="L289" s="99" t="s">
        <v>1989</v>
      </c>
      <c r="M289" s="3" t="s">
        <v>1933</v>
      </c>
      <c r="N289" s="3"/>
      <c r="O289" s="7"/>
      <c r="P289" s="3"/>
      <c r="Q289" s="4">
        <v>44835</v>
      </c>
      <c r="R289" s="8"/>
      <c r="S289" s="4">
        <v>44886</v>
      </c>
      <c r="T289" s="7" t="s">
        <v>1990</v>
      </c>
      <c r="U289" s="7" t="s">
        <v>1991</v>
      </c>
      <c r="V289" s="48" t="s">
        <v>1992</v>
      </c>
      <c r="W289" s="4"/>
      <c r="X289" s="7"/>
      <c r="Y289" s="15" t="s">
        <v>1931</v>
      </c>
      <c r="Z289" s="70" t="s">
        <v>425</v>
      </c>
      <c r="AA289" s="4" t="s">
        <v>930</v>
      </c>
      <c r="AB289" s="3"/>
      <c r="AC289" s="3"/>
      <c r="AD289" s="13"/>
    </row>
    <row r="290" spans="1:30" ht="43.5">
      <c r="A290" s="5" t="s">
        <v>1508</v>
      </c>
      <c r="B290" s="46"/>
      <c r="C290" s="3"/>
      <c r="D290" s="8" t="s">
        <v>1048</v>
      </c>
      <c r="E290" s="8" t="s">
        <v>1048</v>
      </c>
      <c r="F290" s="3"/>
      <c r="G290" s="5" t="s">
        <v>176</v>
      </c>
      <c r="H290" s="13" t="str">
        <f>IFERROR(VLOOKUP(G290, Sheet2!$A:$B, 2, FALSE), A290)</f>
        <v>HOSPITAL AUTHORITY</v>
      </c>
      <c r="I290" s="6" t="s">
        <v>675</v>
      </c>
      <c r="J290" s="109"/>
      <c r="K290" s="79"/>
      <c r="L290" s="99" t="s">
        <v>1993</v>
      </c>
      <c r="M290" s="3" t="s">
        <v>1933</v>
      </c>
      <c r="N290" s="3"/>
      <c r="O290" s="7"/>
      <c r="P290" s="3"/>
      <c r="Q290" s="4">
        <v>44835</v>
      </c>
      <c r="R290" s="8"/>
      <c r="S290" s="4">
        <v>44886</v>
      </c>
      <c r="T290" s="7" t="s">
        <v>1994</v>
      </c>
      <c r="U290" s="7" t="s">
        <v>1995</v>
      </c>
      <c r="V290" s="48" t="s">
        <v>1996</v>
      </c>
      <c r="W290" s="4"/>
      <c r="X290" s="7"/>
      <c r="Y290" s="15" t="s">
        <v>1931</v>
      </c>
      <c r="Z290" s="70" t="s">
        <v>425</v>
      </c>
      <c r="AA290" s="4" t="s">
        <v>930</v>
      </c>
      <c r="AB290" s="3"/>
      <c r="AC290" s="3"/>
      <c r="AD290" s="13"/>
    </row>
    <row r="291" spans="1:30" ht="44">
      <c r="A291" s="3" t="s">
        <v>1508</v>
      </c>
      <c r="B291" s="46"/>
      <c r="C291" s="3"/>
      <c r="D291" s="8" t="s">
        <v>1048</v>
      </c>
      <c r="E291" s="8" t="s">
        <v>1048</v>
      </c>
      <c r="F291" s="3"/>
      <c r="G291" s="3" t="s">
        <v>176</v>
      </c>
      <c r="H291" s="13" t="str">
        <f>IFERROR(VLOOKUP(G291, Sheet2!$A:$B, 2, FALSE), A291)</f>
        <v>HOSPITAL AUTHORITY</v>
      </c>
      <c r="I291" s="6" t="s">
        <v>675</v>
      </c>
      <c r="J291" s="109"/>
      <c r="K291" s="79"/>
      <c r="L291" s="99" t="s">
        <v>1997</v>
      </c>
      <c r="M291" s="3" t="s">
        <v>1933</v>
      </c>
      <c r="N291" s="3"/>
      <c r="O291" s="7"/>
      <c r="P291" s="3"/>
      <c r="Q291" s="8">
        <v>44835</v>
      </c>
      <c r="R291" s="8"/>
      <c r="S291" s="8">
        <v>44886</v>
      </c>
      <c r="T291" s="11" t="s">
        <v>1998</v>
      </c>
      <c r="U291" s="11" t="s">
        <v>1999</v>
      </c>
      <c r="V291" s="48" t="s">
        <v>2000</v>
      </c>
      <c r="W291" s="8"/>
      <c r="X291" s="11"/>
      <c r="Y291" s="95" t="s">
        <v>1931</v>
      </c>
      <c r="Z291" s="70" t="s">
        <v>425</v>
      </c>
      <c r="AA291" s="4" t="s">
        <v>930</v>
      </c>
      <c r="AB291" s="3"/>
      <c r="AC291" s="3"/>
      <c r="AD291" s="3"/>
    </row>
    <row r="292" spans="1:30" ht="43.5">
      <c r="A292" s="5" t="s">
        <v>1508</v>
      </c>
      <c r="B292" s="46"/>
      <c r="C292" s="3"/>
      <c r="D292" s="8" t="s">
        <v>1048</v>
      </c>
      <c r="E292" s="8" t="s">
        <v>1048</v>
      </c>
      <c r="F292" s="3"/>
      <c r="G292" s="5" t="s">
        <v>176</v>
      </c>
      <c r="H292" s="13" t="str">
        <f>IFERROR(VLOOKUP(G292, Sheet2!$A:$B, 2, FALSE), A292)</f>
        <v>HOSPITAL AUTHORITY</v>
      </c>
      <c r="I292" s="6" t="s">
        <v>675</v>
      </c>
      <c r="J292" s="109"/>
      <c r="K292" s="79"/>
      <c r="L292" s="99" t="s">
        <v>2001</v>
      </c>
      <c r="M292" s="3" t="s">
        <v>1933</v>
      </c>
      <c r="N292" s="3"/>
      <c r="O292" s="7"/>
      <c r="P292" s="3"/>
      <c r="Q292" s="4">
        <v>44835</v>
      </c>
      <c r="R292" s="8"/>
      <c r="S292" s="4">
        <v>44886</v>
      </c>
      <c r="T292" s="11" t="s">
        <v>2002</v>
      </c>
      <c r="U292" s="11" t="s">
        <v>2003</v>
      </c>
      <c r="V292" s="48" t="s">
        <v>2004</v>
      </c>
      <c r="W292" s="4"/>
      <c r="X292" s="11"/>
      <c r="Y292" s="15" t="s">
        <v>1931</v>
      </c>
      <c r="Z292" s="70" t="s">
        <v>425</v>
      </c>
      <c r="AA292" s="4" t="s">
        <v>930</v>
      </c>
      <c r="AB292" s="3"/>
      <c r="AC292" s="3"/>
      <c r="AD292" s="3"/>
    </row>
    <row r="293" spans="1:30" ht="43.5">
      <c r="A293" s="5" t="s">
        <v>1508</v>
      </c>
      <c r="B293" s="46"/>
      <c r="C293" s="3"/>
      <c r="D293" s="8" t="s">
        <v>1048</v>
      </c>
      <c r="E293" s="8" t="s">
        <v>1048</v>
      </c>
      <c r="F293" s="3"/>
      <c r="G293" s="5" t="s">
        <v>176</v>
      </c>
      <c r="H293" s="13" t="str">
        <f>IFERROR(VLOOKUP(G293, Sheet2!$A:$B, 2, FALSE), A293)</f>
        <v>HOSPITAL AUTHORITY</v>
      </c>
      <c r="I293" s="6" t="s">
        <v>675</v>
      </c>
      <c r="J293" s="109"/>
      <c r="K293" s="79"/>
      <c r="L293" s="99" t="s">
        <v>2005</v>
      </c>
      <c r="M293" s="3" t="s">
        <v>1933</v>
      </c>
      <c r="N293" s="3"/>
      <c r="O293" s="7"/>
      <c r="P293" s="3"/>
      <c r="Q293" s="4">
        <v>44835</v>
      </c>
      <c r="R293" s="8"/>
      <c r="S293" s="4">
        <v>44886</v>
      </c>
      <c r="T293" s="11" t="s">
        <v>2006</v>
      </c>
      <c r="U293" s="11" t="s">
        <v>2007</v>
      </c>
      <c r="V293" s="48" t="s">
        <v>2008</v>
      </c>
      <c r="W293" s="4"/>
      <c r="X293" s="11"/>
      <c r="Y293" s="15" t="s">
        <v>1931</v>
      </c>
      <c r="Z293" s="70" t="s">
        <v>425</v>
      </c>
      <c r="AA293" s="4" t="s">
        <v>930</v>
      </c>
      <c r="AB293" s="3"/>
      <c r="AC293" s="3"/>
      <c r="AD293" s="3"/>
    </row>
    <row r="294" spans="1:30" ht="43.5">
      <c r="A294" s="5" t="s">
        <v>1508</v>
      </c>
      <c r="B294" s="46"/>
      <c r="C294" s="3"/>
      <c r="D294" s="8" t="s">
        <v>1048</v>
      </c>
      <c r="E294" s="8" t="s">
        <v>1048</v>
      </c>
      <c r="F294" s="3"/>
      <c r="G294" s="5" t="s">
        <v>176</v>
      </c>
      <c r="H294" s="13" t="str">
        <f>IFERROR(VLOOKUP(G294, Sheet2!$A:$B, 2, FALSE), A294)</f>
        <v>HOSPITAL AUTHORITY</v>
      </c>
      <c r="I294" s="6" t="s">
        <v>675</v>
      </c>
      <c r="J294" s="109"/>
      <c r="K294" s="79"/>
      <c r="L294" s="99" t="s">
        <v>2009</v>
      </c>
      <c r="M294" s="3" t="s">
        <v>1933</v>
      </c>
      <c r="N294" s="3"/>
      <c r="O294" s="7"/>
      <c r="P294" s="3"/>
      <c r="Q294" s="4">
        <v>44835</v>
      </c>
      <c r="R294" s="8"/>
      <c r="S294" s="4">
        <v>44886</v>
      </c>
      <c r="T294" s="11" t="s">
        <v>2010</v>
      </c>
      <c r="U294" s="11" t="s">
        <v>2011</v>
      </c>
      <c r="V294" s="48" t="s">
        <v>2012</v>
      </c>
      <c r="W294" s="4"/>
      <c r="X294" s="11"/>
      <c r="Y294" s="15" t="s">
        <v>1931</v>
      </c>
      <c r="Z294" s="70" t="s">
        <v>425</v>
      </c>
      <c r="AA294" s="4" t="s">
        <v>930</v>
      </c>
      <c r="AB294" s="3"/>
      <c r="AC294" s="3"/>
      <c r="AD294" s="3"/>
    </row>
    <row r="295" spans="1:30" ht="43.5">
      <c r="A295" s="5" t="s">
        <v>1508</v>
      </c>
      <c r="B295" s="46"/>
      <c r="C295" s="3"/>
      <c r="D295" s="8" t="s">
        <v>1048</v>
      </c>
      <c r="E295" s="8" t="s">
        <v>1048</v>
      </c>
      <c r="F295" s="3"/>
      <c r="G295" s="5" t="s">
        <v>176</v>
      </c>
      <c r="H295" s="13" t="str">
        <f>IFERROR(VLOOKUP(G295, Sheet2!$A:$B, 2, FALSE), A295)</f>
        <v>HOSPITAL AUTHORITY</v>
      </c>
      <c r="I295" s="6" t="s">
        <v>675</v>
      </c>
      <c r="J295" s="109"/>
      <c r="K295" s="79"/>
      <c r="L295" s="99" t="s">
        <v>2013</v>
      </c>
      <c r="M295" s="3" t="s">
        <v>1933</v>
      </c>
      <c r="N295" s="3"/>
      <c r="O295" s="7"/>
      <c r="P295" s="3"/>
      <c r="Q295" s="4">
        <v>44835</v>
      </c>
      <c r="R295" s="8"/>
      <c r="S295" s="4">
        <v>44886</v>
      </c>
      <c r="T295" s="11" t="s">
        <v>2014</v>
      </c>
      <c r="U295" s="11" t="s">
        <v>2015</v>
      </c>
      <c r="V295" s="48" t="s">
        <v>2016</v>
      </c>
      <c r="W295" s="4"/>
      <c r="X295" s="11"/>
      <c r="Y295" s="15" t="s">
        <v>1931</v>
      </c>
      <c r="Z295" s="70" t="s">
        <v>425</v>
      </c>
      <c r="AA295" s="4" t="s">
        <v>930</v>
      </c>
      <c r="AB295" s="3"/>
      <c r="AC295" s="3"/>
      <c r="AD295" s="3"/>
    </row>
    <row r="296" spans="1:30" ht="43.5">
      <c r="A296" s="5" t="s">
        <v>1508</v>
      </c>
      <c r="B296" s="46"/>
      <c r="C296" s="3"/>
      <c r="D296" s="8" t="s">
        <v>1048</v>
      </c>
      <c r="E296" s="8" t="s">
        <v>1048</v>
      </c>
      <c r="F296" s="3"/>
      <c r="G296" s="5" t="s">
        <v>176</v>
      </c>
      <c r="H296" s="13" t="str">
        <f>IFERROR(VLOOKUP(G296, Sheet2!$A:$B, 2, FALSE), A296)</f>
        <v>HOSPITAL AUTHORITY</v>
      </c>
      <c r="I296" s="6" t="s">
        <v>675</v>
      </c>
      <c r="J296" s="109"/>
      <c r="K296" s="79"/>
      <c r="L296" s="99" t="s">
        <v>2017</v>
      </c>
      <c r="M296" s="3" t="s">
        <v>1933</v>
      </c>
      <c r="N296" s="3"/>
      <c r="O296" s="7"/>
      <c r="P296" s="3"/>
      <c r="Q296" s="4">
        <v>44835</v>
      </c>
      <c r="R296" s="8"/>
      <c r="S296" s="4">
        <v>44886</v>
      </c>
      <c r="T296" s="11" t="s">
        <v>2018</v>
      </c>
      <c r="U296" s="11" t="s">
        <v>2019</v>
      </c>
      <c r="V296" s="48" t="s">
        <v>2020</v>
      </c>
      <c r="W296" s="4"/>
      <c r="X296" s="11"/>
      <c r="Y296" s="15" t="s">
        <v>1931</v>
      </c>
      <c r="Z296" s="70" t="s">
        <v>425</v>
      </c>
      <c r="AA296" s="4" t="s">
        <v>930</v>
      </c>
      <c r="AB296" s="3"/>
      <c r="AC296" s="3"/>
      <c r="AD296" s="3"/>
    </row>
    <row r="297" spans="1:30" ht="43.5">
      <c r="A297" s="5" t="s">
        <v>1508</v>
      </c>
      <c r="B297" s="46"/>
      <c r="C297" s="3"/>
      <c r="D297" s="8" t="s">
        <v>1048</v>
      </c>
      <c r="E297" s="8" t="s">
        <v>1048</v>
      </c>
      <c r="F297" s="3"/>
      <c r="G297" s="5" t="s">
        <v>176</v>
      </c>
      <c r="H297" s="13" t="str">
        <f>IFERROR(VLOOKUP(G297, Sheet2!$A:$B, 2, FALSE), A297)</f>
        <v>HOSPITAL AUTHORITY</v>
      </c>
      <c r="I297" s="6" t="s">
        <v>675</v>
      </c>
      <c r="J297" s="109"/>
      <c r="K297" s="79"/>
      <c r="L297" s="99" t="s">
        <v>2021</v>
      </c>
      <c r="M297" s="3" t="s">
        <v>1933</v>
      </c>
      <c r="N297" s="3"/>
      <c r="O297" s="7"/>
      <c r="P297" s="3"/>
      <c r="Q297" s="4">
        <v>44835</v>
      </c>
      <c r="R297" s="8"/>
      <c r="S297" s="4">
        <v>44886</v>
      </c>
      <c r="T297" s="15" t="s">
        <v>2022</v>
      </c>
      <c r="U297" s="11" t="s">
        <v>2023</v>
      </c>
      <c r="V297" s="48" t="s">
        <v>2024</v>
      </c>
      <c r="W297" s="4"/>
      <c r="X297" s="11"/>
      <c r="Y297" s="15" t="s">
        <v>1931</v>
      </c>
      <c r="Z297" s="70" t="s">
        <v>425</v>
      </c>
      <c r="AA297" s="4" t="s">
        <v>930</v>
      </c>
      <c r="AB297" s="3"/>
      <c r="AC297" s="3"/>
      <c r="AD297" s="3"/>
    </row>
    <row r="298" spans="1:30" ht="44">
      <c r="A298" s="3" t="s">
        <v>1508</v>
      </c>
      <c r="B298" s="46"/>
      <c r="C298" s="3"/>
      <c r="D298" s="8" t="s">
        <v>1048</v>
      </c>
      <c r="E298" s="8" t="s">
        <v>1048</v>
      </c>
      <c r="F298" s="3"/>
      <c r="G298" s="3" t="s">
        <v>176</v>
      </c>
      <c r="H298" s="13" t="str">
        <f>IFERROR(VLOOKUP(G298, Sheet2!$A:$B, 2, FALSE), A298)</f>
        <v>HOSPITAL AUTHORITY</v>
      </c>
      <c r="I298" s="6" t="s">
        <v>675</v>
      </c>
      <c r="J298" s="109"/>
      <c r="K298" s="79"/>
      <c r="L298" s="99" t="s">
        <v>2025</v>
      </c>
      <c r="M298" s="3" t="s">
        <v>1933</v>
      </c>
      <c r="N298" s="3"/>
      <c r="O298" s="7"/>
      <c r="P298" s="3"/>
      <c r="Q298" s="8">
        <v>44835</v>
      </c>
      <c r="R298" s="8"/>
      <c r="S298" s="8">
        <v>44886</v>
      </c>
      <c r="T298" s="7" t="s">
        <v>2026</v>
      </c>
      <c r="U298" s="7" t="s">
        <v>2027</v>
      </c>
      <c r="V298" s="48" t="s">
        <v>2028</v>
      </c>
      <c r="W298" s="8"/>
      <c r="X298" s="7"/>
      <c r="Y298" s="95" t="s">
        <v>1931</v>
      </c>
      <c r="Z298" s="70" t="s">
        <v>425</v>
      </c>
      <c r="AA298" s="4" t="s">
        <v>930</v>
      </c>
      <c r="AB298" s="3"/>
      <c r="AC298" s="3"/>
      <c r="AD298" s="3"/>
    </row>
    <row r="299" spans="1:30" ht="43.5">
      <c r="A299" s="5" t="s">
        <v>1508</v>
      </c>
      <c r="B299" s="46"/>
      <c r="C299" s="3"/>
      <c r="D299" s="8" t="s">
        <v>1048</v>
      </c>
      <c r="E299" s="8" t="s">
        <v>1048</v>
      </c>
      <c r="F299" s="3"/>
      <c r="G299" s="5" t="s">
        <v>176</v>
      </c>
      <c r="H299" s="13" t="str">
        <f>IFERROR(VLOOKUP(G299, Sheet2!$A:$B, 2, FALSE), A299)</f>
        <v>HOSPITAL AUTHORITY</v>
      </c>
      <c r="I299" s="6" t="s">
        <v>675</v>
      </c>
      <c r="J299" s="109"/>
      <c r="K299" s="79"/>
      <c r="L299" s="99" t="s">
        <v>2029</v>
      </c>
      <c r="M299" s="3" t="s">
        <v>1933</v>
      </c>
      <c r="N299" s="3"/>
      <c r="O299" s="7"/>
      <c r="P299" s="3"/>
      <c r="Q299" s="4">
        <v>44835</v>
      </c>
      <c r="R299" s="8"/>
      <c r="S299" s="4">
        <v>44886</v>
      </c>
      <c r="T299" s="7" t="s">
        <v>2030</v>
      </c>
      <c r="U299" s="7" t="s">
        <v>2031</v>
      </c>
      <c r="V299" s="48" t="s">
        <v>2032</v>
      </c>
      <c r="W299" s="4"/>
      <c r="X299" s="7"/>
      <c r="Y299" s="15" t="s">
        <v>1931</v>
      </c>
      <c r="Z299" s="70" t="s">
        <v>425</v>
      </c>
      <c r="AA299" s="4" t="s">
        <v>930</v>
      </c>
      <c r="AB299" s="3"/>
      <c r="AC299" s="3"/>
      <c r="AD299" s="3"/>
    </row>
    <row r="300" spans="1:30" ht="43.5">
      <c r="A300" s="5" t="s">
        <v>1508</v>
      </c>
      <c r="B300" s="46"/>
      <c r="C300" s="3"/>
      <c r="D300" s="8" t="s">
        <v>1048</v>
      </c>
      <c r="E300" s="8" t="s">
        <v>1048</v>
      </c>
      <c r="F300" s="3"/>
      <c r="G300" s="5" t="s">
        <v>176</v>
      </c>
      <c r="H300" s="13" t="str">
        <f>IFERROR(VLOOKUP(G300, Sheet2!$A:$B, 2, FALSE), A300)</f>
        <v>HOSPITAL AUTHORITY</v>
      </c>
      <c r="I300" s="6" t="s">
        <v>675</v>
      </c>
      <c r="J300" s="109"/>
      <c r="K300" s="79"/>
      <c r="L300" s="99" t="s">
        <v>2033</v>
      </c>
      <c r="M300" s="3" t="s">
        <v>1933</v>
      </c>
      <c r="N300" s="3"/>
      <c r="O300" s="7"/>
      <c r="P300" s="3"/>
      <c r="Q300" s="4">
        <v>44835</v>
      </c>
      <c r="R300" s="8"/>
      <c r="S300" s="4">
        <v>44886</v>
      </c>
      <c r="T300" s="7" t="s">
        <v>2034</v>
      </c>
      <c r="U300" s="7" t="s">
        <v>2035</v>
      </c>
      <c r="V300" s="48" t="s">
        <v>2036</v>
      </c>
      <c r="W300" s="4"/>
      <c r="X300" s="7"/>
      <c r="Y300" s="15" t="s">
        <v>1931</v>
      </c>
      <c r="Z300" s="70" t="s">
        <v>425</v>
      </c>
      <c r="AA300" s="4" t="s">
        <v>930</v>
      </c>
      <c r="AB300" s="3"/>
      <c r="AC300" s="3"/>
      <c r="AD300" s="3"/>
    </row>
    <row r="301" spans="1:30" ht="43.5">
      <c r="A301" s="5" t="s">
        <v>1508</v>
      </c>
      <c r="B301" s="46"/>
      <c r="C301" s="3"/>
      <c r="D301" s="8" t="s">
        <v>1048</v>
      </c>
      <c r="E301" s="8" t="s">
        <v>1048</v>
      </c>
      <c r="F301" s="3"/>
      <c r="G301" s="5" t="s">
        <v>176</v>
      </c>
      <c r="H301" s="13" t="str">
        <f>IFERROR(VLOOKUP(G301, Sheet2!$A:$B, 2, FALSE), A301)</f>
        <v>HOSPITAL AUTHORITY</v>
      </c>
      <c r="I301" s="6" t="s">
        <v>675</v>
      </c>
      <c r="J301" s="109"/>
      <c r="K301" s="79"/>
      <c r="L301" s="99" t="s">
        <v>2037</v>
      </c>
      <c r="M301" s="3" t="s">
        <v>1933</v>
      </c>
      <c r="N301" s="3"/>
      <c r="O301" s="7"/>
      <c r="P301" s="3"/>
      <c r="Q301" s="4">
        <v>44835</v>
      </c>
      <c r="R301" s="8"/>
      <c r="S301" s="4">
        <v>44886</v>
      </c>
      <c r="T301" s="7" t="s">
        <v>2038</v>
      </c>
      <c r="U301" s="7" t="s">
        <v>2039</v>
      </c>
      <c r="V301" s="48" t="s">
        <v>2040</v>
      </c>
      <c r="W301" s="4"/>
      <c r="X301" s="7"/>
      <c r="Y301" s="15" t="s">
        <v>1931</v>
      </c>
      <c r="Z301" s="70" t="s">
        <v>425</v>
      </c>
      <c r="AA301" s="4" t="s">
        <v>930</v>
      </c>
      <c r="AB301" s="3"/>
      <c r="AC301" s="3"/>
      <c r="AD301" s="3"/>
    </row>
    <row r="302" spans="1:30" ht="43.5">
      <c r="A302" s="5" t="s">
        <v>1508</v>
      </c>
      <c r="B302" s="46"/>
      <c r="C302" s="3"/>
      <c r="D302" s="8" t="s">
        <v>1048</v>
      </c>
      <c r="E302" s="8" t="s">
        <v>1048</v>
      </c>
      <c r="F302" s="3"/>
      <c r="G302" s="5" t="s">
        <v>176</v>
      </c>
      <c r="H302" s="13" t="str">
        <f>IFERROR(VLOOKUP(G302, Sheet2!$A:$B, 2, FALSE), A302)</f>
        <v>HOSPITAL AUTHORITY</v>
      </c>
      <c r="I302" s="6" t="s">
        <v>675</v>
      </c>
      <c r="J302" s="109"/>
      <c r="K302" s="79"/>
      <c r="L302" s="99" t="s">
        <v>2041</v>
      </c>
      <c r="M302" s="3" t="s">
        <v>1933</v>
      </c>
      <c r="N302" s="3"/>
      <c r="O302" s="7"/>
      <c r="P302" s="3"/>
      <c r="Q302" s="4">
        <v>44835</v>
      </c>
      <c r="R302" s="8"/>
      <c r="S302" s="4">
        <v>44886</v>
      </c>
      <c r="T302" s="7" t="s">
        <v>2042</v>
      </c>
      <c r="U302" s="7" t="s">
        <v>2043</v>
      </c>
      <c r="V302" s="48" t="s">
        <v>2044</v>
      </c>
      <c r="W302" s="4"/>
      <c r="X302" s="7"/>
      <c r="Y302" s="15" t="s">
        <v>1931</v>
      </c>
      <c r="Z302" s="70" t="s">
        <v>425</v>
      </c>
      <c r="AA302" s="4" t="s">
        <v>930</v>
      </c>
      <c r="AB302" s="3"/>
      <c r="AC302" s="3"/>
      <c r="AD302" s="3"/>
    </row>
    <row r="303" spans="1:30" ht="43.5">
      <c r="A303" s="5" t="s">
        <v>1508</v>
      </c>
      <c r="B303" s="46"/>
      <c r="C303" s="3"/>
      <c r="D303" s="8" t="s">
        <v>1048</v>
      </c>
      <c r="E303" s="8" t="s">
        <v>1048</v>
      </c>
      <c r="F303" s="3"/>
      <c r="G303" s="5" t="s">
        <v>176</v>
      </c>
      <c r="H303" s="13" t="str">
        <f>IFERROR(VLOOKUP(G303, Sheet2!$A:$B, 2, FALSE), A303)</f>
        <v>HOSPITAL AUTHORITY</v>
      </c>
      <c r="I303" s="6" t="s">
        <v>675</v>
      </c>
      <c r="J303" s="109"/>
      <c r="K303" s="79"/>
      <c r="L303" s="99" t="s">
        <v>2045</v>
      </c>
      <c r="M303" s="3" t="s">
        <v>1933</v>
      </c>
      <c r="N303" s="3"/>
      <c r="O303" s="7"/>
      <c r="P303" s="3"/>
      <c r="Q303" s="4">
        <v>44835</v>
      </c>
      <c r="R303" s="8"/>
      <c r="S303" s="4">
        <v>44886</v>
      </c>
      <c r="T303" s="7" t="s">
        <v>2046</v>
      </c>
      <c r="U303" s="7" t="s">
        <v>2047</v>
      </c>
      <c r="V303" s="48" t="s">
        <v>2048</v>
      </c>
      <c r="W303" s="4"/>
      <c r="X303" s="7"/>
      <c r="Y303" s="15" t="s">
        <v>1931</v>
      </c>
      <c r="Z303" s="70" t="s">
        <v>425</v>
      </c>
      <c r="AA303" s="4" t="s">
        <v>930</v>
      </c>
      <c r="AB303" s="3"/>
      <c r="AC303" s="3"/>
      <c r="AD303" s="3"/>
    </row>
    <row r="304" spans="1:30" ht="43.5">
      <c r="A304" s="5" t="s">
        <v>1508</v>
      </c>
      <c r="B304" s="46"/>
      <c r="C304" s="3"/>
      <c r="D304" s="8" t="s">
        <v>1048</v>
      </c>
      <c r="E304" s="8" t="s">
        <v>1048</v>
      </c>
      <c r="F304" s="3"/>
      <c r="G304" s="5" t="s">
        <v>176</v>
      </c>
      <c r="H304" s="13" t="str">
        <f>IFERROR(VLOOKUP(G304, Sheet2!$A:$B, 2, FALSE), A304)</f>
        <v>HOSPITAL AUTHORITY</v>
      </c>
      <c r="I304" s="6" t="s">
        <v>675</v>
      </c>
      <c r="J304" s="109"/>
      <c r="K304" s="79"/>
      <c r="L304" s="99" t="s">
        <v>2049</v>
      </c>
      <c r="M304" s="3" t="s">
        <v>1933</v>
      </c>
      <c r="N304" s="3"/>
      <c r="O304" s="7"/>
      <c r="P304" s="3"/>
      <c r="Q304" s="4">
        <v>44835</v>
      </c>
      <c r="R304" s="8"/>
      <c r="S304" s="4">
        <v>44886</v>
      </c>
      <c r="T304" s="7" t="s">
        <v>2050</v>
      </c>
      <c r="U304" s="7" t="s">
        <v>2051</v>
      </c>
      <c r="V304" s="48" t="s">
        <v>2052</v>
      </c>
      <c r="W304" s="4"/>
      <c r="X304" s="7"/>
      <c r="Y304" s="15" t="s">
        <v>1931</v>
      </c>
      <c r="Z304" s="70" t="s">
        <v>425</v>
      </c>
      <c r="AA304" s="4" t="s">
        <v>930</v>
      </c>
      <c r="AB304" s="3"/>
      <c r="AC304" s="3"/>
      <c r="AD304" s="3"/>
    </row>
    <row r="305" spans="1:30" ht="44">
      <c r="A305" s="3" t="s">
        <v>1508</v>
      </c>
      <c r="B305" s="46"/>
      <c r="C305" s="3"/>
      <c r="D305" s="8" t="s">
        <v>1048</v>
      </c>
      <c r="E305" s="8" t="s">
        <v>1048</v>
      </c>
      <c r="F305" s="3"/>
      <c r="G305" s="3" t="s">
        <v>176</v>
      </c>
      <c r="H305" s="13" t="str">
        <f>IFERROR(VLOOKUP(G305, Sheet2!$A:$B, 2, FALSE), A305)</f>
        <v>HOSPITAL AUTHORITY</v>
      </c>
      <c r="I305" s="6" t="s">
        <v>675</v>
      </c>
      <c r="J305" s="109"/>
      <c r="K305" s="79"/>
      <c r="L305" s="99" t="s">
        <v>2053</v>
      </c>
      <c r="M305" s="3" t="s">
        <v>1933</v>
      </c>
      <c r="N305" s="3"/>
      <c r="O305" s="7"/>
      <c r="P305" s="3"/>
      <c r="Q305" s="8">
        <v>44835</v>
      </c>
      <c r="R305" s="8"/>
      <c r="S305" s="8">
        <v>44886</v>
      </c>
      <c r="T305" s="56" t="s">
        <v>2054</v>
      </c>
      <c r="U305" s="11" t="s">
        <v>2055</v>
      </c>
      <c r="V305" s="48" t="s">
        <v>2056</v>
      </c>
      <c r="W305" s="8"/>
      <c r="X305" s="11"/>
      <c r="Y305" s="95" t="s">
        <v>1931</v>
      </c>
      <c r="Z305" s="70" t="s">
        <v>425</v>
      </c>
      <c r="AA305" s="4" t="s">
        <v>930</v>
      </c>
      <c r="AB305" s="3"/>
      <c r="AC305" s="3"/>
      <c r="AD305" s="3"/>
    </row>
    <row r="306" spans="1:30" ht="43.5">
      <c r="A306" s="5" t="s">
        <v>1508</v>
      </c>
      <c r="B306" s="46"/>
      <c r="C306" s="3"/>
      <c r="D306" s="8" t="s">
        <v>1048</v>
      </c>
      <c r="E306" s="8" t="s">
        <v>1048</v>
      </c>
      <c r="F306" s="3"/>
      <c r="G306" s="5" t="s">
        <v>176</v>
      </c>
      <c r="H306" s="13" t="str">
        <f>IFERROR(VLOOKUP(G306, Sheet2!$A:$B, 2, FALSE), A306)</f>
        <v>HOSPITAL AUTHORITY</v>
      </c>
      <c r="I306" s="6" t="s">
        <v>675</v>
      </c>
      <c r="J306" s="109"/>
      <c r="K306" s="79"/>
      <c r="L306" s="99" t="s">
        <v>2057</v>
      </c>
      <c r="M306" s="3" t="s">
        <v>1933</v>
      </c>
      <c r="N306" s="3"/>
      <c r="O306" s="7"/>
      <c r="P306" s="3"/>
      <c r="Q306" s="4">
        <v>44835</v>
      </c>
      <c r="R306" s="8"/>
      <c r="S306" s="4">
        <v>44886</v>
      </c>
      <c r="T306" s="56" t="s">
        <v>2058</v>
      </c>
      <c r="U306" s="11" t="s">
        <v>2059</v>
      </c>
      <c r="V306" s="48" t="s">
        <v>2060</v>
      </c>
      <c r="W306" s="4"/>
      <c r="X306" s="11"/>
      <c r="Y306" s="15" t="s">
        <v>1931</v>
      </c>
      <c r="Z306" s="70" t="s">
        <v>425</v>
      </c>
      <c r="AA306" s="4" t="s">
        <v>930</v>
      </c>
      <c r="AB306" s="3"/>
      <c r="AC306" s="3"/>
      <c r="AD306" s="3"/>
    </row>
    <row r="307" spans="1:30" ht="43.5">
      <c r="A307" s="5" t="s">
        <v>1508</v>
      </c>
      <c r="B307" s="46"/>
      <c r="C307" s="3"/>
      <c r="D307" s="8" t="s">
        <v>1048</v>
      </c>
      <c r="E307" s="8" t="s">
        <v>1048</v>
      </c>
      <c r="F307" s="3"/>
      <c r="G307" s="5" t="s">
        <v>176</v>
      </c>
      <c r="H307" s="13" t="str">
        <f>IFERROR(VLOOKUP(G307, Sheet2!$A:$B, 2, FALSE), A307)</f>
        <v>HOSPITAL AUTHORITY</v>
      </c>
      <c r="I307" s="6" t="s">
        <v>675</v>
      </c>
      <c r="J307" s="109"/>
      <c r="K307" s="79"/>
      <c r="L307" s="99" t="s">
        <v>2061</v>
      </c>
      <c r="M307" s="3" t="s">
        <v>1933</v>
      </c>
      <c r="N307" s="3"/>
      <c r="O307" s="7"/>
      <c r="P307" s="3"/>
      <c r="Q307" s="4">
        <v>44835</v>
      </c>
      <c r="R307" s="8"/>
      <c r="S307" s="4">
        <v>44886</v>
      </c>
      <c r="T307" s="56" t="s">
        <v>2062</v>
      </c>
      <c r="U307" s="11" t="s">
        <v>2063</v>
      </c>
      <c r="V307" s="48" t="s">
        <v>2064</v>
      </c>
      <c r="W307" s="4"/>
      <c r="X307" s="11"/>
      <c r="Y307" s="15" t="s">
        <v>1931</v>
      </c>
      <c r="Z307" s="70" t="s">
        <v>425</v>
      </c>
      <c r="AA307" s="4" t="s">
        <v>930</v>
      </c>
      <c r="AB307" s="3"/>
      <c r="AC307" s="3"/>
      <c r="AD307" s="3"/>
    </row>
    <row r="308" spans="1:30" ht="43.5">
      <c r="A308" s="5" t="s">
        <v>1508</v>
      </c>
      <c r="B308" s="46"/>
      <c r="C308" s="3"/>
      <c r="D308" s="8" t="s">
        <v>1048</v>
      </c>
      <c r="E308" s="8" t="s">
        <v>1048</v>
      </c>
      <c r="F308" s="3"/>
      <c r="G308" s="5" t="s">
        <v>176</v>
      </c>
      <c r="H308" s="13" t="str">
        <f>IFERROR(VLOOKUP(G308, Sheet2!$A:$B, 2, FALSE), A308)</f>
        <v>HOSPITAL AUTHORITY</v>
      </c>
      <c r="I308" s="6" t="s">
        <v>675</v>
      </c>
      <c r="J308" s="109"/>
      <c r="K308" s="79"/>
      <c r="L308" s="99" t="s">
        <v>2065</v>
      </c>
      <c r="M308" s="3" t="s">
        <v>1933</v>
      </c>
      <c r="N308" s="3"/>
      <c r="O308" s="7"/>
      <c r="P308" s="3"/>
      <c r="Q308" s="4">
        <v>44835</v>
      </c>
      <c r="R308" s="8"/>
      <c r="S308" s="4">
        <v>44886</v>
      </c>
      <c r="T308" s="56" t="s">
        <v>2066</v>
      </c>
      <c r="U308" s="11" t="s">
        <v>2067</v>
      </c>
      <c r="V308" s="48" t="s">
        <v>2068</v>
      </c>
      <c r="W308" s="4"/>
      <c r="X308" s="11"/>
      <c r="Y308" s="15" t="s">
        <v>1931</v>
      </c>
      <c r="Z308" s="70" t="s">
        <v>425</v>
      </c>
      <c r="AA308" s="4" t="s">
        <v>930</v>
      </c>
      <c r="AB308" s="3"/>
      <c r="AC308" s="3"/>
      <c r="AD308" s="3"/>
    </row>
    <row r="309" spans="1:30" ht="43.5">
      <c r="A309" s="5" t="s">
        <v>1508</v>
      </c>
      <c r="B309" s="46"/>
      <c r="C309" s="3"/>
      <c r="D309" s="8" t="s">
        <v>1048</v>
      </c>
      <c r="E309" s="8" t="s">
        <v>1048</v>
      </c>
      <c r="F309" s="3"/>
      <c r="G309" s="5" t="s">
        <v>176</v>
      </c>
      <c r="H309" s="13" t="str">
        <f>IFERROR(VLOOKUP(G309, Sheet2!$A:$B, 2, FALSE), A309)</f>
        <v>HOSPITAL AUTHORITY</v>
      </c>
      <c r="I309" s="6" t="s">
        <v>675</v>
      </c>
      <c r="J309" s="109"/>
      <c r="K309" s="79"/>
      <c r="L309" s="99" t="s">
        <v>2069</v>
      </c>
      <c r="M309" s="3" t="s">
        <v>1933</v>
      </c>
      <c r="N309" s="3"/>
      <c r="O309" s="7"/>
      <c r="P309" s="3"/>
      <c r="Q309" s="4">
        <v>44835</v>
      </c>
      <c r="R309" s="8"/>
      <c r="S309" s="4">
        <v>44886</v>
      </c>
      <c r="T309" s="56" t="s">
        <v>2070</v>
      </c>
      <c r="U309" s="11" t="s">
        <v>2071</v>
      </c>
      <c r="V309" s="48" t="s">
        <v>2072</v>
      </c>
      <c r="W309" s="4"/>
      <c r="X309" s="11"/>
      <c r="Y309" s="15" t="s">
        <v>1931</v>
      </c>
      <c r="Z309" s="70" t="s">
        <v>425</v>
      </c>
      <c r="AA309" s="4" t="s">
        <v>930</v>
      </c>
      <c r="AB309" s="3"/>
      <c r="AC309" s="3"/>
      <c r="AD309" s="3"/>
    </row>
    <row r="310" spans="1:30" ht="43.5">
      <c r="A310" s="5" t="s">
        <v>1508</v>
      </c>
      <c r="B310" s="46"/>
      <c r="C310" s="3"/>
      <c r="D310" s="8" t="s">
        <v>1048</v>
      </c>
      <c r="E310" s="8" t="s">
        <v>1048</v>
      </c>
      <c r="F310" s="3"/>
      <c r="G310" s="5" t="s">
        <v>176</v>
      </c>
      <c r="H310" s="13" t="str">
        <f>IFERROR(VLOOKUP(G310, Sheet2!$A:$B, 2, FALSE), A310)</f>
        <v>HOSPITAL AUTHORITY</v>
      </c>
      <c r="I310" s="6" t="s">
        <v>675</v>
      </c>
      <c r="J310" s="109"/>
      <c r="K310" s="79"/>
      <c r="L310" s="99" t="s">
        <v>2073</v>
      </c>
      <c r="M310" s="3" t="s">
        <v>1933</v>
      </c>
      <c r="N310" s="3"/>
      <c r="O310" s="7"/>
      <c r="P310" s="3"/>
      <c r="Q310" s="4">
        <v>44835</v>
      </c>
      <c r="R310" s="8"/>
      <c r="S310" s="4">
        <v>44886</v>
      </c>
      <c r="T310" s="56" t="s">
        <v>2074</v>
      </c>
      <c r="U310" s="11" t="s">
        <v>2075</v>
      </c>
      <c r="V310" s="48" t="s">
        <v>2076</v>
      </c>
      <c r="W310" s="4"/>
      <c r="X310" s="11"/>
      <c r="Y310" s="15" t="s">
        <v>1931</v>
      </c>
      <c r="Z310" s="70" t="s">
        <v>425</v>
      </c>
      <c r="AA310" s="4" t="s">
        <v>930</v>
      </c>
      <c r="AB310" s="3"/>
      <c r="AC310" s="3"/>
      <c r="AD310" s="3"/>
    </row>
    <row r="311" spans="1:30" ht="43.5">
      <c r="A311" s="5" t="s">
        <v>1508</v>
      </c>
      <c r="B311" s="46"/>
      <c r="C311" s="3"/>
      <c r="D311" s="8" t="s">
        <v>1048</v>
      </c>
      <c r="E311" s="8" t="s">
        <v>1048</v>
      </c>
      <c r="F311" s="3"/>
      <c r="G311" s="5" t="s">
        <v>176</v>
      </c>
      <c r="H311" s="13" t="str">
        <f>IFERROR(VLOOKUP(G311, Sheet2!$A:$B, 2, FALSE), A311)</f>
        <v>HOSPITAL AUTHORITY</v>
      </c>
      <c r="I311" s="6" t="s">
        <v>675</v>
      </c>
      <c r="J311" s="109"/>
      <c r="K311" s="79"/>
      <c r="L311" s="99" t="s">
        <v>2077</v>
      </c>
      <c r="M311" s="3" t="s">
        <v>1933</v>
      </c>
      <c r="N311" s="3"/>
      <c r="O311" s="7"/>
      <c r="P311" s="3"/>
      <c r="Q311" s="4">
        <v>44835</v>
      </c>
      <c r="R311" s="8"/>
      <c r="S311" s="4">
        <v>44886</v>
      </c>
      <c r="T311" s="56" t="s">
        <v>2078</v>
      </c>
      <c r="U311" s="11" t="s">
        <v>2079</v>
      </c>
      <c r="V311" s="48" t="s">
        <v>2080</v>
      </c>
      <c r="W311" s="4"/>
      <c r="X311" s="11"/>
      <c r="Y311" s="15" t="s">
        <v>1931</v>
      </c>
      <c r="Z311" s="70" t="s">
        <v>425</v>
      </c>
      <c r="AA311" s="4" t="s">
        <v>930</v>
      </c>
      <c r="AB311" s="3"/>
      <c r="AC311" s="3"/>
      <c r="AD311" s="3"/>
    </row>
    <row r="312" spans="1:30" ht="44">
      <c r="A312" s="3" t="s">
        <v>1508</v>
      </c>
      <c r="B312" s="46"/>
      <c r="C312" s="3"/>
      <c r="D312" s="8" t="s">
        <v>1048</v>
      </c>
      <c r="E312" s="8" t="s">
        <v>1048</v>
      </c>
      <c r="F312" s="3"/>
      <c r="G312" s="3" t="s">
        <v>176</v>
      </c>
      <c r="H312" s="13" t="str">
        <f>IFERROR(VLOOKUP(G312, Sheet2!$A:$B, 2, FALSE), A312)</f>
        <v>HOSPITAL AUTHORITY</v>
      </c>
      <c r="I312" s="6" t="s">
        <v>675</v>
      </c>
      <c r="J312" s="109"/>
      <c r="K312" s="79"/>
      <c r="L312" s="99" t="s">
        <v>2081</v>
      </c>
      <c r="M312" s="3" t="s">
        <v>1933</v>
      </c>
      <c r="N312" s="3"/>
      <c r="O312" s="7"/>
      <c r="P312" s="3"/>
      <c r="Q312" s="8">
        <v>44835</v>
      </c>
      <c r="R312" s="8"/>
      <c r="S312" s="8">
        <v>44886</v>
      </c>
      <c r="T312" s="11" t="s">
        <v>2082</v>
      </c>
      <c r="U312" s="11" t="s">
        <v>2083</v>
      </c>
      <c r="V312" s="48" t="s">
        <v>2084</v>
      </c>
      <c r="W312" s="8"/>
      <c r="X312" s="11"/>
      <c r="Y312" s="95" t="s">
        <v>1931</v>
      </c>
      <c r="Z312" s="70" t="s">
        <v>425</v>
      </c>
      <c r="AA312" s="4" t="s">
        <v>930</v>
      </c>
      <c r="AB312" s="3"/>
      <c r="AC312" s="3"/>
      <c r="AD312" s="3"/>
    </row>
    <row r="313" spans="1:30" ht="44">
      <c r="A313" s="5" t="s">
        <v>1508</v>
      </c>
      <c r="B313" s="46"/>
      <c r="C313" s="3"/>
      <c r="D313" s="8" t="s">
        <v>1048</v>
      </c>
      <c r="E313" s="8" t="s">
        <v>1048</v>
      </c>
      <c r="F313" s="3"/>
      <c r="G313" s="5" t="s">
        <v>176</v>
      </c>
      <c r="H313" s="13" t="str">
        <f>IFERROR(VLOOKUP(G313, Sheet2!$A:$B, 2, FALSE), A313)</f>
        <v>HOSPITAL AUTHORITY</v>
      </c>
      <c r="I313" s="6" t="s">
        <v>675</v>
      </c>
      <c r="J313" s="109"/>
      <c r="K313" s="79"/>
      <c r="L313" s="99" t="s">
        <v>2085</v>
      </c>
      <c r="M313" s="3" t="s">
        <v>1933</v>
      </c>
      <c r="N313" s="3"/>
      <c r="O313" s="7"/>
      <c r="P313" s="3"/>
      <c r="Q313" s="4">
        <v>44835</v>
      </c>
      <c r="R313" s="8"/>
      <c r="S313" s="4">
        <v>44886</v>
      </c>
      <c r="T313" s="240" t="s">
        <v>2086</v>
      </c>
      <c r="U313" s="11" t="s">
        <v>2087</v>
      </c>
      <c r="V313" s="48" t="s">
        <v>2088</v>
      </c>
      <c r="W313" s="4"/>
      <c r="X313" s="11"/>
      <c r="Y313" s="95" t="s">
        <v>1931</v>
      </c>
      <c r="Z313" s="70" t="s">
        <v>425</v>
      </c>
      <c r="AA313" s="4" t="s">
        <v>930</v>
      </c>
      <c r="AB313" s="3"/>
      <c r="AC313" s="3"/>
      <c r="AD313" s="3"/>
    </row>
    <row r="314" spans="1:30" ht="44">
      <c r="A314" s="5" t="s">
        <v>1508</v>
      </c>
      <c r="B314" s="46"/>
      <c r="C314" s="3"/>
      <c r="D314" s="8" t="s">
        <v>1048</v>
      </c>
      <c r="E314" s="8" t="s">
        <v>1048</v>
      </c>
      <c r="F314" s="3"/>
      <c r="G314" s="5" t="s">
        <v>176</v>
      </c>
      <c r="H314" s="13" t="str">
        <f>IFERROR(VLOOKUP(G314, Sheet2!$A:$B, 2, FALSE), A314)</f>
        <v>HOSPITAL AUTHORITY</v>
      </c>
      <c r="I314" s="6" t="s">
        <v>675</v>
      </c>
      <c r="J314" s="109"/>
      <c r="K314" s="79"/>
      <c r="L314" s="99" t="s">
        <v>2089</v>
      </c>
      <c r="M314" s="3" t="s">
        <v>1933</v>
      </c>
      <c r="N314" s="3"/>
      <c r="O314" s="7"/>
      <c r="P314" s="3"/>
      <c r="Q314" s="4">
        <v>44835</v>
      </c>
      <c r="R314" s="8"/>
      <c r="S314" s="4">
        <v>44886</v>
      </c>
      <c r="T314" s="240" t="s">
        <v>2090</v>
      </c>
      <c r="U314" s="11" t="s">
        <v>2091</v>
      </c>
      <c r="V314" s="48" t="s">
        <v>2092</v>
      </c>
      <c r="W314" s="4"/>
      <c r="X314" s="11"/>
      <c r="Y314" s="95" t="s">
        <v>1931</v>
      </c>
      <c r="Z314" s="70" t="s">
        <v>425</v>
      </c>
      <c r="AA314" s="4" t="s">
        <v>930</v>
      </c>
      <c r="AB314" s="3"/>
      <c r="AC314" s="3"/>
      <c r="AD314" s="3"/>
    </row>
    <row r="315" spans="1:30" ht="44">
      <c r="A315" s="5" t="s">
        <v>1508</v>
      </c>
      <c r="B315" s="46"/>
      <c r="C315" s="3"/>
      <c r="D315" s="8" t="s">
        <v>1048</v>
      </c>
      <c r="E315" s="8" t="s">
        <v>1048</v>
      </c>
      <c r="F315" s="3"/>
      <c r="G315" s="5" t="s">
        <v>176</v>
      </c>
      <c r="H315" s="13" t="str">
        <f>IFERROR(VLOOKUP(G315, Sheet2!$A:$B, 2, FALSE), A315)</f>
        <v>HOSPITAL AUTHORITY</v>
      </c>
      <c r="I315" s="6" t="s">
        <v>675</v>
      </c>
      <c r="J315" s="109"/>
      <c r="K315" s="79"/>
      <c r="L315" s="99" t="s">
        <v>2093</v>
      </c>
      <c r="M315" s="3" t="s">
        <v>1933</v>
      </c>
      <c r="N315" s="3"/>
      <c r="O315" s="7"/>
      <c r="P315" s="3"/>
      <c r="Q315" s="4">
        <v>44835</v>
      </c>
      <c r="R315" s="8"/>
      <c r="S315" s="4">
        <v>44886</v>
      </c>
      <c r="T315" s="240" t="s">
        <v>2094</v>
      </c>
      <c r="U315" s="11" t="s">
        <v>2095</v>
      </c>
      <c r="V315" s="48" t="s">
        <v>2096</v>
      </c>
      <c r="W315" s="4"/>
      <c r="X315" s="11"/>
      <c r="Y315" s="95" t="s">
        <v>1931</v>
      </c>
      <c r="Z315" s="70" t="s">
        <v>425</v>
      </c>
      <c r="AA315" s="4" t="s">
        <v>930</v>
      </c>
      <c r="AB315" s="3"/>
      <c r="AC315" s="3"/>
      <c r="AD315" s="3"/>
    </row>
    <row r="316" spans="1:30" ht="72.5">
      <c r="A316" s="8" t="s">
        <v>1508</v>
      </c>
      <c r="B316" s="46"/>
      <c r="C316" s="3"/>
      <c r="D316" s="8" t="s">
        <v>1048</v>
      </c>
      <c r="E316" s="8" t="s">
        <v>1048</v>
      </c>
      <c r="F316" s="3"/>
      <c r="G316" s="5" t="s">
        <v>176</v>
      </c>
      <c r="H316" s="13" t="str">
        <f>IFERROR(VLOOKUP(G316, Sheet2!$A:$B, 2, FALSE), A316)</f>
        <v>HOSPITAL AUTHORITY</v>
      </c>
      <c r="I316" s="6" t="s">
        <v>675</v>
      </c>
      <c r="J316" s="109"/>
      <c r="K316" s="48"/>
      <c r="L316" s="7"/>
      <c r="M316" s="11" t="s">
        <v>2097</v>
      </c>
      <c r="N316" s="11"/>
      <c r="O316" s="7"/>
      <c r="P316" s="11"/>
      <c r="Q316" s="8">
        <v>44889</v>
      </c>
      <c r="R316" s="8"/>
      <c r="S316" s="8">
        <v>44890</v>
      </c>
      <c r="T316" s="8" t="s">
        <v>2098</v>
      </c>
      <c r="U316" s="8" t="s">
        <v>2099</v>
      </c>
      <c r="V316" s="19" t="s">
        <v>2100</v>
      </c>
      <c r="W316" s="8"/>
      <c r="X316" s="8"/>
      <c r="Y316" s="7" t="s">
        <v>2101</v>
      </c>
      <c r="Z316" s="53" t="s">
        <v>365</v>
      </c>
      <c r="AA316" s="8" t="s">
        <v>1048</v>
      </c>
      <c r="AB316" s="8"/>
      <c r="AC316" s="8"/>
      <c r="AD316" s="3"/>
    </row>
    <row r="317" spans="1:30" ht="72.5">
      <c r="A317" s="8" t="s">
        <v>1508</v>
      </c>
      <c r="B317" s="46"/>
      <c r="C317" s="3"/>
      <c r="D317" s="8" t="s">
        <v>1048</v>
      </c>
      <c r="E317" s="8" t="s">
        <v>1048</v>
      </c>
      <c r="F317" s="3"/>
      <c r="G317" s="8" t="s">
        <v>176</v>
      </c>
      <c r="H317" s="13" t="str">
        <f>IFERROR(VLOOKUP(G317, Sheet2!$A:$B, 2, FALSE), A317)</f>
        <v>HOSPITAL AUTHORITY</v>
      </c>
      <c r="I317" s="6" t="s">
        <v>675</v>
      </c>
      <c r="J317" s="48"/>
      <c r="K317" s="48"/>
      <c r="L317" s="7"/>
      <c r="M317" s="11" t="s">
        <v>2102</v>
      </c>
      <c r="N317" s="11"/>
      <c r="O317" s="7"/>
      <c r="P317" s="11"/>
      <c r="Q317" s="8">
        <v>44889</v>
      </c>
      <c r="R317" s="8"/>
      <c r="S317" s="8">
        <v>44890</v>
      </c>
      <c r="T317" s="8" t="s">
        <v>2103</v>
      </c>
      <c r="U317" s="8" t="s">
        <v>2104</v>
      </c>
      <c r="V317" s="19" t="s">
        <v>2105</v>
      </c>
      <c r="W317" s="8"/>
      <c r="X317" s="8"/>
      <c r="Y317" s="7" t="s">
        <v>2106</v>
      </c>
      <c r="Z317" s="53" t="s">
        <v>365</v>
      </c>
      <c r="AA317" s="8" t="s">
        <v>1048</v>
      </c>
      <c r="AB317" s="3"/>
      <c r="AC317" s="3"/>
      <c r="AD317" s="3"/>
    </row>
    <row r="318" spans="1:30" ht="29">
      <c r="A318" s="3" t="s">
        <v>1508</v>
      </c>
      <c r="B318" s="46"/>
      <c r="C318" s="3"/>
      <c r="D318" s="3" t="s">
        <v>1048</v>
      </c>
      <c r="E318" s="6" t="s">
        <v>1048</v>
      </c>
      <c r="F318" s="47"/>
      <c r="G318" s="8" t="s">
        <v>176</v>
      </c>
      <c r="H318" s="13" t="str">
        <f>IFERROR(VLOOKUP(G318, Sheet2!$A:$B, 2, FALSE), A318)</f>
        <v>HOSPITAL AUTHORITY</v>
      </c>
      <c r="I318" s="6" t="s">
        <v>393</v>
      </c>
      <c r="J318" s="48"/>
      <c r="K318" s="48"/>
      <c r="L318" s="7" t="s">
        <v>2107</v>
      </c>
      <c r="M318" s="11" t="s">
        <v>2108</v>
      </c>
      <c r="N318" s="11"/>
      <c r="O318" s="11"/>
      <c r="P318" s="11"/>
      <c r="Q318" s="8">
        <v>44889</v>
      </c>
      <c r="R318" s="8"/>
      <c r="S318" s="8">
        <v>44890</v>
      </c>
      <c r="T318" s="241" t="s">
        <v>2109</v>
      </c>
      <c r="U318" s="241" t="s">
        <v>2110</v>
      </c>
      <c r="V318" s="242" t="s">
        <v>2111</v>
      </c>
      <c r="W318" s="8"/>
      <c r="X318" s="8"/>
      <c r="Y318" s="11" t="s">
        <v>2112</v>
      </c>
      <c r="Z318" s="53"/>
      <c r="AA318" s="3" t="s">
        <v>1264</v>
      </c>
      <c r="AB318" s="3"/>
      <c r="AC318" s="3"/>
      <c r="AD318" s="3"/>
    </row>
    <row r="319" spans="1:30" ht="29">
      <c r="A319" s="8" t="s">
        <v>1508</v>
      </c>
      <c r="B319" s="46"/>
      <c r="C319" s="3"/>
      <c r="D319" s="3" t="s">
        <v>1048</v>
      </c>
      <c r="E319" s="6" t="s">
        <v>1048</v>
      </c>
      <c r="F319" s="47"/>
      <c r="G319" s="8" t="s">
        <v>176</v>
      </c>
      <c r="H319" s="13" t="str">
        <f>IFERROR(VLOOKUP(G319, Sheet2!$A:$B, 2, FALSE), A319)</f>
        <v>HOSPITAL AUTHORITY</v>
      </c>
      <c r="I319" s="6" t="s">
        <v>393</v>
      </c>
      <c r="J319" s="48"/>
      <c r="K319" s="48"/>
      <c r="L319" s="7" t="s">
        <v>2113</v>
      </c>
      <c r="M319" s="11" t="s">
        <v>2114</v>
      </c>
      <c r="N319" s="11"/>
      <c r="O319" s="7"/>
      <c r="P319" s="11"/>
      <c r="Q319" s="8">
        <v>44889</v>
      </c>
      <c r="R319" s="8"/>
      <c r="S319" s="8">
        <v>44890</v>
      </c>
      <c r="T319" s="243" t="s">
        <v>2115</v>
      </c>
      <c r="U319" s="243" t="s">
        <v>2116</v>
      </c>
      <c r="V319" s="244" t="s">
        <v>2117</v>
      </c>
      <c r="W319" s="8"/>
      <c r="X319" s="8"/>
      <c r="Y319" s="11" t="s">
        <v>2112</v>
      </c>
      <c r="Z319" s="245"/>
      <c r="AA319" s="8" t="s">
        <v>1264</v>
      </c>
      <c r="AB319" s="3"/>
      <c r="AC319" s="3"/>
      <c r="AD319" s="3"/>
    </row>
    <row r="320" spans="1:30" ht="29">
      <c r="A320" s="8" t="s">
        <v>1508</v>
      </c>
      <c r="B320" s="46"/>
      <c r="C320" s="3"/>
      <c r="D320" s="3" t="s">
        <v>1048</v>
      </c>
      <c r="E320" s="6" t="s">
        <v>1048</v>
      </c>
      <c r="F320" s="47"/>
      <c r="G320" s="8" t="s">
        <v>176</v>
      </c>
      <c r="H320" s="13" t="str">
        <f>IFERROR(VLOOKUP(G320, Sheet2!$A:$B, 2, FALSE), A320)</f>
        <v>HOSPITAL AUTHORITY</v>
      </c>
      <c r="I320" s="6" t="s">
        <v>393</v>
      </c>
      <c r="J320" s="48"/>
      <c r="K320" s="48"/>
      <c r="L320" s="7" t="s">
        <v>2118</v>
      </c>
      <c r="M320" s="11" t="s">
        <v>2119</v>
      </c>
      <c r="N320" s="11"/>
      <c r="O320" s="7"/>
      <c r="P320" s="11"/>
      <c r="Q320" s="8">
        <v>44889</v>
      </c>
      <c r="R320" s="8"/>
      <c r="S320" s="8">
        <v>44890</v>
      </c>
      <c r="T320" s="243" t="s">
        <v>2120</v>
      </c>
      <c r="U320" s="243" t="s">
        <v>2121</v>
      </c>
      <c r="V320" s="244" t="s">
        <v>2122</v>
      </c>
      <c r="W320" s="8"/>
      <c r="X320" s="8"/>
      <c r="Y320" s="11" t="s">
        <v>2112</v>
      </c>
      <c r="Z320" s="53"/>
      <c r="AA320" s="8" t="s">
        <v>1264</v>
      </c>
      <c r="AB320" s="3"/>
      <c r="AC320" s="3"/>
      <c r="AD320" s="3"/>
    </row>
    <row r="321" spans="1:30" ht="29">
      <c r="A321" s="228" t="s">
        <v>1508</v>
      </c>
      <c r="B321" s="229"/>
      <c r="C321" s="228"/>
      <c r="D321" s="228" t="s">
        <v>1048</v>
      </c>
      <c r="E321" s="231" t="s">
        <v>1048</v>
      </c>
      <c r="F321" s="246"/>
      <c r="G321" s="230" t="s">
        <v>176</v>
      </c>
      <c r="H321" s="13" t="str">
        <f>IFERROR(VLOOKUP(G321, Sheet2!$A:$B, 2, FALSE), A321)</f>
        <v>HOSPITAL AUTHORITY</v>
      </c>
      <c r="I321" s="231" t="s">
        <v>352</v>
      </c>
      <c r="J321" s="247" t="s">
        <v>1773</v>
      </c>
      <c r="K321" s="247" t="s">
        <v>2123</v>
      </c>
      <c r="L321" s="248" t="s">
        <v>2124</v>
      </c>
      <c r="M321" s="228"/>
      <c r="N321" s="228"/>
      <c r="O321" s="236"/>
      <c r="P321" s="228"/>
      <c r="Q321" s="230">
        <v>44835</v>
      </c>
      <c r="R321" s="230"/>
      <c r="S321" s="230">
        <v>44890</v>
      </c>
      <c r="T321" s="228" t="s">
        <v>2125</v>
      </c>
      <c r="U321" s="249" t="s">
        <v>2126</v>
      </c>
      <c r="V321" s="237" t="s">
        <v>2127</v>
      </c>
      <c r="W321" s="230"/>
      <c r="X321" s="249"/>
      <c r="Y321" s="250" t="s">
        <v>2128</v>
      </c>
      <c r="Z321" s="251" t="s">
        <v>886</v>
      </c>
      <c r="AA321" s="230"/>
      <c r="AB321" s="228"/>
      <c r="AC321" s="228"/>
      <c r="AD321" s="228"/>
    </row>
    <row r="322" spans="1:30" ht="29">
      <c r="A322" s="228" t="s">
        <v>1508</v>
      </c>
      <c r="B322" s="229"/>
      <c r="C322" s="228"/>
      <c r="D322" s="228" t="s">
        <v>1048</v>
      </c>
      <c r="E322" s="231" t="s">
        <v>1048</v>
      </c>
      <c r="F322" s="246"/>
      <c r="G322" s="230" t="s">
        <v>176</v>
      </c>
      <c r="H322" s="13" t="str">
        <f>IFERROR(VLOOKUP(G322, Sheet2!$A:$B, 2, FALSE), A322)</f>
        <v>HOSPITAL AUTHORITY</v>
      </c>
      <c r="I322" s="231" t="s">
        <v>393</v>
      </c>
      <c r="J322" s="252" t="s">
        <v>1778</v>
      </c>
      <c r="K322" s="252" t="s">
        <v>2129</v>
      </c>
      <c r="L322" s="253" t="s">
        <v>2130</v>
      </c>
      <c r="M322" s="228"/>
      <c r="N322" s="228"/>
      <c r="O322" s="236"/>
      <c r="P322" s="228"/>
      <c r="Q322" s="230">
        <v>44835</v>
      </c>
      <c r="R322" s="230"/>
      <c r="S322" s="230">
        <v>44890</v>
      </c>
      <c r="T322" s="254" t="s">
        <v>2131</v>
      </c>
      <c r="U322" s="255" t="s">
        <v>2132</v>
      </c>
      <c r="V322" s="237" t="s">
        <v>2133</v>
      </c>
      <c r="W322" s="230"/>
      <c r="X322" s="255"/>
      <c r="Y322" s="256" t="s">
        <v>2134</v>
      </c>
      <c r="Z322" s="251" t="s">
        <v>886</v>
      </c>
      <c r="AA322" s="230"/>
      <c r="AB322" s="228"/>
      <c r="AC322" s="228"/>
      <c r="AD322" s="228"/>
    </row>
    <row r="323" spans="1:30" ht="43.5">
      <c r="A323" s="3" t="s">
        <v>1508</v>
      </c>
      <c r="B323" s="46"/>
      <c r="C323" s="3"/>
      <c r="D323" s="3" t="s">
        <v>1048</v>
      </c>
      <c r="E323" s="6" t="s">
        <v>1048</v>
      </c>
      <c r="F323" s="47"/>
      <c r="G323" s="8" t="s">
        <v>176</v>
      </c>
      <c r="H323" s="13" t="str">
        <f>IFERROR(VLOOKUP(G323, Sheet2!$A:$B, 2, FALSE), A323)</f>
        <v>HOSPITAL AUTHORITY</v>
      </c>
      <c r="I323" s="6" t="s">
        <v>675</v>
      </c>
      <c r="J323" s="75"/>
      <c r="K323" s="75"/>
      <c r="L323" s="72"/>
      <c r="M323" s="3"/>
      <c r="N323" s="3"/>
      <c r="O323" s="90"/>
      <c r="P323" s="3"/>
      <c r="Q323" s="8">
        <v>44835</v>
      </c>
      <c r="R323" s="8"/>
      <c r="S323" s="8">
        <v>44890</v>
      </c>
      <c r="T323" s="3" t="s">
        <v>2135</v>
      </c>
      <c r="U323" s="49" t="s">
        <v>2136</v>
      </c>
      <c r="V323" s="19" t="s">
        <v>2137</v>
      </c>
      <c r="W323" s="8"/>
      <c r="X323" s="49"/>
      <c r="Y323" s="111" t="s">
        <v>2138</v>
      </c>
      <c r="Z323" s="50" t="s">
        <v>886</v>
      </c>
      <c r="AA323" s="49"/>
      <c r="AB323" s="3"/>
      <c r="AC323" s="3"/>
      <c r="AD323" s="3"/>
    </row>
    <row r="324" spans="1:30" ht="73">
      <c r="A324" s="3" t="s">
        <v>2139</v>
      </c>
      <c r="B324" s="46"/>
      <c r="C324" s="3"/>
      <c r="D324" s="8" t="s">
        <v>2140</v>
      </c>
      <c r="E324" s="6" t="s">
        <v>2141</v>
      </c>
      <c r="F324" s="47"/>
      <c r="G324" s="3" t="s">
        <v>44</v>
      </c>
      <c r="H324" s="13" t="str">
        <f>IFERROR(VLOOKUP(G324, Sheet2!$A:$B, 2, FALSE), A324)</f>
        <v>CHOW TAI FOOK JEWELLERY CO LTD</v>
      </c>
      <c r="I324" s="6" t="s">
        <v>352</v>
      </c>
      <c r="J324" s="48"/>
      <c r="K324" s="48"/>
      <c r="L324" s="9"/>
      <c r="M324" s="15" t="s">
        <v>2142</v>
      </c>
      <c r="N324" s="11"/>
      <c r="O324" s="7"/>
      <c r="P324" s="11"/>
      <c r="Q324" s="8">
        <v>44915</v>
      </c>
      <c r="R324" s="8"/>
      <c r="S324" s="8">
        <v>44911</v>
      </c>
      <c r="T324" s="73" t="s">
        <v>2143</v>
      </c>
      <c r="U324" s="73" t="s">
        <v>2144</v>
      </c>
      <c r="V324" s="19">
        <v>103327</v>
      </c>
      <c r="W324" s="8"/>
      <c r="X324" s="73"/>
      <c r="Y324" s="15" t="s">
        <v>2145</v>
      </c>
      <c r="Z324" s="53" t="s">
        <v>489</v>
      </c>
      <c r="AA324" s="8" t="s">
        <v>781</v>
      </c>
      <c r="AB324" s="3"/>
      <c r="AC324" s="3"/>
      <c r="AD324" s="3"/>
    </row>
    <row r="325" spans="1:30" ht="73">
      <c r="A325" s="3" t="s">
        <v>2139</v>
      </c>
      <c r="B325" s="46"/>
      <c r="C325" s="3"/>
      <c r="D325" s="3" t="s">
        <v>2140</v>
      </c>
      <c r="E325" s="8" t="s">
        <v>2141</v>
      </c>
      <c r="F325" s="3"/>
      <c r="G325" s="3" t="s">
        <v>44</v>
      </c>
      <c r="H325" s="13" t="str">
        <f>IFERROR(VLOOKUP(G325, Sheet2!$A:$B, 2, FALSE), A325)</f>
        <v>CHOW TAI FOOK JEWELLERY CO LTD</v>
      </c>
      <c r="I325" s="6" t="s">
        <v>352</v>
      </c>
      <c r="J325" s="48"/>
      <c r="K325" s="48"/>
      <c r="L325" s="9"/>
      <c r="M325" s="11" t="s">
        <v>2146</v>
      </c>
      <c r="N325" s="11"/>
      <c r="O325" s="7"/>
      <c r="P325" s="11"/>
      <c r="Q325" s="8">
        <v>44915</v>
      </c>
      <c r="R325" s="8"/>
      <c r="S325" s="8">
        <v>44911</v>
      </c>
      <c r="T325" s="49" t="s">
        <v>2147</v>
      </c>
      <c r="U325" s="49" t="s">
        <v>2148</v>
      </c>
      <c r="V325" s="19" t="s">
        <v>2149</v>
      </c>
      <c r="W325" s="8"/>
      <c r="X325" s="49"/>
      <c r="Y325" s="15" t="s">
        <v>2145</v>
      </c>
      <c r="Z325" s="53" t="s">
        <v>489</v>
      </c>
      <c r="AA325" s="8" t="s">
        <v>781</v>
      </c>
      <c r="AB325" s="3"/>
      <c r="AC325" s="3"/>
      <c r="AD325" s="3"/>
    </row>
    <row r="326" spans="1:30" ht="73">
      <c r="A326" s="3" t="s">
        <v>2139</v>
      </c>
      <c r="B326" s="46"/>
      <c r="C326" s="3"/>
      <c r="D326" s="3" t="s">
        <v>2140</v>
      </c>
      <c r="E326" s="8" t="s">
        <v>2141</v>
      </c>
      <c r="F326" s="3"/>
      <c r="G326" s="3" t="s">
        <v>44</v>
      </c>
      <c r="H326" s="13" t="str">
        <f>IFERROR(VLOOKUP(G326, Sheet2!$A:$B, 2, FALSE), A326)</f>
        <v>CHOW TAI FOOK JEWELLERY CO LTD</v>
      </c>
      <c r="I326" s="6" t="s">
        <v>352</v>
      </c>
      <c r="J326" s="48"/>
      <c r="K326" s="48"/>
      <c r="L326" s="9"/>
      <c r="M326" s="11" t="s">
        <v>2150</v>
      </c>
      <c r="N326" s="11"/>
      <c r="O326" s="7"/>
      <c r="P326" s="11"/>
      <c r="Q326" s="8">
        <v>44915</v>
      </c>
      <c r="R326" s="8"/>
      <c r="S326" s="8">
        <v>44911</v>
      </c>
      <c r="T326" s="49" t="s">
        <v>2151</v>
      </c>
      <c r="U326" s="49" t="s">
        <v>2152</v>
      </c>
      <c r="V326" s="19" t="s">
        <v>2153</v>
      </c>
      <c r="W326" s="8"/>
      <c r="X326" s="49"/>
      <c r="Y326" s="15" t="s">
        <v>2145</v>
      </c>
      <c r="Z326" s="53" t="s">
        <v>489</v>
      </c>
      <c r="AA326" s="8" t="s">
        <v>781</v>
      </c>
      <c r="AB326" s="3"/>
      <c r="AC326" s="3"/>
      <c r="AD326" s="3"/>
    </row>
    <row r="327" spans="1:30" ht="73">
      <c r="A327" s="3" t="s">
        <v>2139</v>
      </c>
      <c r="B327" s="46"/>
      <c r="C327" s="3"/>
      <c r="D327" s="8" t="s">
        <v>2140</v>
      </c>
      <c r="E327" s="6" t="s">
        <v>2141</v>
      </c>
      <c r="F327" s="47"/>
      <c r="G327" s="3" t="s">
        <v>44</v>
      </c>
      <c r="H327" s="13" t="str">
        <f>IFERROR(VLOOKUP(G327, Sheet2!$A:$B, 2, FALSE), A327)</f>
        <v>CHOW TAI FOOK JEWELLERY CO LTD</v>
      </c>
      <c r="I327" s="6" t="s">
        <v>352</v>
      </c>
      <c r="J327" s="48"/>
      <c r="K327" s="48"/>
      <c r="L327" s="9"/>
      <c r="M327" s="11" t="s">
        <v>2154</v>
      </c>
      <c r="N327" s="11"/>
      <c r="O327" s="7"/>
      <c r="P327" s="11"/>
      <c r="Q327" s="8">
        <v>44915</v>
      </c>
      <c r="R327" s="8"/>
      <c r="S327" s="8">
        <v>44911</v>
      </c>
      <c r="T327" s="73" t="s">
        <v>2155</v>
      </c>
      <c r="U327" s="73" t="s">
        <v>2156</v>
      </c>
      <c r="V327" s="19" t="s">
        <v>2157</v>
      </c>
      <c r="W327" s="8"/>
      <c r="X327" s="73"/>
      <c r="Y327" s="15" t="s">
        <v>2145</v>
      </c>
      <c r="Z327" s="53" t="s">
        <v>489</v>
      </c>
      <c r="AA327" s="8" t="s">
        <v>781</v>
      </c>
      <c r="AB327" s="3"/>
      <c r="AC327" s="3"/>
      <c r="AD327" s="3"/>
    </row>
    <row r="328" spans="1:30" ht="116.5">
      <c r="A328" s="3" t="s">
        <v>350</v>
      </c>
      <c r="B328" s="46"/>
      <c r="C328" s="3"/>
      <c r="D328" s="8" t="s">
        <v>2140</v>
      </c>
      <c r="E328" s="6" t="s">
        <v>2141</v>
      </c>
      <c r="F328" s="47"/>
      <c r="G328" s="3" t="s">
        <v>44</v>
      </c>
      <c r="H328" s="13" t="str">
        <f>IFERROR(VLOOKUP(G328, Sheet2!$A:$B, 2, FALSE), A328)</f>
        <v>CHOW TAI FOOK JEWELLERY CO LTD</v>
      </c>
      <c r="I328" s="6" t="s">
        <v>352</v>
      </c>
      <c r="J328" s="79"/>
      <c r="K328" s="79"/>
      <c r="L328" s="56"/>
      <c r="M328" s="3"/>
      <c r="N328" s="3"/>
      <c r="O328" s="7"/>
      <c r="P328" s="3"/>
      <c r="Q328" s="8">
        <v>44924</v>
      </c>
      <c r="R328" s="8"/>
      <c r="S328" s="8">
        <v>45028</v>
      </c>
      <c r="T328" s="73" t="s">
        <v>2143</v>
      </c>
      <c r="U328" s="8" t="s">
        <v>2158</v>
      </c>
      <c r="V328" s="19">
        <v>103327</v>
      </c>
      <c r="W328" s="8"/>
      <c r="X328" s="8"/>
      <c r="Y328" s="95" t="s">
        <v>2159</v>
      </c>
      <c r="Z328" s="53" t="s">
        <v>489</v>
      </c>
      <c r="AA328" s="8" t="s">
        <v>930</v>
      </c>
      <c r="AB328" s="3"/>
      <c r="AC328" s="3" t="s">
        <v>1369</v>
      </c>
      <c r="AD328" s="3"/>
    </row>
    <row r="329" spans="1:30" ht="29">
      <c r="A329" s="8" t="s">
        <v>1508</v>
      </c>
      <c r="B329" s="46"/>
      <c r="C329" s="3"/>
      <c r="D329" s="8" t="s">
        <v>2160</v>
      </c>
      <c r="E329" s="6">
        <v>25793000</v>
      </c>
      <c r="F329" s="74" t="s">
        <v>2161</v>
      </c>
      <c r="G329" s="8" t="s">
        <v>2162</v>
      </c>
      <c r="H329" s="13" t="str">
        <f>IFERROR(VLOOKUP(G329, Sheet2!$A:$B, 2, FALSE), A329)</f>
        <v>JARDINE MATHESON LIMITED</v>
      </c>
      <c r="I329" s="6" t="s">
        <v>352</v>
      </c>
      <c r="J329" s="48"/>
      <c r="K329" s="48"/>
      <c r="L329" s="9"/>
      <c r="M329" s="3"/>
      <c r="N329" s="3"/>
      <c r="O329" s="7"/>
      <c r="P329" s="3"/>
      <c r="Q329" s="8">
        <v>44923</v>
      </c>
      <c r="R329" s="8"/>
      <c r="S329" s="8">
        <v>44923</v>
      </c>
      <c r="T329" s="8" t="s">
        <v>2163</v>
      </c>
      <c r="U329" s="8" t="s">
        <v>2164</v>
      </c>
      <c r="V329" s="19" t="s">
        <v>2165</v>
      </c>
      <c r="W329" s="8"/>
      <c r="X329" s="8"/>
      <c r="Y329" s="9" t="s">
        <v>2166</v>
      </c>
      <c r="Z329" s="53" t="s">
        <v>365</v>
      </c>
      <c r="AA329" s="8" t="s">
        <v>1264</v>
      </c>
      <c r="AB329" s="3"/>
      <c r="AC329" s="3"/>
      <c r="AD329" s="3"/>
    </row>
    <row r="330" spans="1:30" ht="74">
      <c r="A330" s="13" t="s">
        <v>1508</v>
      </c>
      <c r="B330" s="46"/>
      <c r="C330" s="3"/>
      <c r="D330" s="86" t="s">
        <v>2167</v>
      </c>
      <c r="E330" s="141" t="s">
        <v>2168</v>
      </c>
      <c r="G330" s="13" t="s">
        <v>175</v>
      </c>
      <c r="H330" s="13" t="str">
        <f>IFERROR(VLOOKUP(G330, Sheet2!$A:$B, 2, FALSE), A330)</f>
        <v>HOSPITAL AUTHORITY</v>
      </c>
      <c r="I330" s="6" t="s">
        <v>352</v>
      </c>
      <c r="J330" s="75"/>
      <c r="K330" s="257" t="s">
        <v>1921</v>
      </c>
      <c r="L330" s="258" t="s">
        <v>2169</v>
      </c>
      <c r="M330" s="86" t="s">
        <v>2170</v>
      </c>
      <c r="N330" s="86"/>
      <c r="O330" s="90" t="s">
        <v>2171</v>
      </c>
      <c r="P330" s="86"/>
      <c r="Q330" s="8">
        <v>44929</v>
      </c>
      <c r="R330" s="8"/>
      <c r="S330" s="49">
        <v>44977</v>
      </c>
      <c r="T330" s="5" t="s">
        <v>2172</v>
      </c>
      <c r="U330" s="49" t="s">
        <v>2173</v>
      </c>
      <c r="V330" s="19" t="s">
        <v>2174</v>
      </c>
      <c r="W330" s="49"/>
      <c r="X330" s="49" t="s">
        <v>2175</v>
      </c>
      <c r="Y330" s="111" t="s">
        <v>2176</v>
      </c>
      <c r="Z330" s="245"/>
      <c r="AA330" s="49"/>
      <c r="AB330" s="3"/>
      <c r="AC330" s="3" t="s">
        <v>1369</v>
      </c>
      <c r="AD330" s="3"/>
    </row>
    <row r="331" spans="1:30" ht="72.5">
      <c r="A331" s="3" t="s">
        <v>1508</v>
      </c>
      <c r="B331" s="46"/>
      <c r="C331" s="3"/>
      <c r="D331" s="86" t="s">
        <v>2177</v>
      </c>
      <c r="E331" s="90" t="s">
        <v>2178</v>
      </c>
      <c r="F331" s="86"/>
      <c r="G331" s="13" t="s">
        <v>182</v>
      </c>
      <c r="H331" s="13" t="str">
        <f>IFERROR(VLOOKUP(G331, Sheet2!$A:$B, 2, FALSE), A331)</f>
        <v>PARTICLE RESEARCH LTD</v>
      </c>
      <c r="I331" s="6" t="s">
        <v>359</v>
      </c>
      <c r="J331" s="48"/>
      <c r="K331" s="48"/>
      <c r="L331" s="7"/>
      <c r="M331" s="11" t="s">
        <v>2179</v>
      </c>
      <c r="N331" s="11"/>
      <c r="O331" s="7" t="s">
        <v>2180</v>
      </c>
      <c r="P331" s="11"/>
      <c r="Q331" s="8">
        <v>44929</v>
      </c>
      <c r="R331" s="8"/>
      <c r="S331" s="8">
        <v>45085</v>
      </c>
      <c r="T331" s="85" t="s">
        <v>2181</v>
      </c>
      <c r="U331" s="49" t="s">
        <v>2182</v>
      </c>
      <c r="V331" s="147" t="s">
        <v>2183</v>
      </c>
      <c r="W331" s="8"/>
      <c r="X331" s="49" t="s">
        <v>2184</v>
      </c>
      <c r="Y331" s="18" t="s">
        <v>2185</v>
      </c>
      <c r="Z331" s="53"/>
      <c r="AA331" s="8"/>
      <c r="AB331" s="3"/>
      <c r="AC331" s="3" t="s">
        <v>1369</v>
      </c>
      <c r="AD331" s="3"/>
    </row>
    <row r="332" spans="1:30" ht="101.5">
      <c r="A332" s="3" t="s">
        <v>1508</v>
      </c>
      <c r="B332" s="46"/>
      <c r="C332" s="3"/>
      <c r="D332" s="86" t="s">
        <v>2186</v>
      </c>
      <c r="E332" s="141" t="s">
        <v>2187</v>
      </c>
      <c r="G332" s="13" t="s">
        <v>175</v>
      </c>
      <c r="H332" s="13" t="str">
        <f>IFERROR(VLOOKUP(G332, Sheet2!$A:$B, 2, FALSE), A332)</f>
        <v>HOSPITAL AUTHORITY</v>
      </c>
      <c r="I332" s="6" t="s">
        <v>675</v>
      </c>
      <c r="J332" s="48"/>
      <c r="K332" s="48"/>
      <c r="L332" s="9"/>
      <c r="M332" s="11" t="s">
        <v>2188</v>
      </c>
      <c r="N332" s="11"/>
      <c r="O332" s="7" t="s">
        <v>2189</v>
      </c>
      <c r="P332" s="11"/>
      <c r="Q332" s="8">
        <v>44930</v>
      </c>
      <c r="R332" s="8"/>
      <c r="S332" s="8">
        <v>44973</v>
      </c>
      <c r="T332" s="3" t="s">
        <v>2190</v>
      </c>
      <c r="U332" s="49" t="s">
        <v>2191</v>
      </c>
      <c r="V332" s="259" t="s">
        <v>2192</v>
      </c>
      <c r="W332" s="8"/>
      <c r="X332" s="49" t="s">
        <v>2193</v>
      </c>
      <c r="Y332" s="15" t="s">
        <v>2194</v>
      </c>
      <c r="Z332" s="53"/>
      <c r="AA332" s="8"/>
      <c r="AB332" s="3"/>
      <c r="AC332" s="3" t="s">
        <v>1369</v>
      </c>
      <c r="AD332" s="3"/>
    </row>
    <row r="333" spans="1:30" ht="87">
      <c r="A333" s="3" t="s">
        <v>350</v>
      </c>
      <c r="B333" s="46"/>
      <c r="C333" s="3"/>
      <c r="D333" s="11" t="s">
        <v>1033</v>
      </c>
      <c r="E333" s="90" t="s">
        <v>1034</v>
      </c>
      <c r="F333" s="86"/>
      <c r="G333" s="13" t="s">
        <v>184</v>
      </c>
      <c r="H333" s="13" t="str">
        <f>IFERROR(VLOOKUP(G333, Sheet2!$A:$B, 2, FALSE), A333)</f>
        <v>CAM 8 Google Cloud account for ViuClip</v>
      </c>
      <c r="I333" s="6" t="s">
        <v>410</v>
      </c>
      <c r="J333" s="48"/>
      <c r="K333" s="48"/>
      <c r="L333" s="9"/>
      <c r="M333" s="3" t="s">
        <v>2195</v>
      </c>
      <c r="N333" s="3"/>
      <c r="O333" s="7"/>
      <c r="P333" s="3"/>
      <c r="Q333" s="8">
        <v>44952</v>
      </c>
      <c r="R333" s="8"/>
      <c r="S333" s="8">
        <v>44952</v>
      </c>
      <c r="T333" s="3" t="s">
        <v>2196</v>
      </c>
      <c r="U333" s="49" t="s">
        <v>2197</v>
      </c>
      <c r="V333" s="176" t="s">
        <v>2198</v>
      </c>
      <c r="W333" s="8"/>
      <c r="X333" s="49"/>
      <c r="Y333" s="15" t="s">
        <v>2199</v>
      </c>
      <c r="Z333" s="53" t="s">
        <v>425</v>
      </c>
      <c r="AA333" s="8" t="s">
        <v>930</v>
      </c>
      <c r="AB333" s="3"/>
      <c r="AC333" s="3" t="s">
        <v>1369</v>
      </c>
      <c r="AD333" s="3"/>
    </row>
    <row r="334" spans="1:30" ht="58">
      <c r="A334" s="3" t="s">
        <v>1508</v>
      </c>
      <c r="B334" s="46"/>
      <c r="C334" s="3"/>
      <c r="D334" s="11" t="s">
        <v>2200</v>
      </c>
      <c r="E334" s="141" t="s">
        <v>2201</v>
      </c>
      <c r="G334" s="13" t="s">
        <v>175</v>
      </c>
      <c r="H334" s="13" t="str">
        <f>IFERROR(VLOOKUP(G334, Sheet2!$A:$B, 2, FALSE), A334)</f>
        <v>HOSPITAL AUTHORITY</v>
      </c>
      <c r="I334" s="6" t="s">
        <v>352</v>
      </c>
      <c r="J334" s="75" t="s">
        <v>1836</v>
      </c>
      <c r="K334" s="75" t="s">
        <v>2202</v>
      </c>
      <c r="L334" s="72" t="s">
        <v>2203</v>
      </c>
      <c r="M334" s="11" t="s">
        <v>2204</v>
      </c>
      <c r="N334" s="11"/>
      <c r="O334" s="7" t="s">
        <v>2189</v>
      </c>
      <c r="P334" s="11"/>
      <c r="Q334" s="49">
        <v>44945</v>
      </c>
      <c r="R334" s="8"/>
      <c r="S334" s="8">
        <v>44977</v>
      </c>
      <c r="T334" s="3" t="s">
        <v>2205</v>
      </c>
      <c r="U334" s="49" t="s">
        <v>2206</v>
      </c>
      <c r="V334" s="147">
        <v>100363</v>
      </c>
      <c r="W334" s="8"/>
      <c r="X334" s="49"/>
      <c r="Y334" s="111" t="s">
        <v>2207</v>
      </c>
      <c r="Z334" s="53"/>
      <c r="AA334" s="8"/>
      <c r="AB334" s="3"/>
      <c r="AC334" s="3" t="s">
        <v>1369</v>
      </c>
      <c r="AD334" s="3"/>
    </row>
    <row r="335" spans="1:30" ht="58">
      <c r="A335" s="3" t="s">
        <v>1508</v>
      </c>
      <c r="B335" s="46"/>
      <c r="C335" s="3"/>
      <c r="D335" s="11" t="s">
        <v>2200</v>
      </c>
      <c r="E335" s="141" t="s">
        <v>2208</v>
      </c>
      <c r="G335" s="13" t="s">
        <v>176</v>
      </c>
      <c r="H335" s="13" t="str">
        <f>IFERROR(VLOOKUP(G335, Sheet2!$A:$B, 2, FALSE), A335)</f>
        <v>HOSPITAL AUTHORITY</v>
      </c>
      <c r="I335" s="6" t="s">
        <v>352</v>
      </c>
      <c r="J335" s="75" t="s">
        <v>1841</v>
      </c>
      <c r="K335" s="75" t="s">
        <v>2209</v>
      </c>
      <c r="L335" s="72" t="s">
        <v>2210</v>
      </c>
      <c r="M335" s="11" t="s">
        <v>2211</v>
      </c>
      <c r="N335" s="11"/>
      <c r="O335" s="7" t="s">
        <v>2189</v>
      </c>
      <c r="P335" s="11"/>
      <c r="Q335" s="49">
        <v>44945</v>
      </c>
      <c r="R335" s="8"/>
      <c r="S335" s="8">
        <v>44977</v>
      </c>
      <c r="T335" s="3" t="s">
        <v>2212</v>
      </c>
      <c r="U335" s="49" t="s">
        <v>2213</v>
      </c>
      <c r="V335" s="147" t="s">
        <v>2214</v>
      </c>
      <c r="W335" s="8"/>
      <c r="X335" s="49"/>
      <c r="Y335" s="111" t="s">
        <v>2207</v>
      </c>
      <c r="Z335" s="53"/>
      <c r="AA335" s="8"/>
      <c r="AB335" s="3"/>
      <c r="AC335" s="3" t="s">
        <v>1369</v>
      </c>
      <c r="AD335" s="3"/>
    </row>
    <row r="336" spans="1:30" ht="125.5">
      <c r="A336" s="3" t="s">
        <v>1508</v>
      </c>
      <c r="B336" s="46"/>
      <c r="C336" s="3"/>
      <c r="D336" s="260" t="s">
        <v>2215</v>
      </c>
      <c r="E336" s="261" t="s">
        <v>2216</v>
      </c>
      <c r="G336" s="13" t="s">
        <v>176</v>
      </c>
      <c r="H336" s="13" t="str">
        <f>IFERROR(VLOOKUP(G336, Sheet2!$A:$B, 2, FALSE), A336)</f>
        <v>HOSPITAL AUTHORITY</v>
      </c>
      <c r="I336" s="6" t="s">
        <v>675</v>
      </c>
      <c r="J336" s="79"/>
      <c r="K336" s="79"/>
      <c r="L336" s="56" t="s">
        <v>2217</v>
      </c>
      <c r="M336" s="11" t="s">
        <v>2218</v>
      </c>
      <c r="N336" s="11"/>
      <c r="O336" s="7" t="s">
        <v>2219</v>
      </c>
      <c r="P336" s="11"/>
      <c r="Q336" s="8">
        <v>44953</v>
      </c>
      <c r="R336" s="8"/>
      <c r="S336" s="8">
        <v>44973</v>
      </c>
      <c r="T336" s="8" t="s">
        <v>2220</v>
      </c>
      <c r="U336" s="3" t="s">
        <v>2221</v>
      </c>
      <c r="V336" s="259" t="s">
        <v>2222</v>
      </c>
      <c r="W336" s="8"/>
      <c r="X336" s="3" t="s">
        <v>2223</v>
      </c>
      <c r="Y336" s="144" t="s">
        <v>2224</v>
      </c>
      <c r="Z336" s="53"/>
      <c r="AA336" s="8"/>
      <c r="AB336" s="3"/>
      <c r="AC336" s="3" t="s">
        <v>1369</v>
      </c>
      <c r="AD336" s="3"/>
    </row>
    <row r="337" spans="1:30" ht="72.5">
      <c r="A337" s="8" t="s">
        <v>1508</v>
      </c>
      <c r="B337" s="46"/>
      <c r="C337" s="3"/>
      <c r="D337" s="215" t="s">
        <v>2225</v>
      </c>
      <c r="E337" s="261" t="s">
        <v>2226</v>
      </c>
      <c r="G337" s="13" t="s">
        <v>176</v>
      </c>
      <c r="H337" s="13" t="str">
        <f>IFERROR(VLOOKUP(G337, Sheet2!$A:$B, 2, FALSE), A337)</f>
        <v>HOSPITAL AUTHORITY</v>
      </c>
      <c r="I337" s="6" t="s">
        <v>675</v>
      </c>
      <c r="J337" s="48"/>
      <c r="K337" s="48"/>
      <c r="L337" s="9"/>
      <c r="M337" s="11" t="s">
        <v>2227</v>
      </c>
      <c r="N337" s="11"/>
      <c r="O337" s="7" t="s">
        <v>2228</v>
      </c>
      <c r="P337" s="11"/>
      <c r="Q337" s="8">
        <v>44966</v>
      </c>
      <c r="R337" s="8"/>
      <c r="S337" s="8">
        <v>44993</v>
      </c>
      <c r="T337" s="3" t="s">
        <v>2229</v>
      </c>
      <c r="U337" s="262" t="s">
        <v>2230</v>
      </c>
      <c r="V337" s="259" t="s">
        <v>2231</v>
      </c>
      <c r="W337" s="8"/>
      <c r="X337" s="262" t="s">
        <v>2232</v>
      </c>
      <c r="Y337" s="15" t="s">
        <v>2233</v>
      </c>
      <c r="Z337" s="53"/>
      <c r="AA337" s="8" t="s">
        <v>1264</v>
      </c>
      <c r="AB337" s="3"/>
      <c r="AC337" s="3" t="s">
        <v>1369</v>
      </c>
      <c r="AD337" s="3"/>
    </row>
    <row r="338" spans="1:30" ht="72.5">
      <c r="A338" s="4" t="s">
        <v>545</v>
      </c>
      <c r="B338" s="46"/>
      <c r="C338" s="3"/>
      <c r="D338" s="8" t="s">
        <v>2234</v>
      </c>
      <c r="E338" s="141" t="s">
        <v>2235</v>
      </c>
      <c r="G338" s="3" t="s">
        <v>185</v>
      </c>
      <c r="H338" s="13" t="str">
        <f>IFERROR(VLOOKUP(G338, Sheet2!$A:$B, 2, FALSE), A338)</f>
        <v>LEGISLATIVE COUNCIL SECRETARIAT</v>
      </c>
      <c r="I338" s="6" t="s">
        <v>393</v>
      </c>
      <c r="J338" s="75"/>
      <c r="K338" s="75"/>
      <c r="L338" s="263" t="s">
        <v>2236</v>
      </c>
      <c r="M338" s="11" t="s">
        <v>2237</v>
      </c>
      <c r="N338" s="11"/>
      <c r="O338" s="7" t="s">
        <v>2238</v>
      </c>
      <c r="P338" s="11"/>
      <c r="Q338" s="8">
        <v>44965</v>
      </c>
      <c r="R338" s="8">
        <v>45041</v>
      </c>
      <c r="S338" s="8">
        <v>44965</v>
      </c>
      <c r="T338" s="4" t="s">
        <v>2239</v>
      </c>
      <c r="U338" s="8" t="s">
        <v>2240</v>
      </c>
      <c r="V338" s="19" t="s">
        <v>2241</v>
      </c>
      <c r="W338" s="8"/>
      <c r="X338" s="8" t="s">
        <v>2242</v>
      </c>
      <c r="Y338" s="111" t="s">
        <v>2243</v>
      </c>
      <c r="Z338" s="53" t="s">
        <v>886</v>
      </c>
      <c r="AA338" s="8"/>
      <c r="AB338" s="3"/>
      <c r="AC338" s="3"/>
      <c r="AD338" s="3"/>
    </row>
    <row r="339" spans="1:30" ht="101.5">
      <c r="A339" s="3" t="s">
        <v>350</v>
      </c>
      <c r="B339" s="46"/>
      <c r="C339" s="3"/>
      <c r="D339" s="8" t="s">
        <v>2140</v>
      </c>
      <c r="E339" s="6" t="s">
        <v>2141</v>
      </c>
      <c r="F339" s="47"/>
      <c r="G339" s="3" t="s">
        <v>44</v>
      </c>
      <c r="H339" s="13" t="str">
        <f>IFERROR(VLOOKUP(G339, Sheet2!$A:$B, 2, FALSE), A339)</f>
        <v>CHOW TAI FOOK JEWELLERY CO LTD</v>
      </c>
      <c r="I339" s="6" t="s">
        <v>352</v>
      </c>
      <c r="J339" s="61"/>
      <c r="K339" s="61" t="s">
        <v>1086</v>
      </c>
      <c r="L339" s="17"/>
      <c r="M339" s="3"/>
      <c r="N339" s="3"/>
      <c r="O339" s="7"/>
      <c r="P339" s="3"/>
      <c r="Q339" s="8">
        <v>44978</v>
      </c>
      <c r="R339" s="8"/>
      <c r="S339" s="8">
        <v>44973</v>
      </c>
      <c r="T339" s="69" t="s">
        <v>2244</v>
      </c>
      <c r="U339" s="8" t="s">
        <v>2245</v>
      </c>
      <c r="V339" s="264" t="s">
        <v>2246</v>
      </c>
      <c r="W339" s="8"/>
      <c r="X339" s="8"/>
      <c r="Y339" s="124" t="s">
        <v>2247</v>
      </c>
      <c r="Z339" s="53"/>
      <c r="AA339" s="8"/>
      <c r="AB339" s="3"/>
      <c r="AC339" s="3" t="s">
        <v>1369</v>
      </c>
      <c r="AD339" s="3"/>
    </row>
    <row r="340" spans="1:30" ht="102">
      <c r="A340" s="3" t="s">
        <v>350</v>
      </c>
      <c r="B340" s="46"/>
      <c r="C340" s="3"/>
      <c r="D340" s="8" t="s">
        <v>1525</v>
      </c>
      <c r="E340" s="6">
        <v>27738205</v>
      </c>
      <c r="F340" s="47"/>
      <c r="G340" s="8" t="s">
        <v>2248</v>
      </c>
      <c r="H340" s="13" t="str">
        <f>IFERROR(VLOOKUP(G340, Sheet2!$A:$B, 2, FALSE), A340)</f>
        <v>DAIWA CAPITAL MARKETS HONG KONG LIMITED</v>
      </c>
      <c r="I340" s="6" t="s">
        <v>352</v>
      </c>
      <c r="J340" s="109"/>
      <c r="K340" s="48"/>
      <c r="L340" s="9"/>
      <c r="M340" s="3"/>
      <c r="N340" s="3"/>
      <c r="O340" s="7"/>
      <c r="P340" s="3"/>
      <c r="Q340" s="8">
        <v>44938</v>
      </c>
      <c r="R340" s="8"/>
      <c r="S340" s="8">
        <v>45005</v>
      </c>
      <c r="T340" s="3" t="s">
        <v>2249</v>
      </c>
      <c r="U340" s="265" t="s">
        <v>2250</v>
      </c>
      <c r="V340" s="19" t="s">
        <v>2251</v>
      </c>
      <c r="W340" s="8"/>
      <c r="X340" s="265"/>
      <c r="Y340" s="15" t="s">
        <v>2252</v>
      </c>
      <c r="Z340" s="53" t="s">
        <v>489</v>
      </c>
      <c r="AA340" s="8" t="s">
        <v>930</v>
      </c>
      <c r="AB340" s="3"/>
      <c r="AC340" s="3" t="s">
        <v>1369</v>
      </c>
      <c r="AD340" s="3"/>
    </row>
    <row r="341" spans="1:30" ht="58.5">
      <c r="A341" s="3" t="s">
        <v>1508</v>
      </c>
      <c r="B341" s="46"/>
      <c r="C341" s="3"/>
      <c r="D341" s="8" t="s">
        <v>2253</v>
      </c>
      <c r="E341" s="141" t="s">
        <v>2254</v>
      </c>
      <c r="G341" s="8" t="s">
        <v>175</v>
      </c>
      <c r="H341" s="13" t="str">
        <f>IFERROR(VLOOKUP(G341, Sheet2!$A:$B, 2, FALSE), A341)</f>
        <v>HOSPITAL AUTHORITY</v>
      </c>
      <c r="I341" s="6" t="s">
        <v>352</v>
      </c>
      <c r="J341" s="109">
        <v>524889937358</v>
      </c>
      <c r="K341" s="266" t="s">
        <v>2255</v>
      </c>
      <c r="L341" s="9" t="s">
        <v>2124</v>
      </c>
      <c r="M341" s="11" t="s">
        <v>2256</v>
      </c>
      <c r="N341" s="11"/>
      <c r="O341" s="7" t="s">
        <v>2257</v>
      </c>
      <c r="P341" s="11"/>
      <c r="Q341" s="8">
        <v>44980</v>
      </c>
      <c r="R341" s="8"/>
      <c r="S341" s="8">
        <v>45041</v>
      </c>
      <c r="T341" s="3" t="s">
        <v>2258</v>
      </c>
      <c r="U341" s="265" t="s">
        <v>2259</v>
      </c>
      <c r="V341" s="19" t="s">
        <v>2260</v>
      </c>
      <c r="W341" s="8"/>
      <c r="X341" s="265"/>
      <c r="Y341" s="15" t="s">
        <v>2261</v>
      </c>
      <c r="Z341" s="53"/>
      <c r="AA341" s="8"/>
      <c r="AB341" s="3"/>
      <c r="AC341" s="3" t="s">
        <v>1369</v>
      </c>
      <c r="AD341" s="3"/>
    </row>
    <row r="342" spans="1:30" ht="58">
      <c r="A342" s="3" t="s">
        <v>1508</v>
      </c>
      <c r="B342" s="46"/>
      <c r="C342" s="3"/>
      <c r="D342" s="3" t="s">
        <v>2262</v>
      </c>
      <c r="E342" s="141" t="s">
        <v>2263</v>
      </c>
      <c r="G342" s="3" t="s">
        <v>176</v>
      </c>
      <c r="H342" s="13" t="str">
        <f>IFERROR(VLOOKUP(G342, Sheet2!$A:$B, 2, FALSE), A342)</f>
        <v>HOSPITAL AUTHORITY</v>
      </c>
      <c r="I342" s="6" t="s">
        <v>352</v>
      </c>
      <c r="J342" s="109">
        <v>524889937358</v>
      </c>
      <c r="K342" s="48" t="s">
        <v>1876</v>
      </c>
      <c r="L342" s="9" t="s">
        <v>2264</v>
      </c>
      <c r="M342" s="11" t="s">
        <v>2265</v>
      </c>
      <c r="N342" s="11"/>
      <c r="O342" s="7" t="s">
        <v>2266</v>
      </c>
      <c r="P342" s="11"/>
      <c r="Q342" s="8">
        <v>44984</v>
      </c>
      <c r="R342" s="8"/>
      <c r="S342" s="8">
        <v>44993</v>
      </c>
      <c r="T342" s="3" t="s">
        <v>2267</v>
      </c>
      <c r="U342" s="262" t="s">
        <v>2268</v>
      </c>
      <c r="V342" s="19" t="s">
        <v>2269</v>
      </c>
      <c r="W342" s="8"/>
      <c r="X342" s="262"/>
      <c r="Y342" s="15" t="s">
        <v>2270</v>
      </c>
      <c r="Z342" s="53"/>
      <c r="AA342" s="8" t="s">
        <v>1264</v>
      </c>
      <c r="AB342" s="3"/>
      <c r="AC342" s="3" t="s">
        <v>1369</v>
      </c>
      <c r="AD342" s="3"/>
    </row>
    <row r="343" spans="1:30" ht="58">
      <c r="A343" s="8" t="s">
        <v>1508</v>
      </c>
      <c r="B343" s="46"/>
      <c r="C343" s="3"/>
      <c r="D343" s="8" t="s">
        <v>2262</v>
      </c>
      <c r="E343" s="141" t="s">
        <v>2271</v>
      </c>
      <c r="G343" s="3" t="s">
        <v>176</v>
      </c>
      <c r="H343" s="13" t="str">
        <f>IFERROR(VLOOKUP(G343, Sheet2!$A:$B, 2, FALSE), A343)</f>
        <v>HOSPITAL AUTHORITY</v>
      </c>
      <c r="I343" s="6" t="s">
        <v>352</v>
      </c>
      <c r="J343" s="109">
        <v>524889937358</v>
      </c>
      <c r="K343" s="48" t="s">
        <v>2272</v>
      </c>
      <c r="L343" s="9" t="s">
        <v>2273</v>
      </c>
      <c r="M343" s="11" t="s">
        <v>2274</v>
      </c>
      <c r="N343" s="11"/>
      <c r="O343" s="7" t="s">
        <v>2266</v>
      </c>
      <c r="P343" s="11"/>
      <c r="Q343" s="8">
        <v>44984</v>
      </c>
      <c r="R343" s="8"/>
      <c r="S343" s="8">
        <v>44993</v>
      </c>
      <c r="T343" s="3" t="s">
        <v>2275</v>
      </c>
      <c r="U343" s="262" t="s">
        <v>2276</v>
      </c>
      <c r="V343" s="19" t="s">
        <v>2277</v>
      </c>
      <c r="W343" s="8"/>
      <c r="X343" s="262"/>
      <c r="Y343" s="15" t="s">
        <v>2270</v>
      </c>
      <c r="Z343" s="53"/>
      <c r="AA343" s="8" t="s">
        <v>1264</v>
      </c>
      <c r="AB343" s="3"/>
      <c r="AC343" s="3" t="s">
        <v>1369</v>
      </c>
      <c r="AD343" s="3"/>
    </row>
    <row r="344" spans="1:30" ht="58">
      <c r="A344" s="3" t="s">
        <v>1508</v>
      </c>
      <c r="B344" s="46"/>
      <c r="C344" s="3"/>
      <c r="D344" s="3" t="s">
        <v>2278</v>
      </c>
      <c r="E344" s="141" t="s">
        <v>2279</v>
      </c>
      <c r="G344" s="3" t="s">
        <v>176</v>
      </c>
      <c r="H344" s="13" t="str">
        <f>IFERROR(VLOOKUP(G344, Sheet2!$A:$B, 2, FALSE), A344)</f>
        <v>HOSPITAL AUTHORITY</v>
      </c>
      <c r="I344" s="6" t="s">
        <v>352</v>
      </c>
      <c r="J344" s="109">
        <v>524889937358</v>
      </c>
      <c r="K344" s="48" t="s">
        <v>2280</v>
      </c>
      <c r="L344" s="9" t="s">
        <v>2281</v>
      </c>
      <c r="M344" s="11" t="s">
        <v>2282</v>
      </c>
      <c r="N344" s="11"/>
      <c r="O344" s="11" t="s">
        <v>2266</v>
      </c>
      <c r="P344" s="11"/>
      <c r="Q344" s="8">
        <v>44985</v>
      </c>
      <c r="R344" s="8"/>
      <c r="S344" s="8">
        <v>45041</v>
      </c>
      <c r="T344" s="3" t="s">
        <v>2283</v>
      </c>
      <c r="U344" s="267" t="s">
        <v>2284</v>
      </c>
      <c r="V344" s="19" t="s">
        <v>2285</v>
      </c>
      <c r="W344" s="8"/>
      <c r="X344" s="267"/>
      <c r="Y344" s="15" t="s">
        <v>2286</v>
      </c>
      <c r="Z344" s="53"/>
      <c r="AA344" s="3"/>
      <c r="AB344" s="3"/>
      <c r="AC344" s="3" t="s">
        <v>1369</v>
      </c>
      <c r="AD344" s="3"/>
    </row>
    <row r="345" spans="1:30" ht="58">
      <c r="A345" s="3" t="s">
        <v>1508</v>
      </c>
      <c r="B345" s="46"/>
      <c r="C345" s="3"/>
      <c r="D345" s="3" t="s">
        <v>2278</v>
      </c>
      <c r="E345" s="141" t="s">
        <v>2287</v>
      </c>
      <c r="G345" s="3" t="s">
        <v>176</v>
      </c>
      <c r="H345" s="13" t="str">
        <f>IFERROR(VLOOKUP(G345, Sheet2!$A:$B, 2, FALSE), A345)</f>
        <v>HOSPITAL AUTHORITY</v>
      </c>
      <c r="I345" s="6" t="s">
        <v>352</v>
      </c>
      <c r="J345" s="109">
        <v>524889937358</v>
      </c>
      <c r="K345" s="48" t="s">
        <v>2288</v>
      </c>
      <c r="L345" s="9" t="s">
        <v>2289</v>
      </c>
      <c r="M345" s="11" t="s">
        <v>2290</v>
      </c>
      <c r="N345" s="11"/>
      <c r="O345" s="11" t="s">
        <v>2266</v>
      </c>
      <c r="P345" s="11"/>
      <c r="Q345" s="8">
        <v>44985</v>
      </c>
      <c r="R345" s="8"/>
      <c r="S345" s="8">
        <v>45041</v>
      </c>
      <c r="T345" s="3" t="s">
        <v>2291</v>
      </c>
      <c r="U345" s="49" t="s">
        <v>2292</v>
      </c>
      <c r="V345" s="19" t="s">
        <v>2293</v>
      </c>
      <c r="W345" s="8"/>
      <c r="X345" s="49"/>
      <c r="Y345" s="15" t="s">
        <v>2294</v>
      </c>
      <c r="Z345" s="53"/>
      <c r="AA345" s="3"/>
      <c r="AB345" s="3"/>
      <c r="AC345" s="3" t="s">
        <v>1369</v>
      </c>
      <c r="AD345" s="3"/>
    </row>
    <row r="346" spans="1:30" ht="58">
      <c r="A346" s="3" t="s">
        <v>1508</v>
      </c>
      <c r="B346" s="46"/>
      <c r="C346" s="3"/>
      <c r="D346" s="3" t="s">
        <v>2295</v>
      </c>
      <c r="E346" s="141" t="s">
        <v>2296</v>
      </c>
      <c r="G346" s="3" t="s">
        <v>176</v>
      </c>
      <c r="H346" s="13" t="str">
        <f>IFERROR(VLOOKUP(G346, Sheet2!$A:$B, 2, FALSE), A346)</f>
        <v>HOSPITAL AUTHORITY</v>
      </c>
      <c r="I346" s="6" t="s">
        <v>352</v>
      </c>
      <c r="J346" s="109">
        <v>524889937358</v>
      </c>
      <c r="K346" s="48" t="s">
        <v>2297</v>
      </c>
      <c r="L346" s="9" t="s">
        <v>2298</v>
      </c>
      <c r="M346" s="11" t="s">
        <v>2299</v>
      </c>
      <c r="N346" s="11"/>
      <c r="O346" s="9" t="s">
        <v>2300</v>
      </c>
      <c r="P346" s="11"/>
      <c r="Q346" s="8">
        <v>44988</v>
      </c>
      <c r="R346" s="8"/>
      <c r="S346" s="8">
        <v>45041</v>
      </c>
      <c r="T346" s="3" t="s">
        <v>2301</v>
      </c>
      <c r="U346" s="49" t="s">
        <v>2302</v>
      </c>
      <c r="V346" s="19" t="s">
        <v>2303</v>
      </c>
      <c r="W346" s="8"/>
      <c r="X346" s="49"/>
      <c r="Y346" s="15" t="s">
        <v>2304</v>
      </c>
      <c r="Z346" s="53"/>
      <c r="AA346" s="8"/>
      <c r="AB346" s="3"/>
      <c r="AC346" s="3" t="s">
        <v>1369</v>
      </c>
      <c r="AD346" s="3"/>
    </row>
    <row r="347" spans="1:30" ht="58">
      <c r="A347" s="3" t="s">
        <v>1508</v>
      </c>
      <c r="B347" s="46"/>
      <c r="C347" s="3"/>
      <c r="D347" s="3" t="s">
        <v>2295</v>
      </c>
      <c r="E347" s="141" t="s">
        <v>2305</v>
      </c>
      <c r="G347" s="3" t="s">
        <v>176</v>
      </c>
      <c r="H347" s="13" t="str">
        <f>IFERROR(VLOOKUP(G347, Sheet2!$A:$B, 2, FALSE), A347)</f>
        <v>HOSPITAL AUTHORITY</v>
      </c>
      <c r="I347" s="6" t="s">
        <v>352</v>
      </c>
      <c r="J347" s="109">
        <v>524889937358</v>
      </c>
      <c r="K347" s="48" t="s">
        <v>2306</v>
      </c>
      <c r="L347" s="9" t="s">
        <v>2307</v>
      </c>
      <c r="M347" s="11" t="s">
        <v>2308</v>
      </c>
      <c r="N347" s="11"/>
      <c r="O347" s="9" t="s">
        <v>2300</v>
      </c>
      <c r="P347" s="11"/>
      <c r="Q347" s="8">
        <v>44988</v>
      </c>
      <c r="R347" s="8"/>
      <c r="S347" s="8">
        <v>45041</v>
      </c>
      <c r="T347" s="3" t="s">
        <v>2309</v>
      </c>
      <c r="U347" s="49" t="s">
        <v>2310</v>
      </c>
      <c r="V347" s="19" t="s">
        <v>2311</v>
      </c>
      <c r="W347" s="8"/>
      <c r="X347" s="49"/>
      <c r="Y347" s="15" t="s">
        <v>2304</v>
      </c>
      <c r="Z347" s="53"/>
      <c r="AA347" s="8"/>
      <c r="AB347" s="3"/>
      <c r="AC347" s="3" t="s">
        <v>1369</v>
      </c>
      <c r="AD347" s="3"/>
    </row>
    <row r="348" spans="1:30" ht="58">
      <c r="A348" s="3" t="s">
        <v>1508</v>
      </c>
      <c r="B348" s="46"/>
      <c r="C348" s="3"/>
      <c r="D348" s="3" t="s">
        <v>2312</v>
      </c>
      <c r="E348" s="141" t="s">
        <v>2313</v>
      </c>
      <c r="G348" s="3" t="s">
        <v>176</v>
      </c>
      <c r="H348" s="13" t="str">
        <f>IFERROR(VLOOKUP(G348, Sheet2!$A:$B, 2, FALSE), A348)</f>
        <v>HOSPITAL AUTHORITY</v>
      </c>
      <c r="I348" s="6" t="s">
        <v>352</v>
      </c>
      <c r="J348" s="109">
        <v>524889937358</v>
      </c>
      <c r="K348" s="48" t="s">
        <v>2314</v>
      </c>
      <c r="L348" s="9" t="s">
        <v>2315</v>
      </c>
      <c r="M348" s="11" t="s">
        <v>2316</v>
      </c>
      <c r="N348" s="11"/>
      <c r="O348" s="7" t="s">
        <v>2317</v>
      </c>
      <c r="P348" s="11"/>
      <c r="Q348" s="8">
        <v>44993</v>
      </c>
      <c r="R348" s="8"/>
      <c r="S348" s="8">
        <v>45041</v>
      </c>
      <c r="T348" s="3" t="s">
        <v>2318</v>
      </c>
      <c r="U348" s="49" t="s">
        <v>2319</v>
      </c>
      <c r="V348" s="19" t="s">
        <v>2320</v>
      </c>
      <c r="W348" s="8"/>
      <c r="X348" s="49"/>
      <c r="Y348" s="15" t="s">
        <v>2321</v>
      </c>
      <c r="Z348" s="53"/>
      <c r="AA348" s="8"/>
      <c r="AB348" s="3"/>
      <c r="AC348" s="3" t="s">
        <v>1369</v>
      </c>
      <c r="AD348" s="3"/>
    </row>
    <row r="349" spans="1:30" ht="72.5">
      <c r="A349" s="3" t="s">
        <v>1508</v>
      </c>
      <c r="B349" s="46"/>
      <c r="C349" s="3"/>
      <c r="D349" s="13" t="s">
        <v>2322</v>
      </c>
      <c r="E349" s="49" t="s">
        <v>2323</v>
      </c>
      <c r="F349" s="13"/>
      <c r="G349" s="3" t="s">
        <v>176</v>
      </c>
      <c r="H349" s="13" t="str">
        <f>IFERROR(VLOOKUP(G349, Sheet2!$A:$B, 2, FALSE), A349)</f>
        <v>HOSPITAL AUTHORITY</v>
      </c>
      <c r="I349" s="6" t="s">
        <v>675</v>
      </c>
      <c r="J349" s="109"/>
      <c r="K349" s="48"/>
      <c r="L349" s="9"/>
      <c r="M349" s="11" t="s">
        <v>2324</v>
      </c>
      <c r="N349" s="11"/>
      <c r="O349" s="86" t="s">
        <v>2325</v>
      </c>
      <c r="P349" s="11"/>
      <c r="Q349" s="8">
        <v>44999</v>
      </c>
      <c r="R349" s="8"/>
      <c r="S349" s="8">
        <v>45041</v>
      </c>
      <c r="T349" s="3" t="s">
        <v>2326</v>
      </c>
      <c r="U349" s="49" t="s">
        <v>2327</v>
      </c>
      <c r="V349" s="19" t="s">
        <v>2328</v>
      </c>
      <c r="W349" s="8"/>
      <c r="X349" s="49" t="s">
        <v>2329</v>
      </c>
      <c r="Y349" s="15" t="s">
        <v>2330</v>
      </c>
      <c r="Z349" s="268"/>
      <c r="AA349" s="13"/>
      <c r="AB349" s="3"/>
      <c r="AC349" s="3" t="s">
        <v>1369</v>
      </c>
      <c r="AD349" s="3"/>
    </row>
    <row r="350" spans="1:30" ht="72.5">
      <c r="A350" s="3" t="s">
        <v>1508</v>
      </c>
      <c r="B350" s="46"/>
      <c r="C350" s="3"/>
      <c r="D350" s="13" t="s">
        <v>2331</v>
      </c>
      <c r="E350" s="49" t="s">
        <v>2332</v>
      </c>
      <c r="F350" s="13"/>
      <c r="G350" s="13" t="s">
        <v>176</v>
      </c>
      <c r="H350" s="13" t="str">
        <f>IFERROR(VLOOKUP(G350, Sheet2!$A:$B, 2, FALSE), A350)</f>
        <v>HOSPITAL AUTHORITY</v>
      </c>
      <c r="I350" s="6" t="s">
        <v>675</v>
      </c>
      <c r="J350" s="109"/>
      <c r="K350" s="48"/>
      <c r="L350" s="9"/>
      <c r="M350" s="11" t="s">
        <v>2333</v>
      </c>
      <c r="N350" s="11"/>
      <c r="O350" s="11" t="s">
        <v>2334</v>
      </c>
      <c r="P350" s="11"/>
      <c r="Q350" s="8">
        <v>45000</v>
      </c>
      <c r="R350" s="8"/>
      <c r="S350" s="8">
        <v>45041</v>
      </c>
      <c r="T350" s="3" t="s">
        <v>2335</v>
      </c>
      <c r="U350" s="49" t="s">
        <v>2336</v>
      </c>
      <c r="V350" s="19" t="s">
        <v>2337</v>
      </c>
      <c r="W350" s="8"/>
      <c r="X350" s="49" t="s">
        <v>2338</v>
      </c>
      <c r="Y350" s="15" t="s">
        <v>2339</v>
      </c>
      <c r="Z350" s="53"/>
      <c r="AA350" s="3"/>
      <c r="AB350" s="3"/>
      <c r="AC350" s="3" t="s">
        <v>1369</v>
      </c>
      <c r="AD350" s="3"/>
    </row>
    <row r="351" spans="1:30" ht="72.5">
      <c r="A351" s="3" t="s">
        <v>1508</v>
      </c>
      <c r="B351" s="46"/>
      <c r="C351" s="3"/>
      <c r="D351" s="13" t="s">
        <v>2340</v>
      </c>
      <c r="E351" s="49" t="s">
        <v>2341</v>
      </c>
      <c r="F351" s="13"/>
      <c r="G351" s="13" t="s">
        <v>176</v>
      </c>
      <c r="H351" s="13" t="str">
        <f>IFERROR(VLOOKUP(G351, Sheet2!$A:$B, 2, FALSE), A351)</f>
        <v>HOSPITAL AUTHORITY</v>
      </c>
      <c r="I351" s="6" t="s">
        <v>675</v>
      </c>
      <c r="J351" s="109"/>
      <c r="K351" s="48"/>
      <c r="L351" s="9"/>
      <c r="M351" s="11" t="s">
        <v>2342</v>
      </c>
      <c r="N351" s="11"/>
      <c r="O351" s="11" t="s">
        <v>2343</v>
      </c>
      <c r="P351" s="11"/>
      <c r="Q351" s="8">
        <v>45001</v>
      </c>
      <c r="R351" s="8"/>
      <c r="S351" s="8">
        <v>45041</v>
      </c>
      <c r="T351" s="3" t="s">
        <v>2344</v>
      </c>
      <c r="U351" s="49" t="s">
        <v>2345</v>
      </c>
      <c r="V351" s="19" t="s">
        <v>2346</v>
      </c>
      <c r="W351" s="8"/>
      <c r="X351" s="49" t="s">
        <v>2347</v>
      </c>
      <c r="Y351" s="15" t="s">
        <v>2348</v>
      </c>
      <c r="Z351" s="53"/>
      <c r="AA351" s="3"/>
      <c r="AB351" s="3"/>
      <c r="AC351" s="3" t="s">
        <v>1369</v>
      </c>
      <c r="AD351" s="3"/>
    </row>
    <row r="352" spans="1:30" ht="58">
      <c r="A352" s="5" t="s">
        <v>545</v>
      </c>
      <c r="B352" s="46"/>
      <c r="C352" s="3"/>
      <c r="D352" s="13" t="s">
        <v>2349</v>
      </c>
      <c r="E352" s="150">
        <v>25324149</v>
      </c>
      <c r="F352" s="269"/>
      <c r="G352" s="13" t="s">
        <v>2248</v>
      </c>
      <c r="H352" s="13" t="str">
        <f>IFERROR(VLOOKUP(G352, Sheet2!$A:$B, 2, FALSE), A352)</f>
        <v>DAIWA CAPITAL MARKETS HONG KONG LIMITED</v>
      </c>
      <c r="I352" s="6" t="s">
        <v>352</v>
      </c>
      <c r="J352" s="109"/>
      <c r="K352" s="48"/>
      <c r="L352" s="9"/>
      <c r="M352" s="3"/>
      <c r="N352" s="3"/>
      <c r="O352" s="11"/>
      <c r="P352" s="3"/>
      <c r="Q352" s="8">
        <v>44995</v>
      </c>
      <c r="R352" s="8"/>
      <c r="S352" s="8">
        <v>45447</v>
      </c>
      <c r="T352" s="3" t="s">
        <v>2350</v>
      </c>
      <c r="U352" s="3" t="s">
        <v>2351</v>
      </c>
      <c r="V352" s="19" t="s">
        <v>2352</v>
      </c>
      <c r="W352" s="4" t="s">
        <v>2353</v>
      </c>
      <c r="X352" s="3"/>
      <c r="Y352" s="15" t="s">
        <v>2354</v>
      </c>
      <c r="Z352" s="70" t="s">
        <v>489</v>
      </c>
      <c r="AA352" s="3"/>
      <c r="AB352" s="3"/>
      <c r="AC352" s="3" t="s">
        <v>1369</v>
      </c>
      <c r="AD352" s="133" t="s">
        <v>2355</v>
      </c>
    </row>
    <row r="353" spans="1:30" ht="58">
      <c r="A353" s="3" t="s">
        <v>1508</v>
      </c>
      <c r="B353" s="46"/>
      <c r="C353" s="3"/>
      <c r="D353" s="13" t="s">
        <v>2356</v>
      </c>
      <c r="E353" s="150" t="s">
        <v>2357</v>
      </c>
      <c r="F353" s="269"/>
      <c r="G353" s="13" t="s">
        <v>176</v>
      </c>
      <c r="H353" s="13" t="str">
        <f>IFERROR(VLOOKUP(G353, Sheet2!$A:$B, 2, FALSE), A353)</f>
        <v>HOSPITAL AUTHORITY</v>
      </c>
      <c r="I353" s="6" t="s">
        <v>393</v>
      </c>
      <c r="J353" s="109"/>
      <c r="K353" s="48"/>
      <c r="L353" s="9" t="s">
        <v>2124</v>
      </c>
      <c r="M353" s="15" t="s">
        <v>2358</v>
      </c>
      <c r="N353" s="11"/>
      <c r="O353" s="11" t="s">
        <v>2334</v>
      </c>
      <c r="P353" s="11"/>
      <c r="Q353" s="8">
        <v>45012</v>
      </c>
      <c r="R353" s="8"/>
      <c r="S353" s="8">
        <v>45061</v>
      </c>
      <c r="T353" s="3" t="s">
        <v>2359</v>
      </c>
      <c r="U353" s="3" t="s">
        <v>2360</v>
      </c>
      <c r="V353" s="19" t="s">
        <v>2361</v>
      </c>
      <c r="W353" s="8"/>
      <c r="X353" s="3"/>
      <c r="Y353" s="15" t="s">
        <v>2362</v>
      </c>
      <c r="Z353" s="53"/>
      <c r="AA353" s="3"/>
      <c r="AB353" s="3"/>
      <c r="AC353" s="3" t="s">
        <v>1369</v>
      </c>
      <c r="AD353" s="3"/>
    </row>
    <row r="354" spans="1:30" ht="58">
      <c r="A354" s="3" t="s">
        <v>1508</v>
      </c>
      <c r="B354" s="46"/>
      <c r="C354" s="3"/>
      <c r="D354" s="3" t="s">
        <v>2363</v>
      </c>
      <c r="E354" s="150">
        <v>21276339</v>
      </c>
      <c r="F354" s="269"/>
      <c r="G354" s="3" t="s">
        <v>732</v>
      </c>
      <c r="H354" s="13" t="str">
        <f>IFERROR(VLOOKUP(G354, Sheet2!$A:$B, 2, FALSE), A354)</f>
        <v>AASTOCKS.COM LIMITED</v>
      </c>
      <c r="I354" s="6" t="s">
        <v>675</v>
      </c>
      <c r="J354" s="109"/>
      <c r="K354" s="48"/>
      <c r="L354" s="9"/>
      <c r="M354" s="11" t="s">
        <v>2364</v>
      </c>
      <c r="N354" s="11"/>
      <c r="O354" s="7" t="s">
        <v>2365</v>
      </c>
      <c r="P354" s="11"/>
      <c r="Q354" s="8">
        <v>45012</v>
      </c>
      <c r="R354" s="8"/>
      <c r="S354" s="8">
        <v>45014</v>
      </c>
      <c r="T354" s="8" t="s">
        <v>2366</v>
      </c>
      <c r="U354" s="8" t="s">
        <v>2367</v>
      </c>
      <c r="V354" s="19" t="s">
        <v>2368</v>
      </c>
      <c r="W354" s="8"/>
      <c r="X354" s="8"/>
      <c r="Y354" s="15" t="s">
        <v>2369</v>
      </c>
      <c r="Z354" s="270"/>
      <c r="AA354" s="8"/>
      <c r="AB354" s="3"/>
      <c r="AC354" s="3" t="s">
        <v>1369</v>
      </c>
      <c r="AD354" s="3"/>
    </row>
    <row r="355" spans="1:30" ht="72.5">
      <c r="A355" s="3" t="s">
        <v>1508</v>
      </c>
      <c r="B355" s="46"/>
      <c r="C355" s="3"/>
      <c r="D355" s="3" t="s">
        <v>2370</v>
      </c>
      <c r="E355" s="6" t="s">
        <v>2371</v>
      </c>
      <c r="F355" s="47"/>
      <c r="G355" s="3" t="s">
        <v>175</v>
      </c>
      <c r="H355" s="13" t="str">
        <f>IFERROR(VLOOKUP(G355, Sheet2!$A:$B, 2, FALSE), A355)</f>
        <v>HOSPITAL AUTHORITY</v>
      </c>
      <c r="I355" s="6" t="s">
        <v>675</v>
      </c>
      <c r="J355" s="109"/>
      <c r="K355" s="48"/>
      <c r="L355" s="271" t="s">
        <v>2372</v>
      </c>
      <c r="M355" s="11" t="s">
        <v>2373</v>
      </c>
      <c r="N355" s="11"/>
      <c r="O355" s="7" t="s">
        <v>2334</v>
      </c>
      <c r="P355" s="11"/>
      <c r="Q355" s="8">
        <v>45014</v>
      </c>
      <c r="R355" s="8"/>
      <c r="S355" s="8">
        <v>45041</v>
      </c>
      <c r="T355" s="69" t="s">
        <v>2374</v>
      </c>
      <c r="U355" s="8" t="s">
        <v>2375</v>
      </c>
      <c r="V355" s="19" t="s">
        <v>2376</v>
      </c>
      <c r="W355" s="8"/>
      <c r="X355" s="8" t="s">
        <v>2377</v>
      </c>
      <c r="Y355" s="15" t="s">
        <v>2378</v>
      </c>
      <c r="Z355" s="270"/>
      <c r="AA355" s="8"/>
      <c r="AB355" s="3"/>
      <c r="AC355" s="3" t="s">
        <v>1369</v>
      </c>
      <c r="AD355" s="3"/>
    </row>
    <row r="356" spans="1:30" ht="159.5">
      <c r="A356" s="195" t="s">
        <v>515</v>
      </c>
      <c r="B356" s="46"/>
      <c r="C356" s="3"/>
      <c r="D356" s="3" t="s">
        <v>2379</v>
      </c>
      <c r="E356" s="8" t="s">
        <v>2379</v>
      </c>
      <c r="F356" s="3"/>
      <c r="G356" s="15" t="s">
        <v>186</v>
      </c>
      <c r="H356" s="13" t="str">
        <f>IFERROR(VLOOKUP(G356, Sheet2!$A:$B, 2, FALSE), A356)</f>
        <v>CHOW TAI FOOK JEWELLERY CO LTD</v>
      </c>
      <c r="I356" s="6" t="s">
        <v>352</v>
      </c>
      <c r="J356" s="100">
        <v>726125834629</v>
      </c>
      <c r="K356" s="48" t="s">
        <v>2380</v>
      </c>
      <c r="L356" s="99" t="s">
        <v>2381</v>
      </c>
      <c r="M356" s="95" t="s">
        <v>2382</v>
      </c>
      <c r="N356" s="95" t="s">
        <v>2383</v>
      </c>
      <c r="O356" s="7" t="s">
        <v>2384</v>
      </c>
      <c r="P356" s="272"/>
      <c r="Q356" s="8">
        <v>45014</v>
      </c>
      <c r="R356" s="8"/>
      <c r="S356" s="8" t="s">
        <v>930</v>
      </c>
      <c r="T356" s="12" t="s">
        <v>2385</v>
      </c>
      <c r="U356" s="89" t="s">
        <v>2385</v>
      </c>
      <c r="V356" s="146" t="s">
        <v>2385</v>
      </c>
      <c r="W356" s="8"/>
      <c r="X356" s="89"/>
      <c r="Y356" s="15" t="s">
        <v>2386</v>
      </c>
      <c r="Z356" s="270"/>
      <c r="AA356" s="8"/>
      <c r="AB356" s="3"/>
      <c r="AC356" s="3"/>
      <c r="AD356" s="3"/>
    </row>
    <row r="357" spans="1:30" ht="159.5">
      <c r="A357" s="195" t="s">
        <v>515</v>
      </c>
      <c r="B357" s="46"/>
      <c r="C357" s="3"/>
      <c r="D357" s="3" t="s">
        <v>2379</v>
      </c>
      <c r="E357" s="8" t="s">
        <v>2379</v>
      </c>
      <c r="F357" s="3"/>
      <c r="G357" s="15" t="s">
        <v>186</v>
      </c>
      <c r="H357" s="13" t="str">
        <f>IFERROR(VLOOKUP(G357, Sheet2!$A:$B, 2, FALSE), A357)</f>
        <v>CHOW TAI FOOK JEWELLERY CO LTD</v>
      </c>
      <c r="I357" s="6" t="s">
        <v>352</v>
      </c>
      <c r="J357" s="100">
        <v>726125834629</v>
      </c>
      <c r="K357" s="48" t="s">
        <v>2387</v>
      </c>
      <c r="L357" s="99" t="s">
        <v>2388</v>
      </c>
      <c r="M357" s="95" t="s">
        <v>2389</v>
      </c>
      <c r="N357" s="272" t="s">
        <v>2383</v>
      </c>
      <c r="O357" s="7" t="s">
        <v>2384</v>
      </c>
      <c r="P357" s="272"/>
      <c r="Q357" s="8">
        <v>45014</v>
      </c>
      <c r="R357" s="8"/>
      <c r="S357" s="8" t="s">
        <v>930</v>
      </c>
      <c r="T357" s="12" t="s">
        <v>2385</v>
      </c>
      <c r="U357" s="89" t="s">
        <v>2385</v>
      </c>
      <c r="V357" s="146" t="s">
        <v>2385</v>
      </c>
      <c r="W357" s="8"/>
      <c r="X357" s="89"/>
      <c r="Y357" s="15" t="s">
        <v>2386</v>
      </c>
      <c r="Z357" s="270"/>
      <c r="AA357" s="8"/>
      <c r="AB357" s="3"/>
      <c r="AC357" s="3"/>
      <c r="AD357" s="3"/>
    </row>
    <row r="358" spans="1:30" ht="73.5">
      <c r="A358" s="8" t="s">
        <v>1508</v>
      </c>
      <c r="B358" s="46"/>
      <c r="C358" s="3"/>
      <c r="D358" s="8" t="s">
        <v>2390</v>
      </c>
      <c r="E358" s="150" t="s">
        <v>2391</v>
      </c>
      <c r="F358" s="269"/>
      <c r="G358" s="3" t="s">
        <v>176</v>
      </c>
      <c r="H358" s="13" t="str">
        <f>IFERROR(VLOOKUP(G358, Sheet2!$A:$B, 2, FALSE), A358)</f>
        <v>HOSPITAL AUTHORITY</v>
      </c>
      <c r="I358" s="6" t="s">
        <v>675</v>
      </c>
      <c r="J358" s="109"/>
      <c r="K358" s="48"/>
      <c r="L358" s="9" t="s">
        <v>2392</v>
      </c>
      <c r="M358" s="11" t="s">
        <v>2393</v>
      </c>
      <c r="N358" s="11"/>
      <c r="O358" s="7" t="s">
        <v>2394</v>
      </c>
      <c r="P358" s="11"/>
      <c r="Q358" s="8">
        <v>45016</v>
      </c>
      <c r="R358" s="8"/>
      <c r="S358" s="8">
        <v>45041</v>
      </c>
      <c r="T358" s="8" t="s">
        <v>2395</v>
      </c>
      <c r="U358" s="8" t="s">
        <v>2396</v>
      </c>
      <c r="V358" s="19" t="s">
        <v>2397</v>
      </c>
      <c r="W358" s="8"/>
      <c r="X358" s="8" t="s">
        <v>2398</v>
      </c>
      <c r="Y358" s="9" t="s">
        <v>2399</v>
      </c>
      <c r="Z358" s="53"/>
      <c r="AA358" s="8"/>
      <c r="AB358" s="3"/>
      <c r="AC358" s="3" t="s">
        <v>1369</v>
      </c>
      <c r="AD358" s="3"/>
    </row>
    <row r="359" spans="1:30" ht="73.5">
      <c r="A359" s="3" t="s">
        <v>1508</v>
      </c>
      <c r="B359" s="46"/>
      <c r="C359" s="3"/>
      <c r="D359" s="8" t="s">
        <v>2400</v>
      </c>
      <c r="E359" s="6" t="s">
        <v>2401</v>
      </c>
      <c r="F359" s="47"/>
      <c r="G359" s="3" t="s">
        <v>176</v>
      </c>
      <c r="H359" s="13" t="str">
        <f>IFERROR(VLOOKUP(G359, Sheet2!$A:$B, 2, FALSE), A359)</f>
        <v>HOSPITAL AUTHORITY</v>
      </c>
      <c r="I359" s="6" t="s">
        <v>675</v>
      </c>
      <c r="J359" s="109"/>
      <c r="K359" s="48"/>
      <c r="L359" s="271" t="s">
        <v>2402</v>
      </c>
      <c r="M359" s="11" t="s">
        <v>2403</v>
      </c>
      <c r="N359" s="11"/>
      <c r="O359" s="7" t="s">
        <v>2404</v>
      </c>
      <c r="P359" s="11"/>
      <c r="Q359" s="8">
        <v>45019</v>
      </c>
      <c r="R359" s="8"/>
      <c r="S359" s="8">
        <v>45061</v>
      </c>
      <c r="T359" s="8" t="s">
        <v>2405</v>
      </c>
      <c r="U359" s="8" t="s">
        <v>2406</v>
      </c>
      <c r="V359" s="19" t="s">
        <v>2407</v>
      </c>
      <c r="W359" s="8"/>
      <c r="X359" s="8" t="s">
        <v>2408</v>
      </c>
      <c r="Y359" s="9" t="s">
        <v>2409</v>
      </c>
      <c r="Z359" s="53"/>
      <c r="AA359" s="8"/>
      <c r="AB359" s="3"/>
      <c r="AC359" s="3" t="s">
        <v>1369</v>
      </c>
      <c r="AD359" s="3"/>
    </row>
    <row r="360" spans="1:30" ht="87">
      <c r="A360" s="3" t="s">
        <v>1508</v>
      </c>
      <c r="B360" s="46"/>
      <c r="C360" s="3"/>
      <c r="D360" s="3" t="s">
        <v>2410</v>
      </c>
      <c r="E360" s="6" t="s">
        <v>2411</v>
      </c>
      <c r="F360" s="47"/>
      <c r="G360" s="3" t="s">
        <v>175</v>
      </c>
      <c r="H360" s="13" t="str">
        <f>IFERROR(VLOOKUP(G360, Sheet2!$A:$B, 2, FALSE), A360)</f>
        <v>HOSPITAL AUTHORITY</v>
      </c>
      <c r="I360" s="6" t="s">
        <v>393</v>
      </c>
      <c r="J360" s="109"/>
      <c r="K360" s="75"/>
      <c r="L360" s="271" t="s">
        <v>2130</v>
      </c>
      <c r="M360" s="124" t="s">
        <v>2412</v>
      </c>
      <c r="N360" s="15"/>
      <c r="O360" s="7" t="s">
        <v>2413</v>
      </c>
      <c r="P360" s="15"/>
      <c r="Q360" s="8">
        <v>45022</v>
      </c>
      <c r="R360" s="8"/>
      <c r="S360" s="8">
        <v>45125</v>
      </c>
      <c r="T360" s="8" t="s">
        <v>2414</v>
      </c>
      <c r="U360" s="8" t="s">
        <v>2415</v>
      </c>
      <c r="V360" s="19" t="s">
        <v>2416</v>
      </c>
      <c r="W360" s="8"/>
      <c r="X360" s="8"/>
      <c r="Y360" s="111" t="s">
        <v>2417</v>
      </c>
      <c r="Z360" s="50"/>
      <c r="AA360" s="8"/>
      <c r="AB360" s="3"/>
      <c r="AC360" s="3" t="s">
        <v>1369</v>
      </c>
      <c r="AD360" s="3"/>
    </row>
    <row r="361" spans="1:30" ht="72.5">
      <c r="A361" s="273" t="s">
        <v>1508</v>
      </c>
      <c r="B361" s="46"/>
      <c r="C361" s="3"/>
      <c r="D361" s="6" t="s">
        <v>2418</v>
      </c>
      <c r="E361" s="59" t="s">
        <v>2419</v>
      </c>
      <c r="F361" s="60"/>
      <c r="G361" s="3" t="s">
        <v>176</v>
      </c>
      <c r="H361" s="13" t="str">
        <f>IFERROR(VLOOKUP(G361, Sheet2!$A:$B, 2, FALSE), A361)</f>
        <v>HOSPITAL AUTHORITY</v>
      </c>
      <c r="I361" s="6" t="s">
        <v>675</v>
      </c>
      <c r="J361" s="109"/>
      <c r="K361" s="48"/>
      <c r="L361" s="263"/>
      <c r="M361" s="11" t="s">
        <v>2420</v>
      </c>
      <c r="N361" s="11"/>
      <c r="O361" s="7" t="s">
        <v>2421</v>
      </c>
      <c r="P361" s="11"/>
      <c r="Q361" s="8">
        <v>45028</v>
      </c>
      <c r="R361" s="8"/>
      <c r="S361" s="8">
        <v>45061</v>
      </c>
      <c r="T361" s="8" t="s">
        <v>2422</v>
      </c>
      <c r="U361" s="8" t="s">
        <v>2423</v>
      </c>
      <c r="V361" s="19" t="s">
        <v>2424</v>
      </c>
      <c r="W361" s="8"/>
      <c r="X361" s="8" t="s">
        <v>2425</v>
      </c>
      <c r="Y361" s="9" t="s">
        <v>2426</v>
      </c>
      <c r="Z361" s="273"/>
      <c r="AA361" s="8"/>
      <c r="AB361" s="3"/>
      <c r="AC361" s="3" t="s">
        <v>1369</v>
      </c>
      <c r="AD361" s="108"/>
    </row>
    <row r="362" spans="1:30" ht="72.5">
      <c r="A362" s="72" t="s">
        <v>1508</v>
      </c>
      <c r="B362" s="46"/>
      <c r="C362" s="3"/>
      <c r="D362" s="8" t="s">
        <v>2427</v>
      </c>
      <c r="E362" s="8" t="s">
        <v>2428</v>
      </c>
      <c r="F362" s="3"/>
      <c r="G362" s="3" t="s">
        <v>43</v>
      </c>
      <c r="H362" s="13" t="str">
        <f>IFERROR(VLOOKUP(G362, Sheet2!$A:$B, 2, FALSE), A362)</f>
        <v>CHOW TAI FOOK JEWELLERY CO LTD</v>
      </c>
      <c r="I362" s="6" t="s">
        <v>352</v>
      </c>
      <c r="J362" s="100">
        <v>726125834629</v>
      </c>
      <c r="K362" s="48" t="s">
        <v>2429</v>
      </c>
      <c r="L362" s="9" t="s">
        <v>2430</v>
      </c>
      <c r="M362" s="11" t="s">
        <v>2431</v>
      </c>
      <c r="N362" s="11"/>
      <c r="O362" s="7"/>
      <c r="P362" s="11"/>
      <c r="Q362" s="8">
        <v>45029</v>
      </c>
      <c r="R362" s="8"/>
      <c r="S362" s="8">
        <v>45134</v>
      </c>
      <c r="T362" s="73" t="s">
        <v>2432</v>
      </c>
      <c r="U362" s="73" t="s">
        <v>2433</v>
      </c>
      <c r="V362" s="19" t="s">
        <v>2434</v>
      </c>
      <c r="W362" s="8"/>
      <c r="X362" s="73"/>
      <c r="Y362" s="9" t="s">
        <v>2435</v>
      </c>
      <c r="Z362" s="273"/>
      <c r="AA362" s="8" t="s">
        <v>1079</v>
      </c>
      <c r="AB362" s="3"/>
      <c r="AC362" s="3" t="s">
        <v>1369</v>
      </c>
      <c r="AD362" s="108"/>
    </row>
    <row r="363" spans="1:30" ht="72.5">
      <c r="A363" s="8" t="s">
        <v>350</v>
      </c>
      <c r="B363" s="46"/>
      <c r="C363" s="3"/>
      <c r="D363" s="8" t="s">
        <v>975</v>
      </c>
      <c r="E363" s="6" t="s">
        <v>1275</v>
      </c>
      <c r="F363" s="47"/>
      <c r="G363" s="13" t="s">
        <v>187</v>
      </c>
      <c r="H363" s="13" t="str">
        <f>IFERROR(VLOOKUP(G363, Sheet2!$A:$B, 2, FALSE), A363)</f>
        <v>CAM 8 HKT Commercial Hotline Team (CHT)</v>
      </c>
      <c r="I363" s="6" t="s">
        <v>352</v>
      </c>
      <c r="J363" s="109"/>
      <c r="K363" s="48" t="s">
        <v>2436</v>
      </c>
      <c r="L363" s="9"/>
      <c r="M363" s="11" t="s">
        <v>2437</v>
      </c>
      <c r="N363" s="11"/>
      <c r="O363" s="7"/>
      <c r="P363" s="11"/>
      <c r="Q363" s="8">
        <v>45041</v>
      </c>
      <c r="R363" s="8"/>
      <c r="S363" s="8">
        <v>45141</v>
      </c>
      <c r="T363" s="8" t="s">
        <v>2438</v>
      </c>
      <c r="U363" s="8" t="s">
        <v>2439</v>
      </c>
      <c r="V363" s="19" t="s">
        <v>2440</v>
      </c>
      <c r="W363" s="8"/>
      <c r="X363" s="8"/>
      <c r="Y363" s="15" t="s">
        <v>2441</v>
      </c>
      <c r="Z363" s="53" t="s">
        <v>425</v>
      </c>
      <c r="AA363" s="8" t="s">
        <v>930</v>
      </c>
      <c r="AB363" s="3"/>
      <c r="AC363" s="3" t="s">
        <v>1369</v>
      </c>
      <c r="AD363" s="3"/>
    </row>
    <row r="364" spans="1:30" ht="74">
      <c r="A364" s="8" t="s">
        <v>1508</v>
      </c>
      <c r="B364" s="46"/>
      <c r="C364" s="3"/>
      <c r="D364" s="8" t="s">
        <v>2442</v>
      </c>
      <c r="E364" s="49" t="s">
        <v>2443</v>
      </c>
      <c r="F364" s="13"/>
      <c r="G364" s="8" t="s">
        <v>176</v>
      </c>
      <c r="H364" s="13" t="str">
        <f>IFERROR(VLOOKUP(G364, Sheet2!$A:$B, 2, FALSE), A364)</f>
        <v>HOSPITAL AUTHORITY</v>
      </c>
      <c r="I364" s="6" t="s">
        <v>675</v>
      </c>
      <c r="J364" s="109"/>
      <c r="K364" s="48"/>
      <c r="L364" s="271" t="s">
        <v>2444</v>
      </c>
      <c r="M364" s="11" t="s">
        <v>2445</v>
      </c>
      <c r="N364" s="11"/>
      <c r="O364" s="7" t="s">
        <v>2217</v>
      </c>
      <c r="P364" s="11"/>
      <c r="Q364" s="8">
        <v>45034</v>
      </c>
      <c r="R364" s="8"/>
      <c r="S364" s="8">
        <v>45061</v>
      </c>
      <c r="T364" s="8" t="s">
        <v>2446</v>
      </c>
      <c r="U364" s="8" t="s">
        <v>2447</v>
      </c>
      <c r="V364" s="19" t="s">
        <v>2448</v>
      </c>
      <c r="W364" s="8"/>
      <c r="X364" s="4" t="s">
        <v>2449</v>
      </c>
      <c r="Y364" s="9" t="s">
        <v>2450</v>
      </c>
      <c r="Z364" s="53"/>
      <c r="AA364" s="8"/>
      <c r="AB364" s="3"/>
      <c r="AC364" s="3" t="s">
        <v>1369</v>
      </c>
      <c r="AD364" s="3"/>
    </row>
    <row r="365" spans="1:30" ht="74">
      <c r="A365" s="3" t="s">
        <v>1508</v>
      </c>
      <c r="B365" s="46"/>
      <c r="C365" s="3"/>
      <c r="D365" s="8" t="s">
        <v>2451</v>
      </c>
      <c r="E365" s="8" t="s">
        <v>2452</v>
      </c>
      <c r="F365" s="3"/>
      <c r="G365" s="8" t="s">
        <v>176</v>
      </c>
      <c r="H365" s="13" t="str">
        <f>IFERROR(VLOOKUP(G365, Sheet2!$A:$B, 2, FALSE), A365)</f>
        <v>HOSPITAL AUTHORITY</v>
      </c>
      <c r="I365" s="6" t="s">
        <v>675</v>
      </c>
      <c r="J365" s="109"/>
      <c r="K365" s="48"/>
      <c r="L365" s="9" t="s">
        <v>2453</v>
      </c>
      <c r="M365" s="11" t="s">
        <v>2454</v>
      </c>
      <c r="N365" s="11"/>
      <c r="O365" s="7" t="s">
        <v>2455</v>
      </c>
      <c r="P365" s="11"/>
      <c r="Q365" s="8">
        <v>45041</v>
      </c>
      <c r="R365" s="8"/>
      <c r="S365" s="8">
        <v>45061</v>
      </c>
      <c r="T365" s="8" t="s">
        <v>2456</v>
      </c>
      <c r="U365" s="8" t="s">
        <v>2457</v>
      </c>
      <c r="V365" s="19" t="s">
        <v>2458</v>
      </c>
      <c r="W365" s="8"/>
      <c r="X365" s="8" t="s">
        <v>2459</v>
      </c>
      <c r="Y365" s="9" t="s">
        <v>2460</v>
      </c>
      <c r="Z365" s="53"/>
      <c r="AA365" s="8"/>
      <c r="AB365" s="3"/>
      <c r="AC365" s="3" t="s">
        <v>1369</v>
      </c>
      <c r="AD365" s="3"/>
    </row>
    <row r="366" spans="1:30" ht="58">
      <c r="A366" s="8" t="s">
        <v>1508</v>
      </c>
      <c r="B366" s="46"/>
      <c r="C366" s="3"/>
      <c r="D366" s="8" t="s">
        <v>2461</v>
      </c>
      <c r="E366" s="8" t="s">
        <v>2462</v>
      </c>
      <c r="F366" s="3"/>
      <c r="G366" s="8" t="s">
        <v>176</v>
      </c>
      <c r="H366" s="13" t="str">
        <f>IFERROR(VLOOKUP(G366, Sheet2!$A:$B, 2, FALSE), A366)</f>
        <v>HOSPITAL AUTHORITY</v>
      </c>
      <c r="I366" s="6" t="s">
        <v>352</v>
      </c>
      <c r="J366" s="109">
        <v>524889937358</v>
      </c>
      <c r="K366" s="75" t="s">
        <v>2463</v>
      </c>
      <c r="L366" s="72" t="s">
        <v>2464</v>
      </c>
      <c r="M366" s="11" t="s">
        <v>2465</v>
      </c>
      <c r="N366" s="11"/>
      <c r="O366" s="7" t="s">
        <v>2466</v>
      </c>
      <c r="P366" s="11"/>
      <c r="Q366" s="8">
        <v>45041</v>
      </c>
      <c r="R366" s="8"/>
      <c r="S366" s="8">
        <v>45061</v>
      </c>
      <c r="T366" s="8" t="s">
        <v>2467</v>
      </c>
      <c r="U366" s="8" t="s">
        <v>2468</v>
      </c>
      <c r="V366" s="19" t="s">
        <v>2469</v>
      </c>
      <c r="W366" s="8"/>
      <c r="X366" s="8"/>
      <c r="Y366" s="72" t="s">
        <v>2470</v>
      </c>
      <c r="Z366" s="53"/>
      <c r="AA366" s="8"/>
      <c r="AB366" s="3"/>
      <c r="AC366" s="3" t="s">
        <v>1369</v>
      </c>
      <c r="AD366" s="3"/>
    </row>
    <row r="367" spans="1:30" ht="72.5">
      <c r="A367" s="3" t="s">
        <v>350</v>
      </c>
      <c r="B367" s="46"/>
      <c r="C367" s="3"/>
      <c r="D367" s="3" t="s">
        <v>2471</v>
      </c>
      <c r="E367" s="8" t="s">
        <v>2472</v>
      </c>
      <c r="F367" s="3"/>
      <c r="G367" s="3" t="s">
        <v>2473</v>
      </c>
      <c r="H367" s="13" t="str">
        <f>IFERROR(VLOOKUP(G367, Sheet2!$A:$B, 2, FALSE), A367)</f>
        <v>Luk Fook Holdings Co Ltd</v>
      </c>
      <c r="I367" s="6" t="s">
        <v>359</v>
      </c>
      <c r="J367" s="109"/>
      <c r="K367" s="274"/>
      <c r="L367" s="275"/>
      <c r="M367" s="11"/>
      <c r="N367" s="11"/>
      <c r="O367" s="7"/>
      <c r="P367" s="11" t="s">
        <v>2474</v>
      </c>
      <c r="Q367" s="8">
        <v>45040</v>
      </c>
      <c r="R367" s="8"/>
      <c r="S367" s="8">
        <v>45043</v>
      </c>
      <c r="T367" s="3" t="s">
        <v>1323</v>
      </c>
      <c r="U367" s="49" t="s">
        <v>2475</v>
      </c>
      <c r="V367" s="19" t="s">
        <v>1325</v>
      </c>
      <c r="W367" s="8"/>
      <c r="X367" s="49"/>
      <c r="Y367" s="180" t="s">
        <v>2476</v>
      </c>
      <c r="Z367" s="53"/>
      <c r="AA367" s="8"/>
      <c r="AB367" s="3"/>
      <c r="AC367" s="3" t="s">
        <v>1369</v>
      </c>
      <c r="AD367" s="3"/>
    </row>
    <row r="368" spans="1:30" ht="72.5">
      <c r="A368" s="3" t="s">
        <v>1508</v>
      </c>
      <c r="B368" s="46"/>
      <c r="C368" s="3"/>
      <c r="D368" s="3" t="s">
        <v>2477</v>
      </c>
      <c r="E368" s="8" t="s">
        <v>2478</v>
      </c>
      <c r="F368" s="3"/>
      <c r="G368" s="3" t="s">
        <v>176</v>
      </c>
      <c r="H368" s="13" t="str">
        <f>IFERROR(VLOOKUP(G368, Sheet2!$A:$B, 2, FALSE), A368)</f>
        <v>HOSPITAL AUTHORITY</v>
      </c>
      <c r="I368" s="6" t="s">
        <v>675</v>
      </c>
      <c r="J368" s="109"/>
      <c r="K368" s="48"/>
      <c r="L368" s="9"/>
      <c r="M368" s="11" t="s">
        <v>2479</v>
      </c>
      <c r="N368" s="11"/>
      <c r="O368" s="7" t="s">
        <v>2480</v>
      </c>
      <c r="P368" s="11"/>
      <c r="Q368" s="8">
        <v>45043</v>
      </c>
      <c r="R368" s="8"/>
      <c r="S368" s="8">
        <v>45061</v>
      </c>
      <c r="T368" s="3" t="s">
        <v>2481</v>
      </c>
      <c r="U368" s="49" t="s">
        <v>2482</v>
      </c>
      <c r="V368" s="19" t="s">
        <v>2483</v>
      </c>
      <c r="W368" s="8"/>
      <c r="X368" s="49" t="s">
        <v>2484</v>
      </c>
      <c r="Y368" s="15" t="s">
        <v>2485</v>
      </c>
      <c r="Z368" s="53"/>
      <c r="AA368" s="8"/>
      <c r="AB368" s="3"/>
      <c r="AC368" s="3" t="s">
        <v>1369</v>
      </c>
      <c r="AD368" s="3"/>
    </row>
    <row r="369" spans="1:30" ht="87.5">
      <c r="A369" s="8" t="s">
        <v>1508</v>
      </c>
      <c r="B369" s="46"/>
      <c r="C369" s="3"/>
      <c r="D369" s="8" t="s">
        <v>2486</v>
      </c>
      <c r="E369" s="8" t="s">
        <v>2487</v>
      </c>
      <c r="F369" s="3"/>
      <c r="G369" s="8" t="s">
        <v>189</v>
      </c>
      <c r="H369" s="13" t="str">
        <f>IFERROR(VLOOKUP(G369, Sheet2!$A:$B, 2, FALSE), A369)</f>
        <v>HKT Teleservices Technical Services</v>
      </c>
      <c r="I369" s="6" t="s">
        <v>352</v>
      </c>
      <c r="J369" s="109"/>
      <c r="K369" s="79" t="s">
        <v>2488</v>
      </c>
      <c r="L369" s="56" t="s">
        <v>2489</v>
      </c>
      <c r="M369" s="11" t="s">
        <v>2490</v>
      </c>
      <c r="N369" s="11"/>
      <c r="O369" s="7"/>
      <c r="P369" s="11" t="s">
        <v>2491</v>
      </c>
      <c r="Q369" s="8">
        <v>45051</v>
      </c>
      <c r="R369" s="8"/>
      <c r="S369" s="8">
        <v>45044</v>
      </c>
      <c r="T369" s="8" t="s">
        <v>2492</v>
      </c>
      <c r="U369" s="8" t="s">
        <v>2493</v>
      </c>
      <c r="V369" s="19" t="s">
        <v>2494</v>
      </c>
      <c r="W369" s="8"/>
      <c r="X369" s="8"/>
      <c r="Y369" s="56" t="s">
        <v>2495</v>
      </c>
      <c r="Z369" s="53"/>
      <c r="AA369" s="8"/>
      <c r="AB369" s="3"/>
      <c r="AC369" s="3" t="s">
        <v>1369</v>
      </c>
      <c r="AD369" s="3"/>
    </row>
    <row r="370" spans="1:30" ht="87.5">
      <c r="A370" s="3" t="s">
        <v>1508</v>
      </c>
      <c r="B370" s="46"/>
      <c r="C370" s="3"/>
      <c r="D370" s="8" t="s">
        <v>2486</v>
      </c>
      <c r="E370" s="8" t="s">
        <v>2487</v>
      </c>
      <c r="F370" s="3"/>
      <c r="G370" s="8" t="s">
        <v>189</v>
      </c>
      <c r="H370" s="13" t="str">
        <f>IFERROR(VLOOKUP(G370, Sheet2!$A:$B, 2, FALSE), A370)</f>
        <v>HKT Teleservices Technical Services</v>
      </c>
      <c r="I370" s="6" t="s">
        <v>352</v>
      </c>
      <c r="J370" s="109"/>
      <c r="K370" s="79" t="s">
        <v>2496</v>
      </c>
      <c r="L370" s="56" t="s">
        <v>2489</v>
      </c>
      <c r="M370" s="11" t="s">
        <v>2497</v>
      </c>
      <c r="N370" s="11"/>
      <c r="O370" s="7"/>
      <c r="P370" s="11" t="s">
        <v>2491</v>
      </c>
      <c r="Q370" s="8">
        <v>45051</v>
      </c>
      <c r="R370" s="8"/>
      <c r="S370" s="8">
        <v>45044</v>
      </c>
      <c r="T370" s="219" t="s">
        <v>2498</v>
      </c>
      <c r="U370" s="8" t="s">
        <v>2499</v>
      </c>
      <c r="V370" s="19" t="s">
        <v>2500</v>
      </c>
      <c r="W370" s="8"/>
      <c r="X370" s="8"/>
      <c r="Y370" s="56" t="s">
        <v>2495</v>
      </c>
      <c r="Z370" s="53"/>
      <c r="AA370" s="8"/>
      <c r="AB370" s="3"/>
      <c r="AC370" s="3" t="s">
        <v>1369</v>
      </c>
      <c r="AD370" s="3"/>
    </row>
    <row r="371" spans="1:30" ht="87.5">
      <c r="A371" s="3" t="s">
        <v>1508</v>
      </c>
      <c r="B371" s="46"/>
      <c r="C371" s="3"/>
      <c r="D371" s="8" t="s">
        <v>2486</v>
      </c>
      <c r="E371" s="8" t="s">
        <v>2487</v>
      </c>
      <c r="F371" s="3"/>
      <c r="G371" s="8" t="s">
        <v>189</v>
      </c>
      <c r="H371" s="13" t="str">
        <f>IFERROR(VLOOKUP(G371, Sheet2!$A:$B, 2, FALSE), A371)</f>
        <v>HKT Teleservices Technical Services</v>
      </c>
      <c r="I371" s="6" t="s">
        <v>352</v>
      </c>
      <c r="J371" s="109"/>
      <c r="K371" s="79" t="s">
        <v>2501</v>
      </c>
      <c r="L371" s="56" t="s">
        <v>2489</v>
      </c>
      <c r="M371" s="11" t="s">
        <v>2502</v>
      </c>
      <c r="N371" s="11"/>
      <c r="O371" s="7"/>
      <c r="P371" s="11" t="s">
        <v>2491</v>
      </c>
      <c r="Q371" s="8">
        <v>45051</v>
      </c>
      <c r="R371" s="8"/>
      <c r="S371" s="8">
        <v>45044</v>
      </c>
      <c r="T371" s="8" t="s">
        <v>2503</v>
      </c>
      <c r="U371" s="8" t="s">
        <v>2504</v>
      </c>
      <c r="V371" s="19" t="s">
        <v>2505</v>
      </c>
      <c r="W371" s="8"/>
      <c r="X371" s="8"/>
      <c r="Y371" s="56" t="s">
        <v>2495</v>
      </c>
      <c r="Z371" s="53"/>
      <c r="AA371" s="8"/>
      <c r="AB371" s="3"/>
      <c r="AC371" s="3" t="s">
        <v>1369</v>
      </c>
      <c r="AD371" s="3"/>
    </row>
    <row r="372" spans="1:30" ht="58">
      <c r="A372" s="3" t="s">
        <v>1508</v>
      </c>
      <c r="B372" s="46"/>
      <c r="C372" s="3"/>
      <c r="D372" s="3" t="s">
        <v>2506</v>
      </c>
      <c r="E372" s="6">
        <v>25970982</v>
      </c>
      <c r="F372" s="47"/>
      <c r="G372" s="3" t="s">
        <v>2507</v>
      </c>
      <c r="H372" s="13" t="str">
        <f>IFERROR(VLOOKUP(G372, Sheet2!$A:$B, 2, FALSE), A372)</f>
        <v>HONG KONG MONETARY AUTHORITY</v>
      </c>
      <c r="I372" s="6" t="s">
        <v>352</v>
      </c>
      <c r="J372" s="109"/>
      <c r="K372" s="48" t="s">
        <v>2508</v>
      </c>
      <c r="L372" s="9"/>
      <c r="M372" s="95" t="s">
        <v>2509</v>
      </c>
      <c r="N372" s="180"/>
      <c r="O372" s="7" t="s">
        <v>2384</v>
      </c>
      <c r="P372" s="180"/>
      <c r="Q372" s="8">
        <v>45047</v>
      </c>
      <c r="R372" s="8"/>
      <c r="S372" s="8">
        <v>45063</v>
      </c>
      <c r="T372" s="3" t="s">
        <v>2510</v>
      </c>
      <c r="U372" s="3" t="s">
        <v>2511</v>
      </c>
      <c r="V372" s="19" t="s">
        <v>2512</v>
      </c>
      <c r="W372" s="8"/>
      <c r="X372" s="9" t="s">
        <v>2513</v>
      </c>
      <c r="Y372" s="15" t="s">
        <v>2514</v>
      </c>
      <c r="Z372" s="53"/>
      <c r="AA372" s="8"/>
      <c r="AB372" s="3"/>
      <c r="AC372" s="3" t="s">
        <v>1369</v>
      </c>
      <c r="AD372" s="3"/>
    </row>
    <row r="373" spans="1:30" ht="58">
      <c r="A373" s="3" t="s">
        <v>1508</v>
      </c>
      <c r="B373" s="46"/>
      <c r="C373" s="3"/>
      <c r="D373" s="11" t="s">
        <v>2506</v>
      </c>
      <c r="E373" s="106">
        <v>25970982</v>
      </c>
      <c r="F373" s="107"/>
      <c r="G373" s="3" t="s">
        <v>2507</v>
      </c>
      <c r="H373" s="13" t="str">
        <f>IFERROR(VLOOKUP(G373, Sheet2!$A:$B, 2, FALSE), A373)</f>
        <v>HONG KONG MONETARY AUTHORITY</v>
      </c>
      <c r="I373" s="6" t="s">
        <v>352</v>
      </c>
      <c r="J373" s="109"/>
      <c r="K373" s="48" t="s">
        <v>2515</v>
      </c>
      <c r="L373" s="9" t="s">
        <v>2516</v>
      </c>
      <c r="M373" s="95" t="s">
        <v>2517</v>
      </c>
      <c r="N373" s="15"/>
      <c r="O373" s="7" t="s">
        <v>2384</v>
      </c>
      <c r="P373" s="15"/>
      <c r="Q373" s="8">
        <v>45047</v>
      </c>
      <c r="R373" s="8"/>
      <c r="S373" s="8" t="s">
        <v>2518</v>
      </c>
      <c r="T373" s="3" t="s">
        <v>2519</v>
      </c>
      <c r="U373" s="3" t="s">
        <v>2520</v>
      </c>
      <c r="V373" s="19" t="s">
        <v>2521</v>
      </c>
      <c r="W373" s="8"/>
      <c r="X373" s="3"/>
      <c r="Y373" s="15" t="s">
        <v>2522</v>
      </c>
      <c r="Z373" s="53"/>
      <c r="AA373" s="8"/>
      <c r="AB373" s="3"/>
      <c r="AC373" s="3"/>
      <c r="AD373" s="3"/>
    </row>
    <row r="374" spans="1:30" ht="88">
      <c r="A374" s="228" t="s">
        <v>1508</v>
      </c>
      <c r="B374" s="229"/>
      <c r="C374" s="228"/>
      <c r="D374" s="228" t="s">
        <v>2523</v>
      </c>
      <c r="E374" s="230" t="s">
        <v>2524</v>
      </c>
      <c r="F374" s="228"/>
      <c r="G374" s="228" t="s">
        <v>176</v>
      </c>
      <c r="H374" s="13" t="str">
        <f>IFERROR(VLOOKUP(G374, Sheet2!$A:$B, 2, FALSE), A374)</f>
        <v>HOSPITAL AUTHORITY</v>
      </c>
      <c r="I374" s="231" t="s">
        <v>675</v>
      </c>
      <c r="J374" s="232">
        <v>524889937358</v>
      </c>
      <c r="K374" s="233" t="s">
        <v>2525</v>
      </c>
      <c r="L374" s="276" t="s">
        <v>2526</v>
      </c>
      <c r="M374" s="235" t="s">
        <v>2527</v>
      </c>
      <c r="N374" s="235"/>
      <c r="O374" s="276" t="s">
        <v>2300</v>
      </c>
      <c r="P374" s="235"/>
      <c r="Q374" s="230">
        <v>45049</v>
      </c>
      <c r="R374" s="230"/>
      <c r="S374" s="230">
        <v>45103</v>
      </c>
      <c r="T374" s="228" t="s">
        <v>2528</v>
      </c>
      <c r="U374" s="249" t="s">
        <v>2529</v>
      </c>
      <c r="V374" s="237" t="s">
        <v>2530</v>
      </c>
      <c r="W374" s="230"/>
      <c r="X374" s="249"/>
      <c r="Y374" s="277" t="s">
        <v>2531</v>
      </c>
      <c r="Z374" s="238"/>
      <c r="AA374" s="230" t="s">
        <v>1264</v>
      </c>
      <c r="AB374" s="228"/>
      <c r="AC374" s="228" t="s">
        <v>1369</v>
      </c>
      <c r="AD374" s="228"/>
    </row>
    <row r="375" spans="1:30" ht="72.5">
      <c r="A375" s="3" t="s">
        <v>1508</v>
      </c>
      <c r="B375" s="46"/>
      <c r="C375" s="3"/>
      <c r="D375" s="3" t="s">
        <v>2523</v>
      </c>
      <c r="E375" s="8" t="s">
        <v>2532</v>
      </c>
      <c r="F375" s="3"/>
      <c r="G375" s="3" t="s">
        <v>176</v>
      </c>
      <c r="H375" s="13" t="str">
        <f>IFERROR(VLOOKUP(G375, Sheet2!$A:$B, 2, FALSE), A375)</f>
        <v>HOSPITAL AUTHORITY</v>
      </c>
      <c r="I375" s="6" t="s">
        <v>352</v>
      </c>
      <c r="J375" s="109">
        <v>524889937358</v>
      </c>
      <c r="K375" s="266" t="s">
        <v>2533</v>
      </c>
      <c r="L375" s="9" t="s">
        <v>2534</v>
      </c>
      <c r="M375" s="11" t="s">
        <v>2535</v>
      </c>
      <c r="N375" s="11"/>
      <c r="O375" s="9" t="s">
        <v>2300</v>
      </c>
      <c r="P375" s="11"/>
      <c r="Q375" s="8">
        <v>45049</v>
      </c>
      <c r="R375" s="8"/>
      <c r="S375" s="8">
        <v>45103</v>
      </c>
      <c r="T375" s="3" t="s">
        <v>2536</v>
      </c>
      <c r="U375" s="49" t="s">
        <v>2537</v>
      </c>
      <c r="V375" s="19" t="s">
        <v>2538</v>
      </c>
      <c r="W375" s="8"/>
      <c r="X375" s="49"/>
      <c r="Y375" s="15" t="s">
        <v>2531</v>
      </c>
      <c r="Z375" s="53"/>
      <c r="AA375" s="8" t="s">
        <v>1264</v>
      </c>
      <c r="AB375" s="3"/>
      <c r="AC375" s="3" t="s">
        <v>1369</v>
      </c>
      <c r="AD375" s="3"/>
    </row>
    <row r="376" spans="1:30" ht="87">
      <c r="A376" s="8" t="s">
        <v>1508</v>
      </c>
      <c r="B376" s="46"/>
      <c r="C376" s="3"/>
      <c r="D376" s="8" t="s">
        <v>2539</v>
      </c>
      <c r="E376" s="6" t="s">
        <v>2540</v>
      </c>
      <c r="F376" s="47"/>
      <c r="G376" s="8" t="s">
        <v>176</v>
      </c>
      <c r="H376" s="13" t="str">
        <f>IFERROR(VLOOKUP(G376, Sheet2!$A:$B, 2, FALSE), A376)</f>
        <v>HOSPITAL AUTHORITY</v>
      </c>
      <c r="I376" s="6" t="s">
        <v>352</v>
      </c>
      <c r="J376" s="109">
        <v>524889937358</v>
      </c>
      <c r="K376" s="48" t="s">
        <v>2541</v>
      </c>
      <c r="L376" s="9" t="s">
        <v>2542</v>
      </c>
      <c r="M376" s="11" t="s">
        <v>2543</v>
      </c>
      <c r="N376" s="11"/>
      <c r="O376" s="7" t="s">
        <v>2266</v>
      </c>
      <c r="P376" s="11"/>
      <c r="Q376" s="8">
        <v>45056</v>
      </c>
      <c r="R376" s="8"/>
      <c r="S376" s="8">
        <v>45103</v>
      </c>
      <c r="T376" s="8" t="s">
        <v>2544</v>
      </c>
      <c r="U376" s="8" t="s">
        <v>2545</v>
      </c>
      <c r="V376" s="19" t="s">
        <v>2546</v>
      </c>
      <c r="W376" s="8"/>
      <c r="X376" s="8"/>
      <c r="Y376" s="9" t="s">
        <v>2547</v>
      </c>
      <c r="Z376" s="53"/>
      <c r="AA376" s="8" t="s">
        <v>1264</v>
      </c>
      <c r="AB376" s="3"/>
      <c r="AC376" s="3" t="s">
        <v>1369</v>
      </c>
      <c r="AD376" s="3"/>
    </row>
    <row r="377" spans="1:30" ht="58.5">
      <c r="A377" s="3" t="s">
        <v>1508</v>
      </c>
      <c r="B377" s="46"/>
      <c r="C377" s="3"/>
      <c r="D377" s="3" t="s">
        <v>2548</v>
      </c>
      <c r="E377" s="8" t="s">
        <v>2549</v>
      </c>
      <c r="F377" s="3"/>
      <c r="G377" s="8" t="s">
        <v>176</v>
      </c>
      <c r="H377" s="13" t="str">
        <f>IFERROR(VLOOKUP(G377, Sheet2!$A:$B, 2, FALSE), A377)</f>
        <v>HOSPITAL AUTHORITY</v>
      </c>
      <c r="I377" s="6" t="s">
        <v>393</v>
      </c>
      <c r="J377" s="109"/>
      <c r="K377" s="48"/>
      <c r="L377" s="9" t="s">
        <v>2550</v>
      </c>
      <c r="M377" s="15" t="s">
        <v>2551</v>
      </c>
      <c r="N377" s="15"/>
      <c r="O377" s="7" t="s">
        <v>2552</v>
      </c>
      <c r="P377" s="15"/>
      <c r="Q377" s="8">
        <v>45056</v>
      </c>
      <c r="R377" s="8"/>
      <c r="S377" s="8">
        <v>45061</v>
      </c>
      <c r="T377" s="3" t="s">
        <v>2553</v>
      </c>
      <c r="U377" s="8" t="s">
        <v>2554</v>
      </c>
      <c r="V377" s="19" t="s">
        <v>2555</v>
      </c>
      <c r="W377" s="8"/>
      <c r="X377" s="8"/>
      <c r="Y377" s="15" t="s">
        <v>2556</v>
      </c>
      <c r="Z377" s="53"/>
      <c r="AA377" s="8"/>
      <c r="AB377" s="3"/>
      <c r="AC377" s="3" t="s">
        <v>1369</v>
      </c>
      <c r="AD377" s="3"/>
    </row>
    <row r="378" spans="1:30" ht="72.5">
      <c r="A378" s="3" t="s">
        <v>1508</v>
      </c>
      <c r="B378" s="46"/>
      <c r="C378" s="3"/>
      <c r="D378" s="3" t="s">
        <v>2557</v>
      </c>
      <c r="E378" s="8" t="s">
        <v>2558</v>
      </c>
      <c r="F378" s="3"/>
      <c r="G378" s="8" t="s">
        <v>176</v>
      </c>
      <c r="H378" s="13" t="str">
        <f>IFERROR(VLOOKUP(G378, Sheet2!$A:$B, 2, FALSE), A378)</f>
        <v>HOSPITAL AUTHORITY</v>
      </c>
      <c r="I378" s="6" t="s">
        <v>675</v>
      </c>
      <c r="J378" s="109">
        <v>524889937358</v>
      </c>
      <c r="K378" s="48" t="s">
        <v>1670</v>
      </c>
      <c r="L378" s="9" t="s">
        <v>2559</v>
      </c>
      <c r="M378" s="11" t="s">
        <v>2560</v>
      </c>
      <c r="N378" s="11"/>
      <c r="O378" s="7" t="s">
        <v>2561</v>
      </c>
      <c r="P378" s="11"/>
      <c r="Q378" s="8">
        <v>45057</v>
      </c>
      <c r="R378" s="8"/>
      <c r="S378" s="8">
        <v>45061</v>
      </c>
      <c r="T378" s="3" t="s">
        <v>2562</v>
      </c>
      <c r="U378" s="8" t="s">
        <v>2563</v>
      </c>
      <c r="V378" s="19" t="s">
        <v>2564</v>
      </c>
      <c r="W378" s="8"/>
      <c r="X378" s="4" t="s">
        <v>2565</v>
      </c>
      <c r="Y378" s="15" t="s">
        <v>2566</v>
      </c>
      <c r="Z378" s="53"/>
      <c r="AA378" s="8"/>
      <c r="AB378" s="3"/>
      <c r="AC378" s="3" t="s">
        <v>1369</v>
      </c>
      <c r="AD378" s="3"/>
    </row>
    <row r="379" spans="1:30" ht="87">
      <c r="A379" s="3" t="s">
        <v>1508</v>
      </c>
      <c r="B379" s="46"/>
      <c r="C379" s="3"/>
      <c r="D379" s="3" t="s">
        <v>2567</v>
      </c>
      <c r="E379" s="6" t="s">
        <v>2568</v>
      </c>
      <c r="F379" s="47"/>
      <c r="G379" s="8" t="s">
        <v>176</v>
      </c>
      <c r="H379" s="13" t="str">
        <f>IFERROR(VLOOKUP(G379, Sheet2!$A:$B, 2, FALSE), A379)</f>
        <v>HOSPITAL AUTHORITY</v>
      </c>
      <c r="I379" s="6" t="s">
        <v>352</v>
      </c>
      <c r="J379" s="109">
        <v>524889937358</v>
      </c>
      <c r="K379" s="48" t="s">
        <v>1675</v>
      </c>
      <c r="L379" s="9" t="s">
        <v>2569</v>
      </c>
      <c r="M379" s="11" t="s">
        <v>2570</v>
      </c>
      <c r="N379" s="11"/>
      <c r="O379" s="11" t="s">
        <v>2266</v>
      </c>
      <c r="P379" s="11"/>
      <c r="Q379" s="8">
        <v>45062</v>
      </c>
      <c r="R379" s="8"/>
      <c r="S379" s="8">
        <v>45103</v>
      </c>
      <c r="T379" s="3" t="s">
        <v>2571</v>
      </c>
      <c r="U379" s="49" t="s">
        <v>2572</v>
      </c>
      <c r="V379" s="19" t="s">
        <v>2573</v>
      </c>
      <c r="W379" s="8"/>
      <c r="X379" s="49"/>
      <c r="Y379" s="15" t="s">
        <v>2574</v>
      </c>
      <c r="Z379" s="50"/>
      <c r="AA379" s="3" t="s">
        <v>1264</v>
      </c>
      <c r="AB379" s="3"/>
      <c r="AC379" s="3" t="s">
        <v>1369</v>
      </c>
      <c r="AD379" s="3"/>
    </row>
    <row r="380" spans="1:30" ht="58">
      <c r="A380" s="3" t="s">
        <v>1508</v>
      </c>
      <c r="B380" s="46"/>
      <c r="C380" s="3"/>
      <c r="D380" s="3" t="s">
        <v>2363</v>
      </c>
      <c r="E380" s="6">
        <v>21276339</v>
      </c>
      <c r="F380" s="47"/>
      <c r="G380" s="3" t="s">
        <v>52</v>
      </c>
      <c r="H380" s="13" t="str">
        <f>IFERROR(VLOOKUP(G380, Sheet2!$A:$B, 2, FALSE), A380)</f>
        <v>AASTOCKS.COM LIMITED</v>
      </c>
      <c r="I380" s="6" t="s">
        <v>675</v>
      </c>
      <c r="J380" s="109"/>
      <c r="K380" s="48" t="s">
        <v>2575</v>
      </c>
      <c r="L380" s="9" t="s">
        <v>2576</v>
      </c>
      <c r="M380" s="3"/>
      <c r="N380" s="3"/>
      <c r="O380" s="7"/>
      <c r="P380" s="3"/>
      <c r="Q380" s="8">
        <v>45061</v>
      </c>
      <c r="R380" s="8"/>
      <c r="S380" s="8">
        <v>45064</v>
      </c>
      <c r="T380" s="3" t="s">
        <v>2577</v>
      </c>
      <c r="U380" s="49" t="s">
        <v>2578</v>
      </c>
      <c r="V380" s="19" t="s">
        <v>2368</v>
      </c>
      <c r="W380" s="8"/>
      <c r="X380" s="49"/>
      <c r="Y380" s="15" t="s">
        <v>2579</v>
      </c>
      <c r="Z380" s="53"/>
      <c r="AA380" s="8"/>
      <c r="AB380" s="3"/>
      <c r="AC380" s="3" t="s">
        <v>1369</v>
      </c>
      <c r="AD380" s="3"/>
    </row>
    <row r="381" spans="1:30" ht="87">
      <c r="A381" s="3" t="s">
        <v>1508</v>
      </c>
      <c r="B381" s="46"/>
      <c r="C381" s="3"/>
      <c r="D381" s="3" t="s">
        <v>2567</v>
      </c>
      <c r="E381" s="6" t="s">
        <v>2580</v>
      </c>
      <c r="F381" s="47"/>
      <c r="G381" s="3" t="s">
        <v>176</v>
      </c>
      <c r="H381" s="13" t="str">
        <f>IFERROR(VLOOKUP(G381, Sheet2!$A:$B, 2, FALSE), A381)</f>
        <v>HOSPITAL AUTHORITY</v>
      </c>
      <c r="I381" s="6" t="s">
        <v>352</v>
      </c>
      <c r="J381" s="109">
        <v>524889937358</v>
      </c>
      <c r="K381" s="48" t="s">
        <v>1685</v>
      </c>
      <c r="L381" s="9" t="s">
        <v>2581</v>
      </c>
      <c r="M381" s="11" t="s">
        <v>2582</v>
      </c>
      <c r="N381" s="11"/>
      <c r="O381" s="7" t="s">
        <v>2266</v>
      </c>
      <c r="P381" s="11"/>
      <c r="Q381" s="8">
        <v>45068</v>
      </c>
      <c r="R381" s="8"/>
      <c r="S381" s="8">
        <v>45103</v>
      </c>
      <c r="T381" s="3" t="s">
        <v>2583</v>
      </c>
      <c r="U381" s="49" t="s">
        <v>2584</v>
      </c>
      <c r="V381" s="19" t="s">
        <v>2585</v>
      </c>
      <c r="W381" s="8"/>
      <c r="X381" s="49"/>
      <c r="Y381" s="15" t="s">
        <v>2586</v>
      </c>
      <c r="Z381" s="53"/>
      <c r="AA381" s="8"/>
      <c r="AB381" s="3"/>
      <c r="AC381" s="3" t="s">
        <v>1369</v>
      </c>
      <c r="AD381" s="3"/>
    </row>
    <row r="382" spans="1:30" ht="87">
      <c r="A382" s="3" t="s">
        <v>1508</v>
      </c>
      <c r="B382" s="46"/>
      <c r="C382" s="3"/>
      <c r="D382" s="3" t="s">
        <v>2567</v>
      </c>
      <c r="E382" s="8" t="s">
        <v>2587</v>
      </c>
      <c r="F382" s="3"/>
      <c r="G382" s="3" t="s">
        <v>176</v>
      </c>
      <c r="H382" s="13" t="str">
        <f>IFERROR(VLOOKUP(G382, Sheet2!$A:$B, 2, FALSE), A382)</f>
        <v>HOSPITAL AUTHORITY</v>
      </c>
      <c r="I382" s="6" t="s">
        <v>352</v>
      </c>
      <c r="J382" s="109">
        <v>524889937358</v>
      </c>
      <c r="K382" s="48" t="s">
        <v>1689</v>
      </c>
      <c r="L382" s="9" t="s">
        <v>2588</v>
      </c>
      <c r="M382" s="11" t="s">
        <v>2589</v>
      </c>
      <c r="N382" s="11"/>
      <c r="O382" s="7" t="s">
        <v>2266</v>
      </c>
      <c r="P382" s="11"/>
      <c r="Q382" s="8">
        <v>45068</v>
      </c>
      <c r="R382" s="8"/>
      <c r="S382" s="8">
        <v>45103</v>
      </c>
      <c r="T382" s="3" t="s">
        <v>2590</v>
      </c>
      <c r="U382" s="49" t="s">
        <v>2591</v>
      </c>
      <c r="V382" s="19" t="s">
        <v>2592</v>
      </c>
      <c r="W382" s="8"/>
      <c r="X382" s="49"/>
      <c r="Y382" s="15" t="s">
        <v>2593</v>
      </c>
      <c r="Z382" s="53"/>
      <c r="AA382" s="8" t="s">
        <v>1264</v>
      </c>
      <c r="AB382" s="3"/>
      <c r="AC382" s="3" t="s">
        <v>1369</v>
      </c>
      <c r="AD382" s="3"/>
    </row>
    <row r="383" spans="1:30" ht="87">
      <c r="A383" s="8" t="s">
        <v>1508</v>
      </c>
      <c r="B383" s="46"/>
      <c r="C383" s="3"/>
      <c r="D383" s="8" t="s">
        <v>2594</v>
      </c>
      <c r="E383" s="8" t="s">
        <v>2595</v>
      </c>
      <c r="F383" s="3"/>
      <c r="G383" s="8" t="s">
        <v>176</v>
      </c>
      <c r="H383" s="13" t="str">
        <f>IFERROR(VLOOKUP(G383, Sheet2!$A:$B, 2, FALSE), A383)</f>
        <v>HOSPITAL AUTHORITY</v>
      </c>
      <c r="I383" s="6" t="s">
        <v>393</v>
      </c>
      <c r="J383" s="109">
        <v>524889937358</v>
      </c>
      <c r="K383" s="48" t="s">
        <v>1694</v>
      </c>
      <c r="L383" s="9" t="s">
        <v>2559</v>
      </c>
      <c r="M383" s="15" t="s">
        <v>2596</v>
      </c>
      <c r="N383" s="15"/>
      <c r="O383" s="7" t="s">
        <v>2597</v>
      </c>
      <c r="P383" s="15"/>
      <c r="Q383" s="8">
        <v>45069</v>
      </c>
      <c r="R383" s="8"/>
      <c r="S383" s="8">
        <v>45103</v>
      </c>
      <c r="T383" s="8" t="s">
        <v>2598</v>
      </c>
      <c r="U383" s="8" t="s">
        <v>2599</v>
      </c>
      <c r="V383" s="19" t="s">
        <v>2600</v>
      </c>
      <c r="W383" s="8"/>
      <c r="X383" s="8"/>
      <c r="Y383" s="9" t="s">
        <v>2601</v>
      </c>
      <c r="Z383" s="53"/>
      <c r="AA383" s="8" t="s">
        <v>1264</v>
      </c>
      <c r="AB383" s="3"/>
      <c r="AC383" s="3" t="s">
        <v>1369</v>
      </c>
      <c r="AD383" s="3"/>
    </row>
    <row r="384" spans="1:30" ht="87">
      <c r="A384" s="3" t="s">
        <v>1508</v>
      </c>
      <c r="B384" s="46"/>
      <c r="C384" s="3"/>
      <c r="D384" s="11" t="s">
        <v>2602</v>
      </c>
      <c r="E384" s="6" t="s">
        <v>2603</v>
      </c>
      <c r="F384" s="74" t="s">
        <v>2604</v>
      </c>
      <c r="G384" s="3" t="s">
        <v>190</v>
      </c>
      <c r="H384" s="13" t="str">
        <f>IFERROR(VLOOKUP(G384, Sheet2!$A:$B, 2, FALSE), A384)</f>
        <v>B.S.C. GROUP LTD</v>
      </c>
      <c r="I384" s="6" t="s">
        <v>393</v>
      </c>
      <c r="J384" s="109"/>
      <c r="K384" s="48"/>
      <c r="L384" s="9"/>
      <c r="M384" s="11"/>
      <c r="N384" s="11"/>
      <c r="O384" s="90" t="s">
        <v>2605</v>
      </c>
      <c r="P384" s="11"/>
      <c r="Q384" s="8">
        <v>45078</v>
      </c>
      <c r="R384" s="8"/>
      <c r="S384" s="8">
        <v>45093</v>
      </c>
      <c r="T384" s="3" t="s">
        <v>2606</v>
      </c>
      <c r="U384" s="49" t="s">
        <v>2607</v>
      </c>
      <c r="V384" s="19" t="s">
        <v>2608</v>
      </c>
      <c r="W384" s="8"/>
      <c r="X384" s="49"/>
      <c r="Y384" s="15" t="s">
        <v>2609</v>
      </c>
      <c r="Z384" s="53"/>
      <c r="AA384" s="49"/>
      <c r="AB384" s="3"/>
      <c r="AC384" s="3" t="s">
        <v>1369</v>
      </c>
      <c r="AD384" s="3"/>
    </row>
    <row r="385" spans="1:30" ht="101.5">
      <c r="A385" s="8" t="s">
        <v>1508</v>
      </c>
      <c r="B385" s="46"/>
      <c r="C385" s="3"/>
      <c r="D385" s="11" t="s">
        <v>2602</v>
      </c>
      <c r="E385" s="6" t="s">
        <v>2603</v>
      </c>
      <c r="F385" s="74" t="s">
        <v>2604</v>
      </c>
      <c r="G385" s="3" t="s">
        <v>191</v>
      </c>
      <c r="H385" s="13" t="str">
        <f>IFERROR(VLOOKUP(G385, Sheet2!$A:$B, 2, FALSE), A385)</f>
        <v>B.S.C. GROUP LTD</v>
      </c>
      <c r="I385" s="6" t="s">
        <v>675</v>
      </c>
      <c r="J385" s="109"/>
      <c r="K385" s="48" t="s">
        <v>1704</v>
      </c>
      <c r="L385" s="9"/>
      <c r="M385" s="11" t="s">
        <v>2610</v>
      </c>
      <c r="N385" s="11"/>
      <c r="O385" s="7" t="s">
        <v>2605</v>
      </c>
      <c r="P385" s="11"/>
      <c r="Q385" s="8">
        <v>45078</v>
      </c>
      <c r="R385" s="8"/>
      <c r="S385" s="8">
        <v>45079</v>
      </c>
      <c r="T385" s="8" t="s">
        <v>2611</v>
      </c>
      <c r="U385" s="8" t="s">
        <v>2612</v>
      </c>
      <c r="V385" s="19" t="s">
        <v>2613</v>
      </c>
      <c r="W385" s="8"/>
      <c r="X385" s="8"/>
      <c r="Y385" s="15" t="s">
        <v>2614</v>
      </c>
      <c r="Z385" s="53"/>
      <c r="AA385" s="8"/>
      <c r="AB385" s="3"/>
      <c r="AC385" s="3" t="s">
        <v>1369</v>
      </c>
      <c r="AD385" s="3"/>
    </row>
    <row r="386" spans="1:30" ht="87">
      <c r="A386" s="8" t="s">
        <v>1508</v>
      </c>
      <c r="B386" s="46"/>
      <c r="C386" s="3"/>
      <c r="D386" s="8" t="s">
        <v>2615</v>
      </c>
      <c r="E386" s="6" t="s">
        <v>2616</v>
      </c>
      <c r="F386" s="47"/>
      <c r="G386" s="8" t="s">
        <v>175</v>
      </c>
      <c r="H386" s="13" t="str">
        <f>IFERROR(VLOOKUP(G386, Sheet2!$A:$B, 2, FALSE), A386)</f>
        <v>HOSPITAL AUTHORITY</v>
      </c>
      <c r="I386" s="6" t="s">
        <v>352</v>
      </c>
      <c r="J386" s="109">
        <v>524889937358</v>
      </c>
      <c r="K386" s="48" t="s">
        <v>1709</v>
      </c>
      <c r="L386" s="9" t="s">
        <v>2617</v>
      </c>
      <c r="M386" s="11" t="s">
        <v>2618</v>
      </c>
      <c r="N386" s="11"/>
      <c r="O386" s="7" t="s">
        <v>2619</v>
      </c>
      <c r="P386" s="11"/>
      <c r="Q386" s="8">
        <v>45077</v>
      </c>
      <c r="R386" s="8"/>
      <c r="S386" s="8">
        <v>45125</v>
      </c>
      <c r="T386" s="8" t="s">
        <v>2620</v>
      </c>
      <c r="U386" s="6" t="s">
        <v>2621</v>
      </c>
      <c r="V386" s="19" t="s">
        <v>2622</v>
      </c>
      <c r="W386" s="8"/>
      <c r="X386" s="6"/>
      <c r="Y386" s="9" t="s">
        <v>2623</v>
      </c>
      <c r="Z386" s="53"/>
      <c r="AA386" s="8"/>
      <c r="AB386" s="3"/>
      <c r="AC386" s="3" t="s">
        <v>1369</v>
      </c>
      <c r="AD386" s="3"/>
    </row>
    <row r="387" spans="1:30" ht="30">
      <c r="A387" s="8"/>
      <c r="B387" s="46"/>
      <c r="C387" s="3"/>
      <c r="D387" s="8" t="s">
        <v>2322</v>
      </c>
      <c r="E387" s="6" t="s">
        <v>2624</v>
      </c>
      <c r="F387" s="47"/>
      <c r="G387" s="8" t="s">
        <v>176</v>
      </c>
      <c r="H387" s="13" t="str">
        <f>IFERROR(VLOOKUP(G387, Sheet2!$A:$B, 2, FALSE), A387)</f>
        <v>HOSPITAL AUTHORITY</v>
      </c>
      <c r="I387" s="6" t="s">
        <v>393</v>
      </c>
      <c r="J387" s="109"/>
      <c r="K387" s="75"/>
      <c r="L387" s="278" t="s">
        <v>2625</v>
      </c>
      <c r="M387" s="11" t="s">
        <v>2626</v>
      </c>
      <c r="N387" s="11"/>
      <c r="O387" s="7" t="s">
        <v>2325</v>
      </c>
      <c r="P387" s="11"/>
      <c r="Q387" s="8">
        <v>45078</v>
      </c>
      <c r="R387" s="8"/>
      <c r="S387" s="8"/>
      <c r="T387" s="159" t="s">
        <v>2379</v>
      </c>
      <c r="U387" s="8" t="s">
        <v>2379</v>
      </c>
      <c r="V387" s="19" t="s">
        <v>2379</v>
      </c>
      <c r="W387" s="8"/>
      <c r="X387" s="8"/>
      <c r="Y387" s="111" t="s">
        <v>2627</v>
      </c>
      <c r="Z387" s="53"/>
      <c r="AA387" s="8"/>
      <c r="AB387" s="3"/>
      <c r="AC387" s="3"/>
      <c r="AD387" s="3"/>
    </row>
    <row r="388" spans="1:30" ht="87">
      <c r="A388" s="3" t="s">
        <v>1508</v>
      </c>
      <c r="B388" s="46"/>
      <c r="C388" s="3"/>
      <c r="D388" s="8" t="s">
        <v>2356</v>
      </c>
      <c r="E388" s="8" t="s">
        <v>2628</v>
      </c>
      <c r="F388" s="3"/>
      <c r="G388" s="8" t="s">
        <v>175</v>
      </c>
      <c r="H388" s="13" t="str">
        <f>IFERROR(VLOOKUP(G388, Sheet2!$A:$B, 2, FALSE), A388)</f>
        <v>HOSPITAL AUTHORITY</v>
      </c>
      <c r="I388" s="6" t="s">
        <v>393</v>
      </c>
      <c r="J388" s="109"/>
      <c r="K388" s="75"/>
      <c r="L388" s="278" t="s">
        <v>2629</v>
      </c>
      <c r="M388" s="11"/>
      <c r="N388" s="11"/>
      <c r="O388" s="11" t="s">
        <v>2257</v>
      </c>
      <c r="P388" s="11"/>
      <c r="Q388" s="8">
        <v>45079</v>
      </c>
      <c r="R388" s="8"/>
      <c r="S388" s="8">
        <v>45125</v>
      </c>
      <c r="T388" s="4" t="s">
        <v>2630</v>
      </c>
      <c r="U388" s="8" t="s">
        <v>2631</v>
      </c>
      <c r="V388" s="19" t="s">
        <v>2632</v>
      </c>
      <c r="W388" s="8"/>
      <c r="X388" s="8"/>
      <c r="Y388" s="111" t="s">
        <v>2633</v>
      </c>
      <c r="Z388" s="53"/>
      <c r="AA388" s="3"/>
      <c r="AB388" s="3"/>
      <c r="AC388" s="3" t="s">
        <v>1369</v>
      </c>
      <c r="AD388" s="3"/>
    </row>
    <row r="389" spans="1:30" ht="101.5">
      <c r="A389" s="3" t="s">
        <v>1508</v>
      </c>
      <c r="B389" s="46"/>
      <c r="C389" s="3"/>
      <c r="D389" s="3" t="s">
        <v>2634</v>
      </c>
      <c r="E389" s="6" t="s">
        <v>2635</v>
      </c>
      <c r="F389" s="47"/>
      <c r="G389" s="3" t="s">
        <v>183</v>
      </c>
      <c r="H389" s="13" t="str">
        <f>IFERROR(VLOOKUP(G389, Sheet2!$A:$B, 2, FALSE), A389)</f>
        <v>PARTICLE RESEARCH LTD</v>
      </c>
      <c r="I389" s="6" t="s">
        <v>359</v>
      </c>
      <c r="J389" s="109"/>
      <c r="K389" s="48"/>
      <c r="L389" s="9"/>
      <c r="M389" s="15" t="s">
        <v>2636</v>
      </c>
      <c r="N389" s="15"/>
      <c r="O389" s="11" t="s">
        <v>2180</v>
      </c>
      <c r="P389" s="15"/>
      <c r="Q389" s="8">
        <v>45084</v>
      </c>
      <c r="R389" s="8"/>
      <c r="S389" s="8">
        <v>45084</v>
      </c>
      <c r="T389" s="8" t="s">
        <v>2637</v>
      </c>
      <c r="U389" s="8" t="s">
        <v>2638</v>
      </c>
      <c r="V389" s="19" t="s">
        <v>2639</v>
      </c>
      <c r="W389" s="8"/>
      <c r="X389" s="8" t="s">
        <v>2640</v>
      </c>
      <c r="Y389" s="180" t="s">
        <v>2641</v>
      </c>
      <c r="Z389" s="53"/>
      <c r="AA389" s="3"/>
      <c r="AB389" s="3"/>
      <c r="AC389" s="3" t="s">
        <v>1369</v>
      </c>
      <c r="AD389" s="3"/>
    </row>
    <row r="390" spans="1:30" ht="101.5">
      <c r="A390" s="3" t="s">
        <v>1508</v>
      </c>
      <c r="B390" s="46"/>
      <c r="C390" s="3"/>
      <c r="D390" s="3" t="s">
        <v>2523</v>
      </c>
      <c r="E390" s="8" t="s">
        <v>2642</v>
      </c>
      <c r="F390" s="3"/>
      <c r="G390" s="3" t="s">
        <v>175</v>
      </c>
      <c r="H390" s="13" t="str">
        <f>IFERROR(VLOOKUP(G390, Sheet2!$A:$B, 2, FALSE), A390)</f>
        <v>HOSPITAL AUTHORITY</v>
      </c>
      <c r="I390" s="6" t="s">
        <v>675</v>
      </c>
      <c r="J390" s="109"/>
      <c r="K390" s="48"/>
      <c r="L390" s="9" t="s">
        <v>2643</v>
      </c>
      <c r="M390" s="11" t="s">
        <v>2644</v>
      </c>
      <c r="N390" s="11"/>
      <c r="O390" s="279" t="s">
        <v>2300</v>
      </c>
      <c r="P390" s="11"/>
      <c r="Q390" s="8">
        <v>45092</v>
      </c>
      <c r="R390" s="8"/>
      <c r="S390" s="8">
        <v>45125</v>
      </c>
      <c r="T390" s="8" t="s">
        <v>2645</v>
      </c>
      <c r="U390" s="8" t="s">
        <v>2646</v>
      </c>
      <c r="V390" s="19" t="s">
        <v>2647</v>
      </c>
      <c r="W390" s="8"/>
      <c r="X390" s="4" t="s">
        <v>2648</v>
      </c>
      <c r="Y390" s="15" t="s">
        <v>2649</v>
      </c>
      <c r="Z390" s="53"/>
      <c r="AA390" s="8"/>
      <c r="AB390" s="3"/>
      <c r="AC390" s="3" t="s">
        <v>1369</v>
      </c>
      <c r="AD390" s="3"/>
    </row>
    <row r="391" spans="1:30" ht="43.5">
      <c r="A391" s="5" t="s">
        <v>545</v>
      </c>
      <c r="B391" s="46"/>
      <c r="C391" s="3"/>
      <c r="D391" s="3" t="s">
        <v>2650</v>
      </c>
      <c r="E391" s="6" t="s">
        <v>2428</v>
      </c>
      <c r="F391" s="47"/>
      <c r="G391" s="15" t="s">
        <v>118</v>
      </c>
      <c r="H391" s="13" t="str">
        <f>IFERROR(VLOOKUP(G391, Sheet2!$A:$B, 2, FALSE), A391)</f>
        <v>CHOW TAI FOOK JEWELLERY CO LTD</v>
      </c>
      <c r="I391" s="6" t="s">
        <v>352</v>
      </c>
      <c r="J391" s="100" t="s">
        <v>609</v>
      </c>
      <c r="K391" s="48" t="s">
        <v>1073</v>
      </c>
      <c r="L391" s="9"/>
      <c r="M391" s="3"/>
      <c r="N391" s="3"/>
      <c r="O391" s="7"/>
      <c r="P391" s="3"/>
      <c r="Q391" s="8">
        <v>45056</v>
      </c>
      <c r="R391" s="8"/>
      <c r="S391" s="8">
        <v>45093</v>
      </c>
      <c r="T391" s="3" t="s">
        <v>2651</v>
      </c>
      <c r="U391" s="49" t="s">
        <v>2652</v>
      </c>
      <c r="V391" s="19" t="s">
        <v>2653</v>
      </c>
      <c r="W391" s="4" t="s">
        <v>2654</v>
      </c>
      <c r="X391" s="49"/>
      <c r="Y391" s="124" t="s">
        <v>2655</v>
      </c>
      <c r="Z391" s="53"/>
      <c r="AA391" s="8"/>
      <c r="AB391" s="3"/>
      <c r="AC391" s="3" t="s">
        <v>1369</v>
      </c>
      <c r="AD391" s="133" t="s">
        <v>2656</v>
      </c>
    </row>
    <row r="392" spans="1:30" ht="43.5">
      <c r="A392" s="4" t="s">
        <v>545</v>
      </c>
      <c r="B392" s="46"/>
      <c r="C392" s="3"/>
      <c r="D392" s="3" t="s">
        <v>2650</v>
      </c>
      <c r="E392" s="6" t="s">
        <v>2428</v>
      </c>
      <c r="F392" s="47"/>
      <c r="G392" s="18" t="s">
        <v>152</v>
      </c>
      <c r="H392" s="13" t="str">
        <f>IFERROR(VLOOKUP(G392, Sheet2!$A:$B, 2, FALSE), A392)</f>
        <v>CHOW TAI FOOK JEWELLERY CO LTD</v>
      </c>
      <c r="I392" s="6" t="s">
        <v>352</v>
      </c>
      <c r="J392" s="100" t="s">
        <v>609</v>
      </c>
      <c r="K392" s="48" t="s">
        <v>1341</v>
      </c>
      <c r="L392" s="9"/>
      <c r="M392" s="3"/>
      <c r="N392" s="3"/>
      <c r="O392" s="7"/>
      <c r="P392" s="3"/>
      <c r="Q392" s="8">
        <v>45056</v>
      </c>
      <c r="R392" s="8"/>
      <c r="S392" s="8">
        <v>45093</v>
      </c>
      <c r="T392" s="8" t="s">
        <v>2657</v>
      </c>
      <c r="U392" s="8" t="s">
        <v>2658</v>
      </c>
      <c r="V392" s="19" t="s">
        <v>1345</v>
      </c>
      <c r="W392" s="4" t="s">
        <v>2654</v>
      </c>
      <c r="X392" s="8"/>
      <c r="Y392" s="15" t="s">
        <v>2659</v>
      </c>
      <c r="Z392" s="53"/>
      <c r="AA392" s="8"/>
      <c r="AB392" s="3"/>
      <c r="AC392" s="3" t="s">
        <v>1369</v>
      </c>
      <c r="AD392" s="133" t="s">
        <v>2656</v>
      </c>
    </row>
    <row r="393" spans="1:30" ht="43.5">
      <c r="A393" s="3" t="s">
        <v>1508</v>
      </c>
      <c r="B393" s="46"/>
      <c r="C393" s="3"/>
      <c r="D393" s="8" t="s">
        <v>2427</v>
      </c>
      <c r="E393" s="6" t="s">
        <v>2428</v>
      </c>
      <c r="F393" s="47"/>
      <c r="G393" s="18" t="s">
        <v>192</v>
      </c>
      <c r="H393" s="13" t="str">
        <f>IFERROR(VLOOKUP(G393, Sheet2!$A:$B, 2, FALSE), A393)</f>
        <v>CHOW TAI FOOK JEWELLERY CO LTD</v>
      </c>
      <c r="I393" s="6" t="s">
        <v>359</v>
      </c>
      <c r="J393" s="100" t="s">
        <v>609</v>
      </c>
      <c r="K393" s="48" t="s">
        <v>1744</v>
      </c>
      <c r="L393" s="9"/>
      <c r="M393" s="11" t="s">
        <v>2660</v>
      </c>
      <c r="N393" s="11"/>
      <c r="O393" s="7" t="s">
        <v>2661</v>
      </c>
      <c r="P393" s="11"/>
      <c r="Q393" s="8">
        <v>45096</v>
      </c>
      <c r="R393" s="8"/>
      <c r="S393" s="8">
        <v>45096</v>
      </c>
      <c r="T393" s="8" t="s">
        <v>2662</v>
      </c>
      <c r="U393" s="8" t="s">
        <v>2663</v>
      </c>
      <c r="V393" s="19" t="s">
        <v>2664</v>
      </c>
      <c r="W393" s="8"/>
      <c r="X393" s="8"/>
      <c r="Y393" s="15" t="s">
        <v>2665</v>
      </c>
      <c r="Z393" s="53"/>
      <c r="AA393" s="8" t="s">
        <v>1079</v>
      </c>
      <c r="AB393" s="3"/>
      <c r="AC393" s="3" t="s">
        <v>1369</v>
      </c>
      <c r="AD393" s="3"/>
    </row>
    <row r="394" spans="1:30" ht="43.5">
      <c r="A394" s="8" t="s">
        <v>350</v>
      </c>
      <c r="B394" s="46"/>
      <c r="C394" s="3"/>
      <c r="D394" s="8" t="s">
        <v>2666</v>
      </c>
      <c r="E394" s="6">
        <v>39693322</v>
      </c>
      <c r="F394" s="47"/>
      <c r="G394" s="8" t="s">
        <v>176</v>
      </c>
      <c r="H394" s="13" t="str">
        <f>IFERROR(VLOOKUP(G394, Sheet2!$A:$B, 2, FALSE), A394)</f>
        <v>HOSPITAL AUTHORITY</v>
      </c>
      <c r="I394" s="6" t="s">
        <v>352</v>
      </c>
      <c r="J394" s="109" t="s">
        <v>1663</v>
      </c>
      <c r="K394" s="48" t="s">
        <v>2667</v>
      </c>
      <c r="L394" s="9"/>
      <c r="M394" s="11"/>
      <c r="N394" s="11"/>
      <c r="O394" s="7" t="s">
        <v>2668</v>
      </c>
      <c r="P394" s="11"/>
      <c r="Q394" s="8">
        <v>45026</v>
      </c>
      <c r="R394" s="8"/>
      <c r="S394" s="8">
        <v>45096</v>
      </c>
      <c r="T394" s="4" t="s">
        <v>2669</v>
      </c>
      <c r="U394" s="8" t="s">
        <v>2670</v>
      </c>
      <c r="V394" s="19" t="s">
        <v>2671</v>
      </c>
      <c r="W394" s="8"/>
      <c r="X394" s="8"/>
      <c r="Y394" s="9" t="s">
        <v>2672</v>
      </c>
      <c r="Z394" s="70" t="s">
        <v>489</v>
      </c>
      <c r="AA394" s="8"/>
      <c r="AB394" s="3"/>
      <c r="AC394" s="3" t="s">
        <v>1369</v>
      </c>
      <c r="AD394" s="3"/>
    </row>
    <row r="395" spans="1:30" ht="59">
      <c r="A395" s="8" t="s">
        <v>2139</v>
      </c>
      <c r="B395" s="46"/>
      <c r="C395" s="3"/>
      <c r="D395" s="8" t="s">
        <v>2615</v>
      </c>
      <c r="E395" s="8" t="s">
        <v>2673</v>
      </c>
      <c r="F395" s="3"/>
      <c r="G395" s="8" t="s">
        <v>176</v>
      </c>
      <c r="H395" s="13" t="str">
        <f>IFERROR(VLOOKUP(G395, Sheet2!$A:$B, 2, FALSE), A395)</f>
        <v>HOSPITAL AUTHORITY</v>
      </c>
      <c r="I395" s="6" t="s">
        <v>352</v>
      </c>
      <c r="J395" s="109" t="s">
        <v>1663</v>
      </c>
      <c r="K395" s="75" t="s">
        <v>2501</v>
      </c>
      <c r="L395" s="72" t="s">
        <v>2674</v>
      </c>
      <c r="M395" s="11" t="s">
        <v>2675</v>
      </c>
      <c r="N395" s="11"/>
      <c r="O395" s="7" t="s">
        <v>2619</v>
      </c>
      <c r="P395" s="11"/>
      <c r="Q395" s="8">
        <v>45100</v>
      </c>
      <c r="R395" s="8"/>
      <c r="S395" s="8">
        <v>45218</v>
      </c>
      <c r="T395" s="8" t="s">
        <v>2676</v>
      </c>
      <c r="U395" s="8" t="s">
        <v>2677</v>
      </c>
      <c r="V395" s="19" t="s">
        <v>2678</v>
      </c>
      <c r="W395" s="8"/>
      <c r="X395" s="8"/>
      <c r="Y395" s="72" t="s">
        <v>2679</v>
      </c>
      <c r="Z395" s="53"/>
      <c r="AA395" s="8" t="s">
        <v>1072</v>
      </c>
      <c r="AB395" s="3"/>
      <c r="AC395" s="3" t="s">
        <v>2680</v>
      </c>
      <c r="AD395" s="3"/>
    </row>
    <row r="396" spans="1:30" ht="87">
      <c r="A396" s="8" t="s">
        <v>350</v>
      </c>
      <c r="B396" s="46"/>
      <c r="C396" s="3"/>
      <c r="D396" s="8" t="s">
        <v>2650</v>
      </c>
      <c r="E396" s="8" t="s">
        <v>2428</v>
      </c>
      <c r="F396" s="3"/>
      <c r="G396" s="9" t="s">
        <v>2681</v>
      </c>
      <c r="H396" s="13" t="str">
        <f>IFERROR(VLOOKUP(G396, Sheet2!$A:$B, 2, FALSE), A396)</f>
        <v>CHOW TAI FOOK JEWELLERY CO LTD</v>
      </c>
      <c r="I396" s="6" t="s">
        <v>352</v>
      </c>
      <c r="J396" s="100">
        <v>726125834629</v>
      </c>
      <c r="K396" s="280" t="s">
        <v>1759</v>
      </c>
      <c r="L396" s="281" t="s">
        <v>2682</v>
      </c>
      <c r="M396" s="11"/>
      <c r="N396" s="11"/>
      <c r="O396" s="7"/>
      <c r="P396" s="11"/>
      <c r="Q396" s="8">
        <v>45077</v>
      </c>
      <c r="R396" s="8"/>
      <c r="S396" s="8">
        <v>45106</v>
      </c>
      <c r="T396" s="3" t="s">
        <v>1076</v>
      </c>
      <c r="U396" s="8" t="s">
        <v>2683</v>
      </c>
      <c r="V396" s="19" t="s">
        <v>2653</v>
      </c>
      <c r="W396" s="8"/>
      <c r="X396" s="8"/>
      <c r="Y396" s="281" t="s">
        <v>2684</v>
      </c>
      <c r="Z396" s="53"/>
      <c r="AA396" s="8"/>
      <c r="AB396" s="3"/>
      <c r="AC396" s="3" t="s">
        <v>1369</v>
      </c>
      <c r="AD396" s="3"/>
    </row>
    <row r="397" spans="1:30" ht="145">
      <c r="A397" s="3" t="s">
        <v>350</v>
      </c>
      <c r="B397" s="46"/>
      <c r="C397" s="3"/>
      <c r="D397" s="191" t="s">
        <v>2685</v>
      </c>
      <c r="E397" s="6">
        <v>53312167</v>
      </c>
      <c r="F397" s="47"/>
      <c r="G397" s="3" t="s">
        <v>44</v>
      </c>
      <c r="H397" s="13" t="str">
        <f>IFERROR(VLOOKUP(G397, Sheet2!$A:$B, 2, FALSE), A397)</f>
        <v>CHOW TAI FOOK JEWELLERY CO LTD</v>
      </c>
      <c r="I397" s="6" t="s">
        <v>359</v>
      </c>
      <c r="J397" s="100"/>
      <c r="K397" s="75"/>
      <c r="L397" s="72"/>
      <c r="M397" s="11" t="s">
        <v>2686</v>
      </c>
      <c r="N397" s="11"/>
      <c r="O397" s="7" t="s">
        <v>2687</v>
      </c>
      <c r="P397" s="11"/>
      <c r="Q397" s="8">
        <v>45100</v>
      </c>
      <c r="R397" s="8"/>
      <c r="S397" s="8">
        <v>45107</v>
      </c>
      <c r="T397" s="4" t="s">
        <v>2688</v>
      </c>
      <c r="U397" s="8" t="s">
        <v>2689</v>
      </c>
      <c r="V397" s="19" t="s">
        <v>2690</v>
      </c>
      <c r="W397" s="8"/>
      <c r="X397" s="8" t="s">
        <v>2691</v>
      </c>
      <c r="Y397" s="282" t="s">
        <v>2692</v>
      </c>
      <c r="Z397" s="53"/>
      <c r="AA397" s="8" t="s">
        <v>1079</v>
      </c>
      <c r="AB397" s="3"/>
      <c r="AC397" s="3" t="s">
        <v>1369</v>
      </c>
      <c r="AD397" s="3"/>
    </row>
    <row r="398" spans="1:30" ht="58">
      <c r="A398" s="8" t="s">
        <v>350</v>
      </c>
      <c r="B398" s="46"/>
      <c r="C398" s="3"/>
      <c r="D398" s="11" t="s">
        <v>2693</v>
      </c>
      <c r="E398" s="106" t="s">
        <v>2694</v>
      </c>
      <c r="F398" s="107"/>
      <c r="G398" s="15" t="s">
        <v>2695</v>
      </c>
      <c r="H398" s="13" t="str">
        <f>IFERROR(VLOOKUP(G398, Sheet2!$A:$B, 2, FALSE), A398)</f>
        <v>CHOW TAI FOOK JEWELLERY CO LTD</v>
      </c>
      <c r="I398" s="6" t="s">
        <v>352</v>
      </c>
      <c r="J398" s="100">
        <v>726125834629</v>
      </c>
      <c r="K398" s="48" t="s">
        <v>1768</v>
      </c>
      <c r="L398" s="9"/>
      <c r="M398" s="11"/>
      <c r="N398" s="11"/>
      <c r="O398" s="7"/>
      <c r="P398" s="11" t="s">
        <v>2696</v>
      </c>
      <c r="Q398" s="8">
        <v>45169</v>
      </c>
      <c r="R398" s="8"/>
      <c r="S398" s="8"/>
      <c r="T398" s="3" t="s">
        <v>2697</v>
      </c>
      <c r="U398" s="267" t="s">
        <v>2698</v>
      </c>
      <c r="V398" s="19" t="s">
        <v>2699</v>
      </c>
      <c r="W398" s="8"/>
      <c r="X398" s="267"/>
      <c r="Y398" s="15" t="s">
        <v>2700</v>
      </c>
      <c r="Z398" s="53"/>
      <c r="AA398" s="8"/>
      <c r="AB398" s="8"/>
      <c r="AC398" s="8"/>
      <c r="AD398" s="3"/>
    </row>
    <row r="399" spans="1:30" ht="59">
      <c r="A399" s="8" t="s">
        <v>2139</v>
      </c>
      <c r="B399" s="46"/>
      <c r="C399" s="3"/>
      <c r="D399" s="8" t="s">
        <v>2615</v>
      </c>
      <c r="E399" s="6" t="s">
        <v>2701</v>
      </c>
      <c r="F399" s="47"/>
      <c r="G399" s="8" t="s">
        <v>176</v>
      </c>
      <c r="H399" s="13" t="str">
        <f>IFERROR(VLOOKUP(G399, Sheet2!$A:$B, 2, FALSE), A399)</f>
        <v>HOSPITAL AUTHORITY</v>
      </c>
      <c r="I399" s="6" t="s">
        <v>352</v>
      </c>
      <c r="J399" s="109">
        <v>524889937358</v>
      </c>
      <c r="K399" s="283" t="s">
        <v>1773</v>
      </c>
      <c r="L399" s="284" t="s">
        <v>2682</v>
      </c>
      <c r="M399" s="11" t="s">
        <v>2702</v>
      </c>
      <c r="N399" s="11"/>
      <c r="O399" s="7" t="s">
        <v>2619</v>
      </c>
      <c r="P399" s="11"/>
      <c r="Q399" s="8">
        <v>45107</v>
      </c>
      <c r="R399" s="8"/>
      <c r="S399" s="8">
        <v>45218</v>
      </c>
      <c r="T399" s="8" t="s">
        <v>2703</v>
      </c>
      <c r="U399" s="8" t="s">
        <v>2704</v>
      </c>
      <c r="V399" s="19" t="s">
        <v>2705</v>
      </c>
      <c r="W399" s="8"/>
      <c r="X399" s="8"/>
      <c r="Y399" s="284" t="s">
        <v>2706</v>
      </c>
      <c r="Z399" s="53"/>
      <c r="AA399" s="8" t="s">
        <v>1072</v>
      </c>
      <c r="AB399" s="3"/>
      <c r="AC399" s="3" t="s">
        <v>2680</v>
      </c>
      <c r="AD399" s="3"/>
    </row>
    <row r="400" spans="1:30" ht="43.5">
      <c r="A400" s="3" t="s">
        <v>1508</v>
      </c>
      <c r="B400" s="46"/>
      <c r="C400" s="3"/>
      <c r="D400" s="8" t="s">
        <v>2707</v>
      </c>
      <c r="E400" s="6">
        <v>90323685</v>
      </c>
      <c r="F400" s="47"/>
      <c r="G400" s="3" t="s">
        <v>43</v>
      </c>
      <c r="H400" s="13" t="str">
        <f>IFERROR(VLOOKUP(G400, Sheet2!$A:$B, 2, FALSE), A400)</f>
        <v>CHOW TAI FOOK JEWELLERY CO LTD</v>
      </c>
      <c r="I400" s="6" t="s">
        <v>359</v>
      </c>
      <c r="J400" s="100"/>
      <c r="K400" s="79"/>
      <c r="L400" s="275"/>
      <c r="M400" s="15" t="s">
        <v>2708</v>
      </c>
      <c r="N400" s="15"/>
      <c r="O400" s="7"/>
      <c r="P400" s="15" t="s">
        <v>2709</v>
      </c>
      <c r="Q400" s="8">
        <v>45124</v>
      </c>
      <c r="R400" s="8"/>
      <c r="S400" s="8">
        <v>45118</v>
      </c>
      <c r="T400" s="8" t="s">
        <v>2710</v>
      </c>
      <c r="U400" s="8" t="s">
        <v>2711</v>
      </c>
      <c r="V400" s="19" t="s">
        <v>2712</v>
      </c>
      <c r="W400" s="8"/>
      <c r="X400" s="8"/>
      <c r="Y400" s="180" t="s">
        <v>2713</v>
      </c>
      <c r="Z400" s="53"/>
      <c r="AA400" s="8"/>
      <c r="AB400" s="3"/>
      <c r="AC400" s="3" t="s">
        <v>1369</v>
      </c>
      <c r="AD400" s="3"/>
    </row>
    <row r="401" spans="1:30" ht="102">
      <c r="A401" s="3" t="s">
        <v>350</v>
      </c>
      <c r="B401" s="46"/>
      <c r="C401" s="3"/>
      <c r="D401" s="8" t="s">
        <v>2714</v>
      </c>
      <c r="E401" s="6" t="s">
        <v>2715</v>
      </c>
      <c r="F401" s="47"/>
      <c r="G401" s="3" t="s">
        <v>193</v>
      </c>
      <c r="H401" s="13" t="str">
        <f>IFERROR(VLOOKUP(G401, Sheet2!$A:$B, 2, FALSE), A401)</f>
        <v>CHINA INVESTMENT INFORMATION SERVICE LTD</v>
      </c>
      <c r="I401" s="6" t="s">
        <v>410</v>
      </c>
      <c r="J401" s="109"/>
      <c r="K401" s="48"/>
      <c r="L401" s="9"/>
      <c r="M401" s="15"/>
      <c r="N401" s="15"/>
      <c r="O401" s="7"/>
      <c r="P401" s="15"/>
      <c r="Q401" s="8">
        <v>45120</v>
      </c>
      <c r="R401" s="8"/>
      <c r="S401" s="8">
        <v>45125</v>
      </c>
      <c r="T401" s="4" t="s">
        <v>2716</v>
      </c>
      <c r="U401" s="8" t="s">
        <v>2717</v>
      </c>
      <c r="V401" s="19" t="s">
        <v>2718</v>
      </c>
      <c r="W401" s="8"/>
      <c r="X401" s="8" t="s">
        <v>2719</v>
      </c>
      <c r="Y401" s="285" t="s">
        <v>2720</v>
      </c>
      <c r="Z401" s="53"/>
      <c r="AA401" s="8"/>
      <c r="AB401" s="3"/>
      <c r="AC401" s="3" t="s">
        <v>1369</v>
      </c>
      <c r="AD401" s="3"/>
    </row>
    <row r="402" spans="1:30" ht="87">
      <c r="A402" s="3" t="s">
        <v>1508</v>
      </c>
      <c r="B402" s="46"/>
      <c r="C402" s="3"/>
      <c r="D402" s="8" t="s">
        <v>2650</v>
      </c>
      <c r="E402" s="6" t="s">
        <v>2428</v>
      </c>
      <c r="F402" s="47"/>
      <c r="G402" s="15" t="s">
        <v>44</v>
      </c>
      <c r="H402" s="13" t="str">
        <f>IFERROR(VLOOKUP(G402, Sheet2!$A:$B, 2, FALSE), A402)</f>
        <v>CHOW TAI FOOK JEWELLERY CO LTD</v>
      </c>
      <c r="I402" s="6" t="s">
        <v>359</v>
      </c>
      <c r="J402" s="100">
        <v>726125834629</v>
      </c>
      <c r="K402" s="48" t="s">
        <v>1788</v>
      </c>
      <c r="L402" s="9"/>
      <c r="M402" s="15" t="s">
        <v>2721</v>
      </c>
      <c r="N402" s="15"/>
      <c r="O402" s="7"/>
      <c r="P402" s="15"/>
      <c r="Q402" s="8">
        <v>45131</v>
      </c>
      <c r="R402" s="8"/>
      <c r="S402" s="8">
        <v>45127</v>
      </c>
      <c r="T402" s="8" t="s">
        <v>2722</v>
      </c>
      <c r="U402" s="8" t="s">
        <v>2723</v>
      </c>
      <c r="V402" s="19" t="s">
        <v>2724</v>
      </c>
      <c r="W402" s="8"/>
      <c r="X402" s="8"/>
      <c r="Y402" s="15" t="s">
        <v>2725</v>
      </c>
      <c r="Z402" s="53"/>
      <c r="AA402" s="8"/>
      <c r="AB402" s="3"/>
      <c r="AC402" s="3" t="s">
        <v>1369</v>
      </c>
      <c r="AD402" s="3"/>
    </row>
    <row r="403" spans="1:30" ht="87">
      <c r="A403" s="3" t="s">
        <v>1508</v>
      </c>
      <c r="B403" s="46"/>
      <c r="C403" s="3"/>
      <c r="D403" s="8" t="s">
        <v>2650</v>
      </c>
      <c r="E403" s="6" t="s">
        <v>2428</v>
      </c>
      <c r="F403" s="47"/>
      <c r="G403" s="15" t="s">
        <v>44</v>
      </c>
      <c r="H403" s="13" t="str">
        <f>IFERROR(VLOOKUP(G403, Sheet2!$A:$B, 2, FALSE), A403)</f>
        <v>CHOW TAI FOOK JEWELLERY CO LTD</v>
      </c>
      <c r="I403" s="6" t="s">
        <v>359</v>
      </c>
      <c r="J403" s="100">
        <v>726125834629</v>
      </c>
      <c r="K403" s="48" t="s">
        <v>1793</v>
      </c>
      <c r="L403" s="9"/>
      <c r="M403" s="15" t="s">
        <v>2726</v>
      </c>
      <c r="N403" s="15"/>
      <c r="O403" s="7"/>
      <c r="P403" s="15"/>
      <c r="Q403" s="8">
        <v>45131</v>
      </c>
      <c r="R403" s="8"/>
      <c r="S403" s="8">
        <v>45127</v>
      </c>
      <c r="T403" s="69" t="s">
        <v>2727</v>
      </c>
      <c r="U403" s="8" t="s">
        <v>2728</v>
      </c>
      <c r="V403" s="19" t="s">
        <v>2729</v>
      </c>
      <c r="W403" s="8"/>
      <c r="X403" s="8"/>
      <c r="Y403" s="15" t="s">
        <v>2725</v>
      </c>
      <c r="Z403" s="53"/>
      <c r="AA403" s="8"/>
      <c r="AB403" s="3"/>
      <c r="AC403" s="3" t="s">
        <v>1369</v>
      </c>
      <c r="AD403" s="3"/>
    </row>
    <row r="404" spans="1:30" ht="87">
      <c r="A404" s="3" t="s">
        <v>1508</v>
      </c>
      <c r="B404" s="46"/>
      <c r="C404" s="3"/>
      <c r="D404" s="8" t="s">
        <v>2650</v>
      </c>
      <c r="E404" s="6" t="s">
        <v>2428</v>
      </c>
      <c r="F404" s="47"/>
      <c r="G404" s="15" t="s">
        <v>195</v>
      </c>
      <c r="H404" s="13" t="str">
        <f>IFERROR(VLOOKUP(G404, Sheet2!$A:$B, 2, FALSE), A404)</f>
        <v>CHOW TAI FOOK JEWELLERY CO LTD</v>
      </c>
      <c r="I404" s="6" t="s">
        <v>359</v>
      </c>
      <c r="J404" s="100">
        <v>726125834629</v>
      </c>
      <c r="K404" s="48" t="s">
        <v>1798</v>
      </c>
      <c r="L404" s="9"/>
      <c r="M404" s="15" t="s">
        <v>2730</v>
      </c>
      <c r="N404" s="15"/>
      <c r="O404" s="7"/>
      <c r="P404" s="15"/>
      <c r="Q404" s="8">
        <v>45131</v>
      </c>
      <c r="R404" s="8"/>
      <c r="S404" s="8">
        <v>45127</v>
      </c>
      <c r="T404" s="3" t="s">
        <v>2731</v>
      </c>
      <c r="U404" s="49" t="s">
        <v>2732</v>
      </c>
      <c r="V404" s="19" t="s">
        <v>2733</v>
      </c>
      <c r="W404" s="8"/>
      <c r="X404" s="49"/>
      <c r="Y404" s="15" t="s">
        <v>2734</v>
      </c>
      <c r="Z404" s="53"/>
      <c r="AA404" s="8" t="s">
        <v>1079</v>
      </c>
      <c r="AB404" s="3"/>
      <c r="AC404" s="3" t="s">
        <v>1369</v>
      </c>
      <c r="AD404" s="3"/>
    </row>
    <row r="405" spans="1:30" ht="87">
      <c r="A405" s="3" t="s">
        <v>1508</v>
      </c>
      <c r="B405" s="46"/>
      <c r="C405" s="3"/>
      <c r="D405" s="8" t="s">
        <v>2427</v>
      </c>
      <c r="E405" s="6" t="s">
        <v>2428</v>
      </c>
      <c r="F405" s="47"/>
      <c r="G405" s="18" t="s">
        <v>195</v>
      </c>
      <c r="H405" s="13" t="str">
        <f>IFERROR(VLOOKUP(G405, Sheet2!$A:$B, 2, FALSE), A405)</f>
        <v>CHOW TAI FOOK JEWELLERY CO LTD</v>
      </c>
      <c r="I405" s="6" t="s">
        <v>359</v>
      </c>
      <c r="J405" s="100" t="s">
        <v>1086</v>
      </c>
      <c r="K405" s="48" t="s">
        <v>1803</v>
      </c>
      <c r="L405" s="9"/>
      <c r="M405" s="15" t="s">
        <v>2735</v>
      </c>
      <c r="N405" s="15"/>
      <c r="O405" s="7"/>
      <c r="P405" s="15"/>
      <c r="Q405" s="8">
        <v>45131</v>
      </c>
      <c r="R405" s="8"/>
      <c r="S405" s="8">
        <v>45127</v>
      </c>
      <c r="T405" s="8" t="s">
        <v>2736</v>
      </c>
      <c r="U405" s="49" t="s">
        <v>2737</v>
      </c>
      <c r="V405" s="19" t="s">
        <v>2738</v>
      </c>
      <c r="W405" s="8"/>
      <c r="X405" s="49"/>
      <c r="Y405" s="15" t="s">
        <v>2734</v>
      </c>
      <c r="Z405" s="53"/>
      <c r="AA405" s="8" t="s">
        <v>1079</v>
      </c>
      <c r="AB405" s="3"/>
      <c r="AC405" s="3" t="s">
        <v>1369</v>
      </c>
      <c r="AD405" s="3"/>
    </row>
    <row r="406" spans="1:30" ht="43.5">
      <c r="A406" s="8" t="s">
        <v>1508</v>
      </c>
      <c r="B406" s="46"/>
      <c r="C406" s="3"/>
      <c r="D406" s="8" t="s">
        <v>2650</v>
      </c>
      <c r="E406" s="8" t="s">
        <v>2428</v>
      </c>
      <c r="F406" s="3"/>
      <c r="G406" s="8" t="s">
        <v>43</v>
      </c>
      <c r="H406" s="13" t="str">
        <f>IFERROR(VLOOKUP(G406, Sheet2!$A:$B, 2, FALSE), A406)</f>
        <v>CHOW TAI FOOK JEWELLERY CO LTD</v>
      </c>
      <c r="I406" s="6" t="s">
        <v>352</v>
      </c>
      <c r="J406" s="100">
        <v>726125834629</v>
      </c>
      <c r="K406" s="48" t="s">
        <v>1807</v>
      </c>
      <c r="L406" s="9" t="s">
        <v>2739</v>
      </c>
      <c r="M406" s="11"/>
      <c r="N406" s="11"/>
      <c r="O406" s="7"/>
      <c r="P406" s="11"/>
      <c r="Q406" s="8">
        <v>45133</v>
      </c>
      <c r="R406" s="8"/>
      <c r="S406" s="8">
        <v>45134</v>
      </c>
      <c r="T406" s="8" t="s">
        <v>2740</v>
      </c>
      <c r="U406" s="8" t="s">
        <v>2741</v>
      </c>
      <c r="V406" s="19" t="s">
        <v>2742</v>
      </c>
      <c r="W406" s="8"/>
      <c r="X406" s="8"/>
      <c r="Y406" s="9" t="s">
        <v>2743</v>
      </c>
      <c r="Z406" s="53"/>
      <c r="AA406" s="8" t="s">
        <v>1079</v>
      </c>
      <c r="AB406" s="3"/>
      <c r="AC406" s="3" t="s">
        <v>1369</v>
      </c>
      <c r="AD406" s="3"/>
    </row>
    <row r="407" spans="1:30" ht="43.5">
      <c r="A407" s="8" t="s">
        <v>1508</v>
      </c>
      <c r="B407" s="46"/>
      <c r="C407" s="3"/>
      <c r="D407" s="8" t="s">
        <v>2650</v>
      </c>
      <c r="E407" s="8" t="s">
        <v>2428</v>
      </c>
      <c r="F407" s="3"/>
      <c r="G407" s="8" t="s">
        <v>44</v>
      </c>
      <c r="H407" s="13" t="str">
        <f>IFERROR(VLOOKUP(G407, Sheet2!$A:$B, 2, FALSE), A407)</f>
        <v>CHOW TAI FOOK JEWELLERY CO LTD</v>
      </c>
      <c r="I407" s="6" t="s">
        <v>352</v>
      </c>
      <c r="J407" s="100">
        <v>726125834629</v>
      </c>
      <c r="K407" s="48" t="s">
        <v>1811</v>
      </c>
      <c r="L407" s="9" t="s">
        <v>2744</v>
      </c>
      <c r="M407" s="7"/>
      <c r="N407" s="7"/>
      <c r="O407" s="7"/>
      <c r="P407" s="7"/>
      <c r="Q407" s="8">
        <v>45133</v>
      </c>
      <c r="R407" s="8"/>
      <c r="S407" s="8">
        <v>45134</v>
      </c>
      <c r="T407" s="56" t="s">
        <v>2745</v>
      </c>
      <c r="U407" s="8" t="s">
        <v>2746</v>
      </c>
      <c r="V407" s="19" t="s">
        <v>2747</v>
      </c>
      <c r="W407" s="8"/>
      <c r="X407" s="8"/>
      <c r="Y407" s="9" t="s">
        <v>2748</v>
      </c>
      <c r="Z407" s="53"/>
      <c r="AA407" s="8" t="s">
        <v>1079</v>
      </c>
      <c r="AB407" s="3"/>
      <c r="AC407" s="3" t="s">
        <v>1369</v>
      </c>
      <c r="AD407" s="3"/>
    </row>
    <row r="408" spans="1:30" ht="43.5">
      <c r="A408" s="8" t="s">
        <v>1508</v>
      </c>
      <c r="B408" s="46"/>
      <c r="C408" s="3"/>
      <c r="D408" s="8" t="s">
        <v>2650</v>
      </c>
      <c r="E408" s="8" t="s">
        <v>2428</v>
      </c>
      <c r="F408" s="3"/>
      <c r="G408" s="8" t="s">
        <v>44</v>
      </c>
      <c r="H408" s="13" t="str">
        <f>IFERROR(VLOOKUP(G408, Sheet2!$A:$B, 2, FALSE), A408)</f>
        <v>CHOW TAI FOOK JEWELLERY CO LTD</v>
      </c>
      <c r="I408" s="6" t="s">
        <v>352</v>
      </c>
      <c r="J408" s="100">
        <v>726125834629</v>
      </c>
      <c r="K408" s="48" t="s">
        <v>1816</v>
      </c>
      <c r="L408" s="9" t="s">
        <v>2749</v>
      </c>
      <c r="M408" s="7"/>
      <c r="N408" s="7"/>
      <c r="O408" s="106"/>
      <c r="P408" s="7"/>
      <c r="Q408" s="8">
        <v>45133</v>
      </c>
      <c r="R408" s="8"/>
      <c r="S408" s="8">
        <v>45134</v>
      </c>
      <c r="T408" s="6" t="s">
        <v>2750</v>
      </c>
      <c r="U408" s="8" t="s">
        <v>2751</v>
      </c>
      <c r="V408" s="286" t="s">
        <v>2747</v>
      </c>
      <c r="W408" s="8"/>
      <c r="X408" s="8"/>
      <c r="Y408" s="9" t="s">
        <v>2748</v>
      </c>
      <c r="Z408" s="273"/>
      <c r="AA408" s="6" t="s">
        <v>1079</v>
      </c>
      <c r="AB408" s="3"/>
      <c r="AC408" s="3" t="s">
        <v>1369</v>
      </c>
      <c r="AD408" s="108"/>
    </row>
    <row r="409" spans="1:30" ht="131">
      <c r="A409" s="8" t="s">
        <v>1508</v>
      </c>
      <c r="B409" s="46"/>
      <c r="C409" s="3"/>
      <c r="D409" s="8" t="s">
        <v>2650</v>
      </c>
      <c r="E409" s="8" t="s">
        <v>2428</v>
      </c>
      <c r="F409" s="3"/>
      <c r="G409" s="3" t="s">
        <v>44</v>
      </c>
      <c r="H409" s="13" t="str">
        <f>IFERROR(VLOOKUP(G409, Sheet2!$A:$B, 2, FALSE), A409)</f>
        <v>CHOW TAI FOOK JEWELLERY CO LTD</v>
      </c>
      <c r="I409" s="6" t="s">
        <v>410</v>
      </c>
      <c r="J409" s="100">
        <v>726125834629</v>
      </c>
      <c r="K409" s="48" t="s">
        <v>2752</v>
      </c>
      <c r="L409" s="287" t="s">
        <v>2753</v>
      </c>
      <c r="M409" s="11"/>
      <c r="N409" s="11"/>
      <c r="O409" s="11"/>
      <c r="P409" s="11"/>
      <c r="Q409" s="8">
        <v>45133</v>
      </c>
      <c r="R409" s="8"/>
      <c r="S409" s="8">
        <v>45134</v>
      </c>
      <c r="T409" s="3" t="s">
        <v>2754</v>
      </c>
      <c r="U409" s="8" t="s">
        <v>2755</v>
      </c>
      <c r="V409" s="19" t="s">
        <v>2756</v>
      </c>
      <c r="W409" s="8"/>
      <c r="X409" s="8"/>
      <c r="Y409" s="9" t="s">
        <v>2748</v>
      </c>
      <c r="Z409" s="50"/>
      <c r="AA409" s="3" t="s">
        <v>1079</v>
      </c>
      <c r="AB409" s="3"/>
      <c r="AC409" s="3" t="s">
        <v>1369</v>
      </c>
      <c r="AD409" s="3"/>
    </row>
    <row r="410" spans="1:30" ht="43.5">
      <c r="A410" s="8" t="s">
        <v>1508</v>
      </c>
      <c r="B410" s="46"/>
      <c r="C410" s="3"/>
      <c r="D410" s="8" t="s">
        <v>2650</v>
      </c>
      <c r="E410" s="8" t="s">
        <v>2428</v>
      </c>
      <c r="F410" s="3"/>
      <c r="G410" s="3" t="s">
        <v>44</v>
      </c>
      <c r="H410" s="13" t="str">
        <f>IFERROR(VLOOKUP(G410, Sheet2!$A:$B, 2, FALSE), A410)</f>
        <v>CHOW TAI FOOK JEWELLERY CO LTD</v>
      </c>
      <c r="I410" s="6" t="s">
        <v>352</v>
      </c>
      <c r="J410" s="100">
        <v>726125834629</v>
      </c>
      <c r="K410" s="48" t="s">
        <v>1826</v>
      </c>
      <c r="L410" s="9" t="s">
        <v>2757</v>
      </c>
      <c r="M410" s="11"/>
      <c r="N410" s="11"/>
      <c r="O410" s="7"/>
      <c r="P410" s="11"/>
      <c r="Q410" s="8">
        <v>45133</v>
      </c>
      <c r="R410" s="8"/>
      <c r="S410" s="8">
        <v>45134</v>
      </c>
      <c r="T410" s="8" t="s">
        <v>2758</v>
      </c>
      <c r="U410" s="8" t="s">
        <v>2759</v>
      </c>
      <c r="V410" s="19" t="s">
        <v>2760</v>
      </c>
      <c r="W410" s="8"/>
      <c r="X410" s="8"/>
      <c r="Y410" s="9" t="s">
        <v>2748</v>
      </c>
      <c r="Z410" s="53"/>
      <c r="AA410" s="8" t="s">
        <v>1079</v>
      </c>
      <c r="AB410" s="3"/>
      <c r="AC410" s="3" t="s">
        <v>1369</v>
      </c>
      <c r="AD410" s="3"/>
    </row>
    <row r="411" spans="1:30" ht="43.5">
      <c r="A411" s="8" t="s">
        <v>1508</v>
      </c>
      <c r="B411" s="46"/>
      <c r="C411" s="3"/>
      <c r="D411" s="8" t="s">
        <v>2650</v>
      </c>
      <c r="E411" s="8" t="s">
        <v>2428</v>
      </c>
      <c r="F411" s="3"/>
      <c r="G411" s="3" t="s">
        <v>44</v>
      </c>
      <c r="H411" s="13" t="str">
        <f>IFERROR(VLOOKUP(G411, Sheet2!$A:$B, 2, FALSE), A411)</f>
        <v>CHOW TAI FOOK JEWELLERY CO LTD</v>
      </c>
      <c r="I411" s="6" t="s">
        <v>352</v>
      </c>
      <c r="J411" s="100">
        <v>726125834629</v>
      </c>
      <c r="K411" s="48" t="s">
        <v>1831</v>
      </c>
      <c r="L411" s="9" t="s">
        <v>2761</v>
      </c>
      <c r="M411" s="11"/>
      <c r="N411" s="11"/>
      <c r="O411" s="11"/>
      <c r="P411" s="11"/>
      <c r="Q411" s="8">
        <v>45133</v>
      </c>
      <c r="R411" s="8"/>
      <c r="S411" s="8">
        <v>45134</v>
      </c>
      <c r="T411" s="3" t="s">
        <v>2762</v>
      </c>
      <c r="U411" s="8" t="s">
        <v>2763</v>
      </c>
      <c r="V411" s="19" t="s">
        <v>2764</v>
      </c>
      <c r="W411" s="8"/>
      <c r="X411" s="8"/>
      <c r="Y411" s="9" t="s">
        <v>2748</v>
      </c>
      <c r="Z411" s="53"/>
      <c r="AA411" s="3" t="s">
        <v>1079</v>
      </c>
      <c r="AB411" s="3"/>
      <c r="AC411" s="3" t="s">
        <v>1369</v>
      </c>
      <c r="AD411" s="3"/>
    </row>
    <row r="412" spans="1:30" ht="43.5">
      <c r="A412" s="8" t="s">
        <v>1508</v>
      </c>
      <c r="B412" s="46"/>
      <c r="C412" s="3"/>
      <c r="D412" s="8" t="s">
        <v>2650</v>
      </c>
      <c r="E412" s="8" t="s">
        <v>2428</v>
      </c>
      <c r="F412" s="3"/>
      <c r="G412" s="3" t="s">
        <v>44</v>
      </c>
      <c r="H412" s="13" t="str">
        <f>IFERROR(VLOOKUP(G412, Sheet2!$A:$B, 2, FALSE), A412)</f>
        <v>CHOW TAI FOOK JEWELLERY CO LTD</v>
      </c>
      <c r="I412" s="6" t="s">
        <v>352</v>
      </c>
      <c r="J412" s="100">
        <v>726125834629</v>
      </c>
      <c r="K412" s="48" t="s">
        <v>1836</v>
      </c>
      <c r="L412" s="9" t="s">
        <v>2765</v>
      </c>
      <c r="M412" s="11"/>
      <c r="N412" s="11"/>
      <c r="O412" s="7"/>
      <c r="P412" s="11"/>
      <c r="Q412" s="8">
        <v>45133</v>
      </c>
      <c r="R412" s="8"/>
      <c r="S412" s="8">
        <v>45134</v>
      </c>
      <c r="T412" s="69" t="s">
        <v>2766</v>
      </c>
      <c r="U412" s="8" t="s">
        <v>2767</v>
      </c>
      <c r="V412" s="19" t="s">
        <v>2768</v>
      </c>
      <c r="W412" s="8"/>
      <c r="X412" s="8"/>
      <c r="Y412" s="9" t="s">
        <v>2748</v>
      </c>
      <c r="Z412" s="53"/>
      <c r="AA412" s="8" t="s">
        <v>1079</v>
      </c>
      <c r="AB412" s="3"/>
      <c r="AC412" s="3" t="s">
        <v>1369</v>
      </c>
      <c r="AD412" s="3"/>
    </row>
    <row r="413" spans="1:30" ht="43.5">
      <c r="A413" s="8" t="s">
        <v>1508</v>
      </c>
      <c r="B413" s="46"/>
      <c r="C413" s="3"/>
      <c r="D413" s="8" t="s">
        <v>2650</v>
      </c>
      <c r="E413" s="8" t="s">
        <v>2428</v>
      </c>
      <c r="F413" s="3"/>
      <c r="G413" s="3" t="s">
        <v>44</v>
      </c>
      <c r="H413" s="13" t="str">
        <f>IFERROR(VLOOKUP(G413, Sheet2!$A:$B, 2, FALSE), A413)</f>
        <v>CHOW TAI FOOK JEWELLERY CO LTD</v>
      </c>
      <c r="I413" s="6" t="s">
        <v>352</v>
      </c>
      <c r="J413" s="100">
        <v>726125834629</v>
      </c>
      <c r="K413" s="48" t="s">
        <v>1841</v>
      </c>
      <c r="L413" s="9" t="s">
        <v>2769</v>
      </c>
      <c r="M413" s="11"/>
      <c r="N413" s="11"/>
      <c r="O413" s="7"/>
      <c r="P413" s="11"/>
      <c r="Q413" s="8">
        <v>45133</v>
      </c>
      <c r="R413" s="8"/>
      <c r="S413" s="8">
        <v>45134</v>
      </c>
      <c r="T413" s="69" t="s">
        <v>2770</v>
      </c>
      <c r="U413" s="8" t="s">
        <v>2771</v>
      </c>
      <c r="V413" s="19" t="s">
        <v>2772</v>
      </c>
      <c r="W413" s="8"/>
      <c r="X413" s="8"/>
      <c r="Y413" s="9" t="s">
        <v>2743</v>
      </c>
      <c r="Z413" s="53"/>
      <c r="AA413" s="8" t="s">
        <v>1079</v>
      </c>
      <c r="AB413" s="3"/>
      <c r="AC413" s="3" t="s">
        <v>1369</v>
      </c>
      <c r="AD413" s="3"/>
    </row>
    <row r="414" spans="1:30" ht="43.5">
      <c r="A414" s="8" t="s">
        <v>1508</v>
      </c>
      <c r="B414" s="46"/>
      <c r="C414" s="3"/>
      <c r="D414" s="8" t="s">
        <v>2650</v>
      </c>
      <c r="E414" s="8" t="s">
        <v>2428</v>
      </c>
      <c r="F414" s="3"/>
      <c r="G414" s="3" t="s">
        <v>43</v>
      </c>
      <c r="H414" s="13" t="str">
        <f>IFERROR(VLOOKUP(G414, Sheet2!$A:$B, 2, FALSE), A414)</f>
        <v>CHOW TAI FOOK JEWELLERY CO LTD</v>
      </c>
      <c r="I414" s="6" t="s">
        <v>352</v>
      </c>
      <c r="J414" s="100">
        <v>726125834629</v>
      </c>
      <c r="K414" s="48" t="s">
        <v>1846</v>
      </c>
      <c r="L414" s="9" t="s">
        <v>2773</v>
      </c>
      <c r="M414" s="11"/>
      <c r="N414" s="11"/>
      <c r="O414" s="7"/>
      <c r="P414" s="11"/>
      <c r="Q414" s="8">
        <v>45133</v>
      </c>
      <c r="R414" s="8"/>
      <c r="S414" s="8">
        <v>45134</v>
      </c>
      <c r="T414" s="69" t="s">
        <v>2774</v>
      </c>
      <c r="U414" s="8" t="s">
        <v>2775</v>
      </c>
      <c r="V414" s="19" t="s">
        <v>2776</v>
      </c>
      <c r="W414" s="8"/>
      <c r="X414" s="8"/>
      <c r="Y414" s="9" t="s">
        <v>2743</v>
      </c>
      <c r="Z414" s="53"/>
      <c r="AA414" s="8" t="s">
        <v>1079</v>
      </c>
      <c r="AB414" s="3"/>
      <c r="AC414" s="3" t="s">
        <v>1369</v>
      </c>
      <c r="AD414" s="3"/>
    </row>
    <row r="415" spans="1:30" ht="87">
      <c r="A415" s="8" t="s">
        <v>350</v>
      </c>
      <c r="B415" s="46"/>
      <c r="C415" s="3"/>
      <c r="D415" s="8" t="s">
        <v>2777</v>
      </c>
      <c r="E415" s="6" t="s">
        <v>2778</v>
      </c>
      <c r="F415" s="47"/>
      <c r="G415" s="8" t="s">
        <v>196</v>
      </c>
      <c r="H415" s="13" t="str">
        <f>IFERROR(VLOOKUP(G415, Sheet2!$A:$B, 2, FALSE), A415)</f>
        <v>G2000 (APPAREL) LTD</v>
      </c>
      <c r="I415" s="6" t="s">
        <v>359</v>
      </c>
      <c r="J415" s="109"/>
      <c r="K415" s="61" t="s">
        <v>1851</v>
      </c>
      <c r="L415" s="17"/>
      <c r="M415" s="11" t="s">
        <v>2779</v>
      </c>
      <c r="N415" s="11"/>
      <c r="O415" s="7"/>
      <c r="P415" s="11"/>
      <c r="Q415" s="8">
        <v>45141</v>
      </c>
      <c r="R415" s="8"/>
      <c r="S415" s="8">
        <v>45141</v>
      </c>
      <c r="T415" s="8" t="s">
        <v>2780</v>
      </c>
      <c r="U415" s="8" t="s">
        <v>2781</v>
      </c>
      <c r="V415" s="19" t="s">
        <v>2782</v>
      </c>
      <c r="W415" s="8"/>
      <c r="X415" s="8"/>
      <c r="Y415" s="17" t="s">
        <v>2783</v>
      </c>
      <c r="Z415" s="53"/>
      <c r="AA415" s="8" t="s">
        <v>1079</v>
      </c>
      <c r="AB415" s="3"/>
      <c r="AC415" s="3" t="s">
        <v>2784</v>
      </c>
      <c r="AD415" s="3"/>
    </row>
    <row r="416" spans="1:30" ht="72.5">
      <c r="A416" s="8" t="s">
        <v>350</v>
      </c>
      <c r="B416" s="46"/>
      <c r="C416" s="3"/>
      <c r="D416" s="8" t="s">
        <v>2785</v>
      </c>
      <c r="E416" s="6">
        <v>21881187</v>
      </c>
      <c r="F416" s="110"/>
      <c r="G416" s="3" t="s">
        <v>1365</v>
      </c>
      <c r="H416" s="13" t="str">
        <f>IFERROR(VLOOKUP(G416, Sheet2!$A:$B, 2, FALSE), A416)</f>
        <v>AIRPORT AUTHORITY</v>
      </c>
      <c r="I416" s="6" t="s">
        <v>352</v>
      </c>
      <c r="J416" s="109"/>
      <c r="K416" s="61" t="s">
        <v>1856</v>
      </c>
      <c r="L416" s="17"/>
      <c r="M416" s="11"/>
      <c r="N416" s="11"/>
      <c r="O416" s="7"/>
      <c r="P416" s="11"/>
      <c r="Q416" s="8">
        <v>45142</v>
      </c>
      <c r="R416" s="8">
        <v>45139</v>
      </c>
      <c r="S416" s="8">
        <v>45278</v>
      </c>
      <c r="T416" s="4" t="s">
        <v>2786</v>
      </c>
      <c r="U416" s="4" t="s">
        <v>2787</v>
      </c>
      <c r="V416" s="19" t="s">
        <v>2788</v>
      </c>
      <c r="W416" s="4" t="s">
        <v>2789</v>
      </c>
      <c r="X416" s="8"/>
      <c r="Y416" s="124" t="s">
        <v>2790</v>
      </c>
      <c r="Z416" s="53" t="s">
        <v>886</v>
      </c>
      <c r="AA416" s="8" t="s">
        <v>1079</v>
      </c>
      <c r="AB416" s="3"/>
      <c r="AC416" s="3" t="s">
        <v>2784</v>
      </c>
      <c r="AD416" s="3"/>
    </row>
    <row r="417" spans="1:30" ht="72.5">
      <c r="A417" s="8" t="s">
        <v>1508</v>
      </c>
      <c r="B417" s="46"/>
      <c r="C417" s="3"/>
      <c r="D417" s="8" t="s">
        <v>2791</v>
      </c>
      <c r="E417" s="6">
        <v>98789831</v>
      </c>
      <c r="F417" s="47"/>
      <c r="G417" s="8" t="s">
        <v>732</v>
      </c>
      <c r="H417" s="13" t="str">
        <f>IFERROR(VLOOKUP(G417, Sheet2!$A:$B, 2, FALSE), A417)</f>
        <v>AASTOCKS.COM LIMITED</v>
      </c>
      <c r="I417" s="6" t="s">
        <v>675</v>
      </c>
      <c r="J417" s="109"/>
      <c r="K417" s="48" t="s">
        <v>1861</v>
      </c>
      <c r="L417" s="9" t="s">
        <v>2576</v>
      </c>
      <c r="M417" s="3"/>
      <c r="N417" s="3"/>
      <c r="O417" s="7"/>
      <c r="P417" s="3"/>
      <c r="Q417" s="8">
        <v>45152</v>
      </c>
      <c r="R417" s="8"/>
      <c r="S417" s="8">
        <v>45160</v>
      </c>
      <c r="T417" s="4" t="s">
        <v>2366</v>
      </c>
      <c r="U417" s="8" t="s">
        <v>2792</v>
      </c>
      <c r="V417" s="19" t="s">
        <v>2368</v>
      </c>
      <c r="W417" s="8"/>
      <c r="X417" s="8"/>
      <c r="Y417" s="15" t="s">
        <v>2793</v>
      </c>
      <c r="Z417" s="53"/>
      <c r="AA417" s="8"/>
      <c r="AB417" s="3"/>
      <c r="AC417" s="3" t="s">
        <v>2680</v>
      </c>
      <c r="AD417" s="3"/>
    </row>
    <row r="418" spans="1:30" ht="58">
      <c r="A418" s="5" t="s">
        <v>1508</v>
      </c>
      <c r="B418" s="46"/>
      <c r="C418" s="3"/>
      <c r="D418" s="8" t="s">
        <v>2794</v>
      </c>
      <c r="E418" s="6">
        <v>56657068</v>
      </c>
      <c r="F418" s="47"/>
      <c r="G418" s="4" t="s">
        <v>197</v>
      </c>
      <c r="H418" s="13" t="str">
        <f>IFERROR(VLOOKUP(G418, Sheet2!$A:$B, 2, FALSE), A418)</f>
        <v>ASCENTAS CAPITAL MANAGEMENT LIMITED</v>
      </c>
      <c r="I418" s="6" t="s">
        <v>352</v>
      </c>
      <c r="J418" s="109"/>
      <c r="K418" s="48" t="s">
        <v>1866</v>
      </c>
      <c r="L418" s="7" t="s">
        <v>1867</v>
      </c>
      <c r="M418" s="3"/>
      <c r="N418" s="3"/>
      <c r="O418" s="7"/>
      <c r="P418" s="3"/>
      <c r="Q418" s="8">
        <v>45152</v>
      </c>
      <c r="R418" s="8"/>
      <c r="S418" s="8">
        <v>45159</v>
      </c>
      <c r="T418" s="69" t="s">
        <v>2795</v>
      </c>
      <c r="U418" s="8" t="s">
        <v>2796</v>
      </c>
      <c r="V418" s="19" t="s">
        <v>2797</v>
      </c>
      <c r="W418" s="8"/>
      <c r="X418" s="8"/>
      <c r="Y418" s="7" t="s">
        <v>2798</v>
      </c>
      <c r="Z418" s="53"/>
      <c r="AA418" s="8"/>
      <c r="AB418" s="3"/>
      <c r="AC418" s="3" t="s">
        <v>945</v>
      </c>
      <c r="AD418" s="3"/>
    </row>
    <row r="419" spans="1:30" ht="72.5">
      <c r="A419" s="8" t="s">
        <v>2799</v>
      </c>
      <c r="B419" s="46"/>
      <c r="C419" s="3"/>
      <c r="D419" s="19" t="s">
        <v>2800</v>
      </c>
      <c r="E419" s="6">
        <v>93289230</v>
      </c>
      <c r="F419" s="47"/>
      <c r="G419" s="19" t="s">
        <v>198</v>
      </c>
      <c r="H419" s="13" t="str">
        <f>IFERROR(VLOOKUP(G419, Sheet2!$A:$B, 2, FALSE), A419)</f>
        <v>AIRPORT AUTHORITY</v>
      </c>
      <c r="I419" s="6" t="s">
        <v>352</v>
      </c>
      <c r="J419" s="109">
        <v>838776425275</v>
      </c>
      <c r="K419" s="109" t="s">
        <v>1871</v>
      </c>
      <c r="L419" s="48"/>
      <c r="M419" s="3"/>
      <c r="N419" s="3"/>
      <c r="O419" s="48"/>
      <c r="P419" s="3"/>
      <c r="Q419" s="8">
        <v>45166</v>
      </c>
      <c r="R419" s="8"/>
      <c r="S419" s="8"/>
      <c r="T419" s="19" t="s">
        <v>666</v>
      </c>
      <c r="U419" s="19" t="s">
        <v>2801</v>
      </c>
      <c r="V419" s="19" t="s">
        <v>668</v>
      </c>
      <c r="W419" s="8"/>
      <c r="X419" s="19"/>
      <c r="Y419" s="48" t="s">
        <v>2802</v>
      </c>
      <c r="Z419" s="53" t="s">
        <v>886</v>
      </c>
      <c r="AA419" s="19" t="s">
        <v>1079</v>
      </c>
      <c r="AB419" s="3"/>
      <c r="AC419" s="3" t="s">
        <v>945</v>
      </c>
      <c r="AD419" s="3"/>
    </row>
    <row r="420" spans="1:30" ht="74">
      <c r="A420" s="5" t="s">
        <v>2139</v>
      </c>
      <c r="B420" s="46"/>
      <c r="C420" s="3"/>
      <c r="D420" s="3" t="s">
        <v>2803</v>
      </c>
      <c r="E420" s="6" t="s">
        <v>2804</v>
      </c>
      <c r="F420" s="47"/>
      <c r="G420" s="3" t="s">
        <v>175</v>
      </c>
      <c r="H420" s="13" t="str">
        <f>IFERROR(VLOOKUP(G420, Sheet2!$A:$B, 2, FALSE), A420)</f>
        <v>HOSPITAL AUTHORITY</v>
      </c>
      <c r="I420" s="6" t="s">
        <v>675</v>
      </c>
      <c r="J420" s="109"/>
      <c r="K420" s="48"/>
      <c r="L420" s="9" t="s">
        <v>2805</v>
      </c>
      <c r="M420" s="11" t="s">
        <v>2806</v>
      </c>
      <c r="N420" s="11"/>
      <c r="O420" s="7" t="s">
        <v>2807</v>
      </c>
      <c r="P420" s="11"/>
      <c r="Q420" s="8">
        <v>45173</v>
      </c>
      <c r="R420" s="8"/>
      <c r="S420" s="8">
        <v>45218</v>
      </c>
      <c r="T420" s="3" t="s">
        <v>2808</v>
      </c>
      <c r="U420" s="49" t="s">
        <v>2809</v>
      </c>
      <c r="V420" s="19" t="s">
        <v>2810</v>
      </c>
      <c r="W420" s="8"/>
      <c r="X420" s="49" t="s">
        <v>2811</v>
      </c>
      <c r="Y420" s="9" t="s">
        <v>2812</v>
      </c>
      <c r="Z420" s="53"/>
      <c r="AA420" s="8" t="s">
        <v>1072</v>
      </c>
      <c r="AB420" s="3"/>
      <c r="AC420" s="3" t="s">
        <v>2680</v>
      </c>
      <c r="AD420" s="3"/>
    </row>
    <row r="421" spans="1:30" ht="43.5">
      <c r="A421" s="8" t="s">
        <v>1508</v>
      </c>
      <c r="B421" s="46"/>
      <c r="C421" s="3"/>
      <c r="D421" s="8" t="s">
        <v>2650</v>
      </c>
      <c r="E421" s="8" t="s">
        <v>2428</v>
      </c>
      <c r="F421" s="3"/>
      <c r="G421" s="8" t="s">
        <v>44</v>
      </c>
      <c r="H421" s="13" t="str">
        <f>IFERROR(VLOOKUP(G421, Sheet2!$A:$B, 2, FALSE), A421)</f>
        <v>CHOW TAI FOOK JEWELLERY CO LTD</v>
      </c>
      <c r="I421" s="6" t="s">
        <v>352</v>
      </c>
      <c r="J421" s="100">
        <v>726125834629</v>
      </c>
      <c r="K421" s="48" t="s">
        <v>1881</v>
      </c>
      <c r="L421" s="9" t="s">
        <v>2813</v>
      </c>
      <c r="M421" s="11" t="s">
        <v>2814</v>
      </c>
      <c r="N421" s="11"/>
      <c r="O421" s="48"/>
      <c r="P421" s="11"/>
      <c r="Q421" s="8">
        <v>45181</v>
      </c>
      <c r="R421" s="8"/>
      <c r="S421" s="8"/>
      <c r="T421" s="159" t="s">
        <v>2815</v>
      </c>
      <c r="U421" s="8" t="s">
        <v>2816</v>
      </c>
      <c r="V421" s="19" t="s">
        <v>2817</v>
      </c>
      <c r="W421" s="8"/>
      <c r="X421" s="8"/>
      <c r="Y421" s="9" t="s">
        <v>2818</v>
      </c>
      <c r="Z421" s="53" t="s">
        <v>886</v>
      </c>
      <c r="AA421" s="19" t="s">
        <v>1079</v>
      </c>
      <c r="AB421" s="3"/>
      <c r="AC421" s="3" t="s">
        <v>945</v>
      </c>
      <c r="AD421" s="3"/>
    </row>
    <row r="422" spans="1:30" ht="43.5">
      <c r="A422" s="3" t="s">
        <v>1508</v>
      </c>
      <c r="B422" s="46"/>
      <c r="C422" s="3"/>
      <c r="D422" s="8" t="s">
        <v>2650</v>
      </c>
      <c r="E422" s="8" t="s">
        <v>2428</v>
      </c>
      <c r="F422" s="3"/>
      <c r="G422" s="8" t="s">
        <v>44</v>
      </c>
      <c r="H422" s="13" t="str">
        <f>IFERROR(VLOOKUP(G422, Sheet2!$A:$B, 2, FALSE), A422)</f>
        <v>CHOW TAI FOOK JEWELLERY CO LTD</v>
      </c>
      <c r="I422" s="6" t="s">
        <v>352</v>
      </c>
      <c r="J422" s="100">
        <v>726125834629</v>
      </c>
      <c r="K422" s="79" t="s">
        <v>1886</v>
      </c>
      <c r="L422" s="56" t="s">
        <v>2819</v>
      </c>
      <c r="M422" s="11" t="s">
        <v>2820</v>
      </c>
      <c r="N422" s="11"/>
      <c r="O422" s="48"/>
      <c r="P422" s="11"/>
      <c r="Q422" s="8">
        <v>45181</v>
      </c>
      <c r="R422" s="8"/>
      <c r="S422" s="8"/>
      <c r="T422" s="288" t="s">
        <v>2821</v>
      </c>
      <c r="U422" s="8" t="s">
        <v>2822</v>
      </c>
      <c r="V422" s="19" t="s">
        <v>2823</v>
      </c>
      <c r="W422" s="8"/>
      <c r="X422" s="8"/>
      <c r="Y422" s="289" t="s">
        <v>2824</v>
      </c>
      <c r="Z422" s="53" t="s">
        <v>886</v>
      </c>
      <c r="AA422" s="19" t="s">
        <v>1079</v>
      </c>
      <c r="AB422" s="3"/>
      <c r="AC422" s="3" t="s">
        <v>945</v>
      </c>
      <c r="AD422" s="3"/>
    </row>
    <row r="423" spans="1:30" ht="103">
      <c r="A423" s="3" t="s">
        <v>2139</v>
      </c>
      <c r="B423" s="46"/>
      <c r="C423" s="3"/>
      <c r="D423" s="3" t="s">
        <v>2825</v>
      </c>
      <c r="E423" s="6" t="s">
        <v>2826</v>
      </c>
      <c r="F423" s="47"/>
      <c r="G423" s="3" t="s">
        <v>175</v>
      </c>
      <c r="H423" s="13" t="str">
        <f>IFERROR(VLOOKUP(G423, Sheet2!$A:$B, 2, FALSE), A423)</f>
        <v>HOSPITAL AUTHORITY</v>
      </c>
      <c r="I423" s="6" t="s">
        <v>675</v>
      </c>
      <c r="J423" s="109"/>
      <c r="K423" s="48"/>
      <c r="L423" s="271" t="s">
        <v>2827</v>
      </c>
      <c r="M423" s="11" t="s">
        <v>2828</v>
      </c>
      <c r="N423" s="11"/>
      <c r="O423" s="7" t="s">
        <v>2489</v>
      </c>
      <c r="P423" s="11"/>
      <c r="Q423" s="8">
        <v>45180</v>
      </c>
      <c r="R423" s="8"/>
      <c r="S423" s="8">
        <v>45218</v>
      </c>
      <c r="T423" s="69" t="s">
        <v>2829</v>
      </c>
      <c r="U423" s="8" t="s">
        <v>2830</v>
      </c>
      <c r="V423" s="19" t="s">
        <v>2831</v>
      </c>
      <c r="W423" s="8"/>
      <c r="X423" s="8" t="s">
        <v>2832</v>
      </c>
      <c r="Y423" s="9" t="s">
        <v>2833</v>
      </c>
      <c r="Z423" s="53"/>
      <c r="AA423" s="8" t="s">
        <v>1072</v>
      </c>
      <c r="AB423" s="3"/>
      <c r="AC423" s="3" t="s">
        <v>2680</v>
      </c>
      <c r="AD423" s="3"/>
    </row>
    <row r="424" spans="1:30" ht="131">
      <c r="A424" s="8" t="s">
        <v>883</v>
      </c>
      <c r="B424" s="46"/>
      <c r="C424" s="3"/>
      <c r="D424" s="8" t="s">
        <v>2834</v>
      </c>
      <c r="E424" s="290" t="s">
        <v>2835</v>
      </c>
      <c r="F424" s="47"/>
      <c r="G424" s="4" t="s">
        <v>199</v>
      </c>
      <c r="H424" s="13" t="str">
        <f>IFERROR(VLOOKUP(G424, Sheet2!$A:$B, 2, FALSE), A424)</f>
        <v>New World Corporate Services Limited</v>
      </c>
      <c r="I424" s="6" t="s">
        <v>2836</v>
      </c>
      <c r="J424" s="109"/>
      <c r="K424" s="79" t="s">
        <v>1896</v>
      </c>
      <c r="L424" s="56" t="s">
        <v>2837</v>
      </c>
      <c r="M424" s="11" t="s">
        <v>2838</v>
      </c>
      <c r="N424" s="11"/>
      <c r="O424" s="9" t="s">
        <v>2839</v>
      </c>
      <c r="P424" s="11"/>
      <c r="Q424" s="8">
        <v>45180</v>
      </c>
      <c r="R424" s="8"/>
      <c r="S424" s="8"/>
      <c r="T424" s="8" t="s">
        <v>2840</v>
      </c>
      <c r="U424" s="8" t="s">
        <v>2841</v>
      </c>
      <c r="V424" s="19" t="s">
        <v>997</v>
      </c>
      <c r="W424" s="8"/>
      <c r="X424" s="8" t="s">
        <v>2513</v>
      </c>
      <c r="Y424" s="56" t="s">
        <v>2842</v>
      </c>
      <c r="Z424" s="291"/>
      <c r="AA424" s="8"/>
      <c r="AB424" s="8"/>
      <c r="AC424" s="8" t="s">
        <v>2680</v>
      </c>
      <c r="AD424" s="3"/>
    </row>
    <row r="425" spans="1:30" ht="73.5">
      <c r="A425" s="8" t="s">
        <v>2139</v>
      </c>
      <c r="B425" s="46"/>
      <c r="C425" s="3"/>
      <c r="D425" s="8" t="s">
        <v>2843</v>
      </c>
      <c r="E425" s="6" t="s">
        <v>2844</v>
      </c>
      <c r="F425" s="47"/>
      <c r="G425" s="3" t="s">
        <v>175</v>
      </c>
      <c r="H425" s="13" t="str">
        <f>IFERROR(VLOOKUP(G425, Sheet2!$A:$B, 2, FALSE), A425)</f>
        <v>HOSPITAL AUTHORITY</v>
      </c>
      <c r="I425" s="6" t="s">
        <v>675</v>
      </c>
      <c r="J425" s="109"/>
      <c r="K425" s="48"/>
      <c r="L425" s="271" t="s">
        <v>2845</v>
      </c>
      <c r="M425" s="11" t="s">
        <v>2846</v>
      </c>
      <c r="N425" s="11"/>
      <c r="O425" s="7" t="s">
        <v>2516</v>
      </c>
      <c r="P425" s="11"/>
      <c r="Q425" s="8">
        <v>45188</v>
      </c>
      <c r="R425" s="8"/>
      <c r="S425" s="8">
        <v>45218</v>
      </c>
      <c r="T425" s="69" t="s">
        <v>2847</v>
      </c>
      <c r="U425" s="69" t="s">
        <v>2848</v>
      </c>
      <c r="V425" s="19" t="s">
        <v>2849</v>
      </c>
      <c r="W425" s="8"/>
      <c r="X425" s="69" t="s">
        <v>2850</v>
      </c>
      <c r="Y425" s="9" t="s">
        <v>2526</v>
      </c>
      <c r="Z425" s="53"/>
      <c r="AA425" s="8" t="s">
        <v>1072</v>
      </c>
      <c r="AB425" s="3"/>
      <c r="AC425" s="3" t="s">
        <v>2851</v>
      </c>
      <c r="AD425" s="3"/>
    </row>
    <row r="426" spans="1:30" ht="116">
      <c r="A426" s="8" t="s">
        <v>350</v>
      </c>
      <c r="B426" s="46"/>
      <c r="C426" s="3"/>
      <c r="D426" s="8" t="s">
        <v>2852</v>
      </c>
      <c r="E426" s="6" t="s">
        <v>2853</v>
      </c>
      <c r="F426" s="47"/>
      <c r="G426" s="8" t="s">
        <v>200</v>
      </c>
      <c r="H426" s="13" t="str">
        <f>IFERROR(VLOOKUP(G426, Sheet2!$A:$B, 2, FALSE), A426)</f>
        <v>CAM 8 GOOGLE CLOUD ACCOUNT FOR HKT TELESERVICES</v>
      </c>
      <c r="I426" s="6" t="s">
        <v>352</v>
      </c>
      <c r="J426" s="109"/>
      <c r="K426" s="48" t="s">
        <v>1906</v>
      </c>
      <c r="L426" s="9" t="s">
        <v>2854</v>
      </c>
      <c r="M426" s="11"/>
      <c r="N426" s="11"/>
      <c r="O426" s="7"/>
      <c r="P426" s="11"/>
      <c r="Q426" s="8">
        <v>45210</v>
      </c>
      <c r="R426" s="8"/>
      <c r="S426" s="8"/>
      <c r="T426" s="8" t="s">
        <v>2855</v>
      </c>
      <c r="U426" s="8" t="s">
        <v>2856</v>
      </c>
      <c r="V426" s="19" t="s">
        <v>2857</v>
      </c>
      <c r="W426" s="8"/>
      <c r="X426" s="8" t="s">
        <v>2858</v>
      </c>
      <c r="Y426" s="203" t="s">
        <v>2859</v>
      </c>
      <c r="Z426" s="53"/>
      <c r="AA426" s="8"/>
      <c r="AB426" s="3"/>
      <c r="AC426" s="3" t="s">
        <v>2680</v>
      </c>
      <c r="AD426" s="3"/>
    </row>
    <row r="427" spans="1:30" ht="116">
      <c r="A427" s="8" t="s">
        <v>350</v>
      </c>
      <c r="B427" s="46"/>
      <c r="C427" s="3"/>
      <c r="D427" s="8" t="s">
        <v>2852</v>
      </c>
      <c r="E427" s="6" t="s">
        <v>2853</v>
      </c>
      <c r="F427" s="47"/>
      <c r="G427" s="8" t="s">
        <v>200</v>
      </c>
      <c r="H427" s="13" t="str">
        <f>IFERROR(VLOOKUP(G427, Sheet2!$A:$B, 2, FALSE), A427)</f>
        <v>CAM 8 GOOGLE CLOUD ACCOUNT FOR HKT TELESERVICES</v>
      </c>
      <c r="I427" s="6" t="s">
        <v>352</v>
      </c>
      <c r="J427" s="109"/>
      <c r="K427" s="48" t="s">
        <v>1911</v>
      </c>
      <c r="L427" s="9"/>
      <c r="M427" s="11"/>
      <c r="N427" s="11"/>
      <c r="O427" s="7"/>
      <c r="P427" s="11"/>
      <c r="Q427" s="8">
        <v>45210</v>
      </c>
      <c r="R427" s="8"/>
      <c r="S427" s="8"/>
      <c r="T427" s="8" t="s">
        <v>2860</v>
      </c>
      <c r="U427" s="8" t="s">
        <v>2861</v>
      </c>
      <c r="V427" s="19" t="s">
        <v>2862</v>
      </c>
      <c r="W427" s="8"/>
      <c r="X427" s="8" t="s">
        <v>2863</v>
      </c>
      <c r="Y427" s="203" t="s">
        <v>2864</v>
      </c>
      <c r="Z427" s="53"/>
      <c r="AA427" s="8"/>
      <c r="AB427" s="3"/>
      <c r="AC427" s="3" t="s">
        <v>2680</v>
      </c>
      <c r="AD427" s="3"/>
    </row>
    <row r="428" spans="1:30" ht="116">
      <c r="A428" s="8" t="s">
        <v>350</v>
      </c>
      <c r="B428" s="46"/>
      <c r="C428" s="3"/>
      <c r="D428" s="8" t="s">
        <v>2852</v>
      </c>
      <c r="E428" s="6" t="s">
        <v>2853</v>
      </c>
      <c r="F428" s="47"/>
      <c r="G428" s="8" t="s">
        <v>200</v>
      </c>
      <c r="H428" s="13" t="str">
        <f>IFERROR(VLOOKUP(G428, Sheet2!$A:$B, 2, FALSE), A428)</f>
        <v>CAM 8 GOOGLE CLOUD ACCOUNT FOR HKT TELESERVICES</v>
      </c>
      <c r="I428" s="6" t="s">
        <v>352</v>
      </c>
      <c r="J428" s="109"/>
      <c r="K428" s="48" t="s">
        <v>1916</v>
      </c>
      <c r="L428" s="9" t="s">
        <v>2865</v>
      </c>
      <c r="M428" s="11"/>
      <c r="N428" s="11"/>
      <c r="O428" s="7"/>
      <c r="P428" s="11"/>
      <c r="Q428" s="8">
        <v>45210</v>
      </c>
      <c r="R428" s="8"/>
      <c r="S428" s="8"/>
      <c r="T428" s="8" t="s">
        <v>2866</v>
      </c>
      <c r="U428" s="8" t="s">
        <v>2867</v>
      </c>
      <c r="V428" s="19" t="s">
        <v>2868</v>
      </c>
      <c r="W428" s="8"/>
      <c r="X428" s="8" t="s">
        <v>2869</v>
      </c>
      <c r="Y428" s="203" t="s">
        <v>2870</v>
      </c>
      <c r="Z428" s="53"/>
      <c r="AA428" s="8"/>
      <c r="AB428" s="3"/>
      <c r="AC428" s="3" t="s">
        <v>2680</v>
      </c>
      <c r="AD428" s="3"/>
    </row>
    <row r="429" spans="1:30" ht="76">
      <c r="A429" s="8" t="s">
        <v>350</v>
      </c>
      <c r="B429" s="46"/>
      <c r="C429" s="3"/>
      <c r="D429" s="8" t="s">
        <v>2871</v>
      </c>
      <c r="E429" s="6" t="s">
        <v>2872</v>
      </c>
      <c r="F429" s="47"/>
      <c r="G429" s="8" t="s">
        <v>176</v>
      </c>
      <c r="H429" s="13" t="str">
        <f>IFERROR(VLOOKUP(G429, Sheet2!$A:$B, 2, FALSE), A429)</f>
        <v>HOSPITAL AUTHORITY</v>
      </c>
      <c r="I429" s="6" t="s">
        <v>675</v>
      </c>
      <c r="J429" s="109"/>
      <c r="K429" s="271" t="s">
        <v>2873</v>
      </c>
      <c r="L429" s="56" t="s">
        <v>2874</v>
      </c>
      <c r="M429" s="11" t="s">
        <v>2875</v>
      </c>
      <c r="N429" s="11"/>
      <c r="O429" s="7" t="s">
        <v>2876</v>
      </c>
      <c r="P429" s="11"/>
      <c r="Q429" s="8">
        <v>45200</v>
      </c>
      <c r="R429" s="8"/>
      <c r="S429" s="8">
        <v>45200</v>
      </c>
      <c r="T429" s="8" t="s">
        <v>2877</v>
      </c>
      <c r="U429" s="8" t="s">
        <v>2878</v>
      </c>
      <c r="V429" s="19" t="s">
        <v>2879</v>
      </c>
      <c r="W429" s="8"/>
      <c r="X429" s="4" t="s">
        <v>2880</v>
      </c>
      <c r="Y429" s="292" t="s">
        <v>2881</v>
      </c>
      <c r="Z429" s="53"/>
      <c r="AA429" s="8" t="s">
        <v>1264</v>
      </c>
      <c r="AB429" s="3"/>
      <c r="AC429" s="3" t="s">
        <v>2680</v>
      </c>
      <c r="AD429" s="3"/>
    </row>
    <row r="430" spans="1:30" ht="72.5">
      <c r="A430" s="3" t="s">
        <v>350</v>
      </c>
      <c r="B430" s="46"/>
      <c r="C430" s="3"/>
      <c r="D430" s="8" t="s">
        <v>475</v>
      </c>
      <c r="E430" s="6" t="s">
        <v>476</v>
      </c>
      <c r="F430" s="74" t="s">
        <v>477</v>
      </c>
      <c r="G430" s="3" t="s">
        <v>25</v>
      </c>
      <c r="H430" s="13" t="str">
        <f>IFERROR(VLOOKUP(G430, Sheet2!$A:$B, 2, FALSE), A430)</f>
        <v>ITAK (INTERNATIONAL) LIMITED</v>
      </c>
      <c r="I430" s="6" t="s">
        <v>393</v>
      </c>
      <c r="J430" s="109"/>
      <c r="K430" s="233" t="s">
        <v>2882</v>
      </c>
      <c r="L430" s="7"/>
      <c r="M430" s="3"/>
      <c r="N430" s="3"/>
      <c r="O430" s="7"/>
      <c r="P430" s="3"/>
      <c r="Q430" s="8">
        <v>45105</v>
      </c>
      <c r="R430" s="8"/>
      <c r="S430" s="8">
        <v>45216</v>
      </c>
      <c r="T430" s="8" t="s">
        <v>2883</v>
      </c>
      <c r="U430" s="8" t="s">
        <v>2884</v>
      </c>
      <c r="V430" s="19" t="s">
        <v>480</v>
      </c>
      <c r="W430" s="8"/>
      <c r="X430" s="8"/>
      <c r="Y430" s="11" t="s">
        <v>2885</v>
      </c>
      <c r="Z430" s="53"/>
      <c r="AA430" s="8"/>
      <c r="AB430" s="3"/>
      <c r="AC430" s="3" t="s">
        <v>945</v>
      </c>
      <c r="AD430" s="3"/>
    </row>
    <row r="431" spans="1:30" ht="119.5">
      <c r="A431" s="8" t="s">
        <v>350</v>
      </c>
      <c r="B431" s="46"/>
      <c r="C431" s="3"/>
      <c r="D431" s="8" t="s">
        <v>2886</v>
      </c>
      <c r="E431" s="6" t="s">
        <v>2887</v>
      </c>
      <c r="F431" s="47"/>
      <c r="G431" s="8" t="s">
        <v>2888</v>
      </c>
      <c r="H431" s="13" t="str">
        <f>IFERROR(VLOOKUP(G431, Sheet2!$A:$B, 2, FALSE), A431)</f>
        <v>New World Corporate Services Limited</v>
      </c>
      <c r="I431" s="6" t="s">
        <v>675</v>
      </c>
      <c r="J431" s="109"/>
      <c r="K431" s="79" t="s">
        <v>2209</v>
      </c>
      <c r="L431" s="56" t="s">
        <v>2837</v>
      </c>
      <c r="M431" s="11" t="s">
        <v>2838</v>
      </c>
      <c r="N431" s="11"/>
      <c r="O431" s="7" t="s">
        <v>2839</v>
      </c>
      <c r="P431" s="11"/>
      <c r="Q431" s="8">
        <v>45205</v>
      </c>
      <c r="R431" s="8"/>
      <c r="S431" s="8"/>
      <c r="T431" s="8" t="s">
        <v>2889</v>
      </c>
      <c r="U431" s="8" t="s">
        <v>2890</v>
      </c>
      <c r="V431" s="19" t="s">
        <v>997</v>
      </c>
      <c r="W431" s="8"/>
      <c r="X431" s="8"/>
      <c r="Y431" s="56" t="s">
        <v>2891</v>
      </c>
      <c r="Z431" s="53" t="s">
        <v>489</v>
      </c>
      <c r="AA431" s="8"/>
      <c r="AB431" s="3"/>
      <c r="AC431" s="3" t="s">
        <v>2851</v>
      </c>
      <c r="AD431" s="3"/>
    </row>
    <row r="432" spans="1:30" ht="43.5">
      <c r="A432" s="293" t="s">
        <v>883</v>
      </c>
      <c r="B432" s="294"/>
      <c r="C432" s="3"/>
      <c r="D432" s="8"/>
      <c r="E432" s="106"/>
      <c r="F432" s="107"/>
      <c r="G432" s="295" t="s">
        <v>198</v>
      </c>
      <c r="H432" s="13" t="str">
        <f>IFERROR(VLOOKUP(G432, Sheet2!$A:$B, 2, FALSE), A432)</f>
        <v>AIRPORT AUTHORITY</v>
      </c>
      <c r="I432" s="270" t="s">
        <v>352</v>
      </c>
      <c r="J432" s="296">
        <v>838776425275</v>
      </c>
      <c r="K432" s="297" t="s">
        <v>2892</v>
      </c>
      <c r="L432" s="298" t="s">
        <v>2893</v>
      </c>
      <c r="M432" s="299" t="s">
        <v>2894</v>
      </c>
      <c r="N432" s="300"/>
      <c r="O432" s="301"/>
      <c r="P432" s="300"/>
      <c r="Q432" s="295" t="s">
        <v>997</v>
      </c>
      <c r="R432" s="293"/>
      <c r="S432" s="293"/>
      <c r="T432" s="302" t="s">
        <v>997</v>
      </c>
      <c r="U432" s="295" t="s">
        <v>997</v>
      </c>
      <c r="V432" s="295" t="s">
        <v>997</v>
      </c>
      <c r="W432" s="293"/>
      <c r="X432" s="295"/>
      <c r="Y432" s="303" t="s">
        <v>2895</v>
      </c>
      <c r="Z432" s="304"/>
      <c r="AA432" s="293"/>
      <c r="AB432" s="305"/>
      <c r="AC432" s="305" t="s">
        <v>2851</v>
      </c>
      <c r="AD432" s="305"/>
    </row>
    <row r="433" spans="1:30" ht="45">
      <c r="A433" s="293" t="s">
        <v>883</v>
      </c>
      <c r="B433" s="294"/>
      <c r="C433" s="3"/>
      <c r="D433" s="8"/>
      <c r="E433" s="6"/>
      <c r="F433" s="47"/>
      <c r="G433" s="295" t="s">
        <v>198</v>
      </c>
      <c r="H433" s="13" t="str">
        <f>IFERROR(VLOOKUP(G433, Sheet2!$A:$B, 2, FALSE), A433)</f>
        <v>AIRPORT AUTHORITY</v>
      </c>
      <c r="I433" s="270" t="s">
        <v>352</v>
      </c>
      <c r="J433" s="296">
        <v>838776425275</v>
      </c>
      <c r="K433" s="297" t="s">
        <v>2896</v>
      </c>
      <c r="L433" s="306"/>
      <c r="M433" s="300" t="s">
        <v>2897</v>
      </c>
      <c r="N433" s="300"/>
      <c r="O433" s="301"/>
      <c r="P433" s="300"/>
      <c r="Q433" s="295" t="s">
        <v>997</v>
      </c>
      <c r="R433" s="293"/>
      <c r="S433" s="293"/>
      <c r="T433" s="302" t="s">
        <v>997</v>
      </c>
      <c r="U433" s="295" t="s">
        <v>997</v>
      </c>
      <c r="V433" s="295" t="s">
        <v>997</v>
      </c>
      <c r="W433" s="293"/>
      <c r="X433" s="295"/>
      <c r="Y433" s="303" t="s">
        <v>2895</v>
      </c>
      <c r="Z433" s="304"/>
      <c r="AA433" s="293"/>
      <c r="AB433" s="305"/>
      <c r="AC433" s="305" t="s">
        <v>2851</v>
      </c>
      <c r="AD433" s="305"/>
    </row>
    <row r="434" spans="1:30" ht="60">
      <c r="A434" s="8" t="s">
        <v>883</v>
      </c>
      <c r="B434" s="46"/>
      <c r="C434" s="3"/>
      <c r="D434" s="3"/>
      <c r="E434" s="6"/>
      <c r="F434" s="47"/>
      <c r="G434" s="3" t="s">
        <v>43</v>
      </c>
      <c r="H434" s="13" t="str">
        <f>IFERROR(VLOOKUP(G434, Sheet2!$A:$B, 2, FALSE), A434)</f>
        <v>CHOW TAI FOOK JEWELLERY CO LTD</v>
      </c>
      <c r="I434" s="6" t="s">
        <v>352</v>
      </c>
      <c r="J434" s="100">
        <v>726125834629</v>
      </c>
      <c r="K434" s="83" t="s">
        <v>2272</v>
      </c>
      <c r="L434" s="307"/>
      <c r="M434" s="95" t="s">
        <v>2898</v>
      </c>
      <c r="N434" s="95"/>
      <c r="O434" s="7"/>
      <c r="P434" s="95"/>
      <c r="Q434" s="19" t="s">
        <v>997</v>
      </c>
      <c r="R434" s="8"/>
      <c r="S434" s="8"/>
      <c r="T434" s="69" t="s">
        <v>997</v>
      </c>
      <c r="U434" s="19" t="s">
        <v>997</v>
      </c>
      <c r="V434" s="19" t="s">
        <v>997</v>
      </c>
      <c r="W434" s="8"/>
      <c r="X434" s="19"/>
      <c r="Y434" s="307" t="s">
        <v>2899</v>
      </c>
      <c r="Z434" s="53"/>
      <c r="AA434" s="8"/>
      <c r="AB434" s="3"/>
      <c r="AC434" s="3" t="s">
        <v>2851</v>
      </c>
      <c r="AD434" s="3"/>
    </row>
    <row r="435" spans="1:30" ht="60">
      <c r="A435" s="8" t="s">
        <v>883</v>
      </c>
      <c r="B435" s="46"/>
      <c r="C435" s="3"/>
      <c r="D435" s="8"/>
      <c r="E435" s="6"/>
      <c r="F435" s="47"/>
      <c r="G435" s="3" t="s">
        <v>43</v>
      </c>
      <c r="H435" s="13" t="str">
        <f>IFERROR(VLOOKUP(G435, Sheet2!$A:$B, 2, FALSE), A435)</f>
        <v>CHOW TAI FOOK JEWELLERY CO LTD</v>
      </c>
      <c r="I435" s="6" t="s">
        <v>352</v>
      </c>
      <c r="J435" s="100">
        <v>726125834629</v>
      </c>
      <c r="K435" s="83" t="s">
        <v>2280</v>
      </c>
      <c r="L435" s="307"/>
      <c r="M435" s="95" t="s">
        <v>2900</v>
      </c>
      <c r="N435" s="95"/>
      <c r="O435" s="7"/>
      <c r="P435" s="95"/>
      <c r="Q435" s="19" t="s">
        <v>997</v>
      </c>
      <c r="R435" s="8"/>
      <c r="S435" s="8"/>
      <c r="T435" s="69" t="s">
        <v>997</v>
      </c>
      <c r="U435" s="19" t="s">
        <v>997</v>
      </c>
      <c r="V435" s="19" t="s">
        <v>997</v>
      </c>
      <c r="W435" s="8"/>
      <c r="X435" s="19"/>
      <c r="Y435" s="307" t="s">
        <v>2899</v>
      </c>
      <c r="Z435" s="53"/>
      <c r="AA435" s="8"/>
      <c r="AB435" s="3"/>
      <c r="AC435" s="3" t="s">
        <v>2851</v>
      </c>
      <c r="AD435" s="3"/>
    </row>
    <row r="436" spans="1:30" ht="60">
      <c r="A436" s="8" t="s">
        <v>883</v>
      </c>
      <c r="B436" s="46"/>
      <c r="C436" s="3"/>
      <c r="D436" s="8"/>
      <c r="E436" s="6"/>
      <c r="F436" s="47"/>
      <c r="G436" s="3" t="s">
        <v>43</v>
      </c>
      <c r="H436" s="13" t="str">
        <f>IFERROR(VLOOKUP(G436, Sheet2!$A:$B, 2, FALSE), A436)</f>
        <v>CHOW TAI FOOK JEWELLERY CO LTD</v>
      </c>
      <c r="I436" s="6" t="s">
        <v>352</v>
      </c>
      <c r="J436" s="100">
        <v>726125834629</v>
      </c>
      <c r="K436" s="83" t="s">
        <v>2288</v>
      </c>
      <c r="L436" s="307"/>
      <c r="M436" s="95" t="s">
        <v>2901</v>
      </c>
      <c r="N436" s="95"/>
      <c r="O436" s="7"/>
      <c r="P436" s="95"/>
      <c r="Q436" s="19" t="s">
        <v>997</v>
      </c>
      <c r="R436" s="8"/>
      <c r="S436" s="8"/>
      <c r="T436" s="69" t="s">
        <v>997</v>
      </c>
      <c r="U436" s="19" t="s">
        <v>997</v>
      </c>
      <c r="V436" s="19" t="s">
        <v>997</v>
      </c>
      <c r="W436" s="8"/>
      <c r="X436" s="19"/>
      <c r="Y436" s="307" t="s">
        <v>2899</v>
      </c>
      <c r="Z436" s="53"/>
      <c r="AA436" s="8"/>
      <c r="AB436" s="3"/>
      <c r="AC436" s="3" t="s">
        <v>2851</v>
      </c>
      <c r="AD436" s="3"/>
    </row>
    <row r="437" spans="1:30" ht="60">
      <c r="A437" s="8" t="s">
        <v>883</v>
      </c>
      <c r="B437" s="46"/>
      <c r="C437" s="3"/>
      <c r="D437" s="8"/>
      <c r="E437" s="6"/>
      <c r="F437" s="47"/>
      <c r="G437" s="3" t="s">
        <v>43</v>
      </c>
      <c r="H437" s="13" t="str">
        <f>IFERROR(VLOOKUP(G437, Sheet2!$A:$B, 2, FALSE), A437)</f>
        <v>CHOW TAI FOOK JEWELLERY CO LTD</v>
      </c>
      <c r="I437" s="6" t="s">
        <v>352</v>
      </c>
      <c r="J437" s="100">
        <v>726125834629</v>
      </c>
      <c r="K437" s="83" t="s">
        <v>2297</v>
      </c>
      <c r="L437" s="307"/>
      <c r="M437" s="95" t="s">
        <v>2902</v>
      </c>
      <c r="N437" s="95"/>
      <c r="O437" s="7"/>
      <c r="P437" s="95"/>
      <c r="Q437" s="19" t="s">
        <v>997</v>
      </c>
      <c r="R437" s="8"/>
      <c r="S437" s="8"/>
      <c r="T437" s="69" t="s">
        <v>997</v>
      </c>
      <c r="U437" s="19" t="s">
        <v>997</v>
      </c>
      <c r="V437" s="19" t="s">
        <v>997</v>
      </c>
      <c r="W437" s="8"/>
      <c r="X437" s="19"/>
      <c r="Y437" s="307" t="s">
        <v>2899</v>
      </c>
      <c r="Z437" s="53"/>
      <c r="AA437" s="8"/>
      <c r="AB437" s="3"/>
      <c r="AC437" s="3" t="s">
        <v>2851</v>
      </c>
      <c r="AD437" s="3"/>
    </row>
    <row r="438" spans="1:30" ht="87.5">
      <c r="A438" s="3" t="s">
        <v>350</v>
      </c>
      <c r="B438" s="46"/>
      <c r="C438" s="3"/>
      <c r="D438" s="8" t="s">
        <v>2650</v>
      </c>
      <c r="E438" s="6" t="s">
        <v>2428</v>
      </c>
      <c r="F438" s="47"/>
      <c r="G438" s="3" t="s">
        <v>202</v>
      </c>
      <c r="H438" s="13" t="str">
        <f>IFERROR(VLOOKUP(G438, Sheet2!$A:$B, 2, FALSE), A438)</f>
        <v>CHOW TAI FOOK JEWELLERY CO LTD</v>
      </c>
      <c r="I438" s="6" t="s">
        <v>352</v>
      </c>
      <c r="J438" s="100">
        <v>726125834629</v>
      </c>
      <c r="K438" s="79" t="s">
        <v>2306</v>
      </c>
      <c r="L438" s="56" t="s">
        <v>2903</v>
      </c>
      <c r="M438" s="11"/>
      <c r="N438" s="11"/>
      <c r="O438" s="7"/>
      <c r="P438" s="11"/>
      <c r="Q438" s="8">
        <v>45215</v>
      </c>
      <c r="R438" s="8"/>
      <c r="S438" s="8">
        <v>45217</v>
      </c>
      <c r="T438" s="5" t="s">
        <v>2904</v>
      </c>
      <c r="U438" s="49" t="s">
        <v>2905</v>
      </c>
      <c r="V438" s="19" t="s">
        <v>2764</v>
      </c>
      <c r="W438" s="8"/>
      <c r="X438" s="49"/>
      <c r="Y438" s="95" t="s">
        <v>2906</v>
      </c>
      <c r="Z438" s="53" t="s">
        <v>489</v>
      </c>
      <c r="AA438" s="8"/>
      <c r="AB438" s="3"/>
      <c r="AC438" s="3" t="s">
        <v>2851</v>
      </c>
      <c r="AD438" s="3"/>
    </row>
    <row r="439" spans="1:30" ht="47">
      <c r="A439" s="3" t="s">
        <v>2139</v>
      </c>
      <c r="B439" s="46"/>
      <c r="C439" s="3"/>
      <c r="D439" s="8" t="s">
        <v>2907</v>
      </c>
      <c r="E439" s="6" t="s">
        <v>2908</v>
      </c>
      <c r="F439" s="47"/>
      <c r="G439" s="8" t="s">
        <v>176</v>
      </c>
      <c r="H439" s="13" t="str">
        <f>IFERROR(VLOOKUP(G439, Sheet2!$A:$B, 2, FALSE), A439)</f>
        <v>HOSPITAL AUTHORITY</v>
      </c>
      <c r="I439" s="6" t="s">
        <v>352</v>
      </c>
      <c r="J439" s="109">
        <v>524889937358</v>
      </c>
      <c r="K439" s="308" t="s">
        <v>2508</v>
      </c>
      <c r="L439" s="56" t="s">
        <v>2909</v>
      </c>
      <c r="M439" s="11" t="s">
        <v>2910</v>
      </c>
      <c r="N439" s="11"/>
      <c r="O439" s="7" t="s">
        <v>2911</v>
      </c>
      <c r="P439" s="11"/>
      <c r="Q439" s="8">
        <v>45170</v>
      </c>
      <c r="R439" s="8"/>
      <c r="S439" s="8">
        <v>45218</v>
      </c>
      <c r="T439" s="5" t="s">
        <v>2912</v>
      </c>
      <c r="U439" s="49" t="s">
        <v>2913</v>
      </c>
      <c r="V439" s="19" t="s">
        <v>2914</v>
      </c>
      <c r="W439" s="8"/>
      <c r="X439" s="49"/>
      <c r="Y439" s="95" t="s">
        <v>2915</v>
      </c>
      <c r="Z439" s="53"/>
      <c r="AA439" s="8" t="s">
        <v>1072</v>
      </c>
      <c r="AB439" s="3"/>
      <c r="AC439" s="3" t="s">
        <v>2680</v>
      </c>
      <c r="AD439" s="3"/>
    </row>
    <row r="440" spans="1:30" ht="47">
      <c r="A440" s="3" t="s">
        <v>2139</v>
      </c>
      <c r="B440" s="46"/>
      <c r="C440" s="3"/>
      <c r="D440" s="8" t="s">
        <v>2907</v>
      </c>
      <c r="E440" s="6" t="s">
        <v>2908</v>
      </c>
      <c r="F440" s="47"/>
      <c r="G440" s="8" t="s">
        <v>176</v>
      </c>
      <c r="H440" s="13" t="str">
        <f>IFERROR(VLOOKUP(G440, Sheet2!$A:$B, 2, FALSE), A440)</f>
        <v>HOSPITAL AUTHORITY</v>
      </c>
      <c r="I440" s="6" t="s">
        <v>352</v>
      </c>
      <c r="J440" s="109">
        <v>524889937358</v>
      </c>
      <c r="K440" s="308" t="s">
        <v>2916</v>
      </c>
      <c r="L440" s="309" t="s">
        <v>2917</v>
      </c>
      <c r="M440" s="11" t="s">
        <v>2918</v>
      </c>
      <c r="N440" s="11"/>
      <c r="O440" s="7" t="s">
        <v>2911</v>
      </c>
      <c r="P440" s="11"/>
      <c r="Q440" s="8">
        <v>45170</v>
      </c>
      <c r="R440" s="8"/>
      <c r="S440" s="8">
        <v>45218</v>
      </c>
      <c r="T440" s="5" t="s">
        <v>2919</v>
      </c>
      <c r="U440" s="49" t="s">
        <v>2920</v>
      </c>
      <c r="V440" s="19" t="s">
        <v>2921</v>
      </c>
      <c r="W440" s="8"/>
      <c r="X440" s="49"/>
      <c r="Y440" s="95" t="s">
        <v>2915</v>
      </c>
      <c r="Z440" s="53"/>
      <c r="AA440" s="8" t="s">
        <v>1072</v>
      </c>
      <c r="AB440" s="3"/>
      <c r="AC440" s="3" t="s">
        <v>2680</v>
      </c>
      <c r="AD440" s="3"/>
    </row>
    <row r="441" spans="1:30" ht="47">
      <c r="A441" s="3" t="s">
        <v>2139</v>
      </c>
      <c r="B441" s="46"/>
      <c r="C441" s="3"/>
      <c r="D441" s="4" t="s">
        <v>2922</v>
      </c>
      <c r="E441" s="6" t="s">
        <v>2908</v>
      </c>
      <c r="F441" s="47"/>
      <c r="G441" s="8" t="s">
        <v>176</v>
      </c>
      <c r="H441" s="13" t="str">
        <f>IFERROR(VLOOKUP(G441, Sheet2!$A:$B, 2, FALSE), A441)</f>
        <v>HOSPITAL AUTHORITY</v>
      </c>
      <c r="I441" s="6" t="s">
        <v>352</v>
      </c>
      <c r="J441" s="109">
        <v>524889937358</v>
      </c>
      <c r="K441" s="308" t="s">
        <v>2525</v>
      </c>
      <c r="L441" s="309" t="s">
        <v>2923</v>
      </c>
      <c r="M441" s="11" t="s">
        <v>2924</v>
      </c>
      <c r="N441" s="11"/>
      <c r="O441" s="7" t="s">
        <v>2257</v>
      </c>
      <c r="P441" s="11"/>
      <c r="Q441" s="8">
        <v>45170</v>
      </c>
      <c r="R441" s="8"/>
      <c r="S441" s="8">
        <v>45218</v>
      </c>
      <c r="T441" s="8" t="s">
        <v>2925</v>
      </c>
      <c r="U441" s="49" t="s">
        <v>2926</v>
      </c>
      <c r="V441" s="19" t="s">
        <v>2927</v>
      </c>
      <c r="W441" s="8"/>
      <c r="X441" s="49"/>
      <c r="Y441" s="95" t="s">
        <v>2928</v>
      </c>
      <c r="Z441" s="291"/>
      <c r="AA441" s="8" t="s">
        <v>1072</v>
      </c>
      <c r="AB441" s="3"/>
      <c r="AC441" s="3" t="s">
        <v>2680</v>
      </c>
      <c r="AD441" s="3"/>
    </row>
    <row r="442" spans="1:30" ht="43.5">
      <c r="A442" s="8" t="s">
        <v>2929</v>
      </c>
      <c r="B442" s="46"/>
      <c r="C442" s="3"/>
      <c r="D442" s="3" t="s">
        <v>1552</v>
      </c>
      <c r="E442" s="6">
        <v>25970982</v>
      </c>
      <c r="F442" s="47"/>
      <c r="G442" s="8" t="s">
        <v>181</v>
      </c>
      <c r="H442" s="13" t="str">
        <f>IFERROR(VLOOKUP(G442, Sheet2!$A:$B, 2, FALSE), A442)</f>
        <v>HONG KONG MONETARY AUTHORITY</v>
      </c>
      <c r="I442" s="6" t="s">
        <v>352</v>
      </c>
      <c r="J442" s="109"/>
      <c r="K442" s="48" t="s">
        <v>2533</v>
      </c>
      <c r="L442" s="7"/>
      <c r="M442" s="3"/>
      <c r="N442" s="3"/>
      <c r="O442" s="7"/>
      <c r="P442" s="3"/>
      <c r="Q442" s="8">
        <v>45230</v>
      </c>
      <c r="R442" s="8"/>
      <c r="S442" s="8"/>
      <c r="T442" s="8" t="s">
        <v>2930</v>
      </c>
      <c r="U442" s="310" t="s">
        <v>2931</v>
      </c>
      <c r="V442" s="19" t="s">
        <v>2512</v>
      </c>
      <c r="W442" s="8"/>
      <c r="X442" s="310"/>
      <c r="Y442" s="7" t="s">
        <v>2932</v>
      </c>
      <c r="Z442" s="53"/>
      <c r="AA442" s="8"/>
      <c r="AB442" s="3"/>
      <c r="AC442" s="3" t="s">
        <v>945</v>
      </c>
      <c r="AD442" s="3"/>
    </row>
    <row r="443" spans="1:30" ht="43.5">
      <c r="A443" s="8" t="s">
        <v>2929</v>
      </c>
      <c r="B443" s="46"/>
      <c r="C443" s="3"/>
      <c r="D443" s="3" t="s">
        <v>1552</v>
      </c>
      <c r="E443" s="6">
        <v>25970982</v>
      </c>
      <c r="F443" s="47"/>
      <c r="G443" s="8" t="s">
        <v>181</v>
      </c>
      <c r="H443" s="13" t="str">
        <f>IFERROR(VLOOKUP(G443, Sheet2!$A:$B, 2, FALSE), A443)</f>
        <v>HONG KONG MONETARY AUTHORITY</v>
      </c>
      <c r="I443" s="6" t="s">
        <v>352</v>
      </c>
      <c r="J443" s="109"/>
      <c r="K443" s="19" t="s">
        <v>2933</v>
      </c>
      <c r="L443" s="7"/>
      <c r="M443" s="3"/>
      <c r="N443" s="3"/>
      <c r="O443" s="7"/>
      <c r="P443" s="3"/>
      <c r="Q443" s="8">
        <v>45230</v>
      </c>
      <c r="R443" s="8"/>
      <c r="S443" s="8"/>
      <c r="T443" s="8" t="s">
        <v>1556</v>
      </c>
      <c r="U443" s="310" t="s">
        <v>2934</v>
      </c>
      <c r="V443" s="19" t="s">
        <v>2935</v>
      </c>
      <c r="W443" s="8"/>
      <c r="X443" s="310"/>
      <c r="Y443" s="7" t="s">
        <v>2932</v>
      </c>
      <c r="Z443" s="53"/>
      <c r="AA443" s="8"/>
      <c r="AB443" s="3"/>
      <c r="AC443" s="3" t="s">
        <v>945</v>
      </c>
      <c r="AD443" s="3"/>
    </row>
    <row r="444" spans="1:30" ht="43.5">
      <c r="A444" s="8" t="s">
        <v>2929</v>
      </c>
      <c r="B444" s="46"/>
      <c r="C444" s="3"/>
      <c r="D444" s="3" t="s">
        <v>1552</v>
      </c>
      <c r="E444" s="6">
        <v>25970982</v>
      </c>
      <c r="F444" s="47"/>
      <c r="G444" s="8" t="s">
        <v>181</v>
      </c>
      <c r="H444" s="13" t="str">
        <f>IFERROR(VLOOKUP(G444, Sheet2!$A:$B, 2, FALSE), A444)</f>
        <v>HONG KONG MONETARY AUTHORITY</v>
      </c>
      <c r="I444" s="6" t="s">
        <v>352</v>
      </c>
      <c r="J444" s="109"/>
      <c r="K444" s="19" t="s">
        <v>2936</v>
      </c>
      <c r="L444" s="7"/>
      <c r="M444" s="3"/>
      <c r="N444" s="3"/>
      <c r="O444" s="7"/>
      <c r="P444" s="3"/>
      <c r="Q444" s="8">
        <v>45230</v>
      </c>
      <c r="R444" s="8"/>
      <c r="S444" s="8"/>
      <c r="T444" s="8" t="s">
        <v>1561</v>
      </c>
      <c r="U444" s="310" t="s">
        <v>2937</v>
      </c>
      <c r="V444" s="19" t="s">
        <v>2938</v>
      </c>
      <c r="W444" s="8"/>
      <c r="X444" s="310"/>
      <c r="Y444" s="7" t="s">
        <v>2932</v>
      </c>
      <c r="Z444" s="53"/>
      <c r="AA444" s="8"/>
      <c r="AB444" s="3"/>
      <c r="AC444" s="3" t="s">
        <v>945</v>
      </c>
      <c r="AD444" s="3"/>
    </row>
    <row r="445" spans="1:30" ht="43.5">
      <c r="A445" s="8" t="s">
        <v>2929</v>
      </c>
      <c r="B445" s="46"/>
      <c r="C445" s="3"/>
      <c r="D445" s="3" t="s">
        <v>1552</v>
      </c>
      <c r="E445" s="6">
        <v>25970982</v>
      </c>
      <c r="F445" s="47"/>
      <c r="G445" s="3" t="s">
        <v>181</v>
      </c>
      <c r="H445" s="13" t="str">
        <f>IFERROR(VLOOKUP(G445, Sheet2!$A:$B, 2, FALSE), A445)</f>
        <v>HONG KONG MONETARY AUTHORITY</v>
      </c>
      <c r="I445" s="6" t="s">
        <v>352</v>
      </c>
      <c r="J445" s="109"/>
      <c r="K445" s="19" t="s">
        <v>2939</v>
      </c>
      <c r="L445" s="7"/>
      <c r="M445" s="3"/>
      <c r="N445" s="3"/>
      <c r="O445" s="7"/>
      <c r="P445" s="3"/>
      <c r="Q445" s="8">
        <v>45230</v>
      </c>
      <c r="R445" s="8"/>
      <c r="S445" s="8"/>
      <c r="T445" s="8" t="s">
        <v>1568</v>
      </c>
      <c r="U445" s="310" t="s">
        <v>2940</v>
      </c>
      <c r="V445" s="19" t="s">
        <v>2941</v>
      </c>
      <c r="W445" s="8"/>
      <c r="X445" s="310"/>
      <c r="Y445" s="7" t="s">
        <v>2932</v>
      </c>
      <c r="Z445" s="53"/>
      <c r="AA445" s="8"/>
      <c r="AB445" s="3"/>
      <c r="AC445" s="3" t="s">
        <v>945</v>
      </c>
      <c r="AD445" s="3"/>
    </row>
    <row r="446" spans="1:30" ht="43.5">
      <c r="A446" s="8" t="s">
        <v>2929</v>
      </c>
      <c r="B446" s="46"/>
      <c r="C446" s="3"/>
      <c r="D446" s="3" t="s">
        <v>1552</v>
      </c>
      <c r="E446" s="6">
        <v>25970982</v>
      </c>
      <c r="F446" s="47"/>
      <c r="G446" s="3" t="s">
        <v>181</v>
      </c>
      <c r="H446" s="13" t="str">
        <f>IFERROR(VLOOKUP(G446, Sheet2!$A:$B, 2, FALSE), A446)</f>
        <v>HONG KONG MONETARY AUTHORITY</v>
      </c>
      <c r="I446" s="6" t="s">
        <v>352</v>
      </c>
      <c r="J446" s="109"/>
      <c r="K446" s="19" t="s">
        <v>2942</v>
      </c>
      <c r="L446" s="7"/>
      <c r="M446" s="3"/>
      <c r="N446" s="3"/>
      <c r="O446" s="7"/>
      <c r="P446" s="3"/>
      <c r="Q446" s="8">
        <v>45230</v>
      </c>
      <c r="R446" s="8"/>
      <c r="S446" s="8"/>
      <c r="T446" s="69" t="s">
        <v>2943</v>
      </c>
      <c r="U446" s="8" t="s">
        <v>2944</v>
      </c>
      <c r="V446" s="19" t="s">
        <v>2521</v>
      </c>
      <c r="W446" s="8"/>
      <c r="X446" s="8"/>
      <c r="Y446" s="7" t="s">
        <v>2945</v>
      </c>
      <c r="Z446" s="53"/>
      <c r="AA446" s="8"/>
      <c r="AB446" s="3"/>
      <c r="AC446" s="3" t="s">
        <v>945</v>
      </c>
      <c r="AD446" s="3"/>
    </row>
    <row r="447" spans="1:30" ht="116">
      <c r="A447" s="5" t="s">
        <v>730</v>
      </c>
      <c r="B447" s="46"/>
      <c r="C447" s="3"/>
      <c r="D447" s="3" t="s">
        <v>2946</v>
      </c>
      <c r="E447" s="6" t="s">
        <v>2947</v>
      </c>
      <c r="F447" s="47"/>
      <c r="G447" s="3" t="s">
        <v>51</v>
      </c>
      <c r="H447" s="13" t="str">
        <f>IFERROR(VLOOKUP(G447, Sheet2!$A:$B, 2, FALSE), A447)</f>
        <v>AIRPORT AUTHORITY</v>
      </c>
      <c r="I447" s="6" t="s">
        <v>352</v>
      </c>
      <c r="J447" s="109"/>
      <c r="K447" s="48" t="s">
        <v>2488</v>
      </c>
      <c r="L447" s="9"/>
      <c r="M447" s="3"/>
      <c r="N447" s="3"/>
      <c r="O447" s="7"/>
      <c r="P447" s="3"/>
      <c r="Q447" s="8">
        <v>45245</v>
      </c>
      <c r="R447" s="8"/>
      <c r="S447" s="8"/>
      <c r="T447" s="5" t="s">
        <v>2948</v>
      </c>
      <c r="U447" s="49" t="s">
        <v>2949</v>
      </c>
      <c r="V447" s="19" t="s">
        <v>2379</v>
      </c>
      <c r="W447" s="8"/>
      <c r="X447" s="49"/>
      <c r="Y447" s="15" t="s">
        <v>2950</v>
      </c>
      <c r="Z447" s="53" t="s">
        <v>365</v>
      </c>
      <c r="AA447" s="8"/>
      <c r="AB447" s="3"/>
      <c r="AC447" s="3" t="s">
        <v>945</v>
      </c>
      <c r="AD447" s="3"/>
    </row>
    <row r="448" spans="1:30" ht="58">
      <c r="A448" s="3" t="s">
        <v>350</v>
      </c>
      <c r="B448" s="46"/>
      <c r="C448" s="3"/>
      <c r="D448" s="3" t="s">
        <v>2685</v>
      </c>
      <c r="E448" s="6" t="s">
        <v>2951</v>
      </c>
      <c r="F448" s="47"/>
      <c r="G448" s="3" t="s">
        <v>203</v>
      </c>
      <c r="H448" s="13" t="str">
        <f>IFERROR(VLOOKUP(G448, Sheet2!$A:$B, 2, FALSE), A448)</f>
        <v>CHOW TAI FOOK JEWELLERY CO LTD</v>
      </c>
      <c r="I448" s="6" t="s">
        <v>352</v>
      </c>
      <c r="J448" s="100">
        <v>726125834629</v>
      </c>
      <c r="K448" s="48" t="s">
        <v>2496</v>
      </c>
      <c r="L448" s="9"/>
      <c r="M448" s="11" t="s">
        <v>2952</v>
      </c>
      <c r="N448" s="11"/>
      <c r="O448" s="7"/>
      <c r="P448" s="11"/>
      <c r="Q448" s="8">
        <v>45199</v>
      </c>
      <c r="R448" s="8"/>
      <c r="S448" s="8"/>
      <c r="T448" s="3" t="s">
        <v>1123</v>
      </c>
      <c r="U448" s="49" t="s">
        <v>2953</v>
      </c>
      <c r="V448" s="19" t="s">
        <v>1125</v>
      </c>
      <c r="W448" s="8"/>
      <c r="X448" s="49"/>
      <c r="Y448" s="15" t="s">
        <v>2954</v>
      </c>
      <c r="Z448" s="53" t="s">
        <v>886</v>
      </c>
      <c r="AA448" s="8"/>
      <c r="AB448" s="3"/>
      <c r="AC448" s="3" t="s">
        <v>945</v>
      </c>
      <c r="AD448" s="3"/>
    </row>
    <row r="449" spans="1:30" ht="58">
      <c r="A449" s="3" t="s">
        <v>350</v>
      </c>
      <c r="B449" s="46"/>
      <c r="C449" s="3"/>
      <c r="D449" s="3" t="s">
        <v>2685</v>
      </c>
      <c r="E449" s="6" t="s">
        <v>2951</v>
      </c>
      <c r="F449" s="47"/>
      <c r="G449" s="3" t="s">
        <v>203</v>
      </c>
      <c r="H449" s="13" t="str">
        <f>IFERROR(VLOOKUP(G449, Sheet2!$A:$B, 2, FALSE), A449)</f>
        <v>CHOW TAI FOOK JEWELLERY CO LTD</v>
      </c>
      <c r="I449" s="6" t="s">
        <v>352</v>
      </c>
      <c r="J449" s="100">
        <v>726125834629</v>
      </c>
      <c r="K449" s="48" t="s">
        <v>2501</v>
      </c>
      <c r="L449" s="9"/>
      <c r="M449" s="11" t="s">
        <v>2952</v>
      </c>
      <c r="N449" s="11"/>
      <c r="O449" s="7"/>
      <c r="P449" s="11"/>
      <c r="Q449" s="8">
        <v>45199</v>
      </c>
      <c r="R449" s="8"/>
      <c r="S449" s="8"/>
      <c r="T449" s="3" t="s">
        <v>2955</v>
      </c>
      <c r="U449" s="49" t="s">
        <v>2956</v>
      </c>
      <c r="V449" s="19" t="s">
        <v>2957</v>
      </c>
      <c r="W449" s="8"/>
      <c r="X449" s="49"/>
      <c r="Y449" s="15" t="s">
        <v>2958</v>
      </c>
      <c r="Z449" s="53" t="s">
        <v>886</v>
      </c>
      <c r="AA449" s="8"/>
      <c r="AB449" s="3"/>
      <c r="AC449" s="3" t="s">
        <v>945</v>
      </c>
      <c r="AD449" s="3"/>
    </row>
    <row r="450" spans="1:30" ht="29">
      <c r="A450" s="5" t="s">
        <v>545</v>
      </c>
      <c r="B450" s="46"/>
      <c r="C450" s="3"/>
      <c r="D450" s="5" t="s">
        <v>2959</v>
      </c>
      <c r="E450" s="58" t="s">
        <v>2960</v>
      </c>
      <c r="F450" s="82" t="s">
        <v>2961</v>
      </c>
      <c r="G450" s="3" t="s">
        <v>51</v>
      </c>
      <c r="H450" s="13" t="str">
        <f>IFERROR(VLOOKUP(G450, Sheet2!$A:$B, 2, FALSE), A450)</f>
        <v>AIRPORT AUTHORITY</v>
      </c>
      <c r="I450" s="6" t="s">
        <v>352</v>
      </c>
      <c r="J450" s="109"/>
      <c r="K450" s="48"/>
      <c r="L450" s="9"/>
      <c r="M450" s="11"/>
      <c r="N450" s="11"/>
      <c r="O450" s="7"/>
      <c r="P450" s="11"/>
      <c r="Q450" s="8">
        <v>45295</v>
      </c>
      <c r="R450" s="8">
        <v>45289</v>
      </c>
      <c r="S450" s="8">
        <v>45369</v>
      </c>
      <c r="T450" s="5" t="s">
        <v>2962</v>
      </c>
      <c r="U450" s="49" t="s">
        <v>2963</v>
      </c>
      <c r="V450" s="52" t="s">
        <v>2964</v>
      </c>
      <c r="W450" s="4" t="s">
        <v>2965</v>
      </c>
      <c r="X450" s="49"/>
      <c r="Y450" s="15" t="s">
        <v>2966</v>
      </c>
      <c r="Z450" s="70" t="s">
        <v>489</v>
      </c>
      <c r="AA450" s="4" t="s">
        <v>781</v>
      </c>
      <c r="AB450" s="3"/>
      <c r="AC450" s="5" t="s">
        <v>2784</v>
      </c>
      <c r="AD450" s="133" t="s">
        <v>2967</v>
      </c>
    </row>
    <row r="451" spans="1:30" ht="35">
      <c r="A451" s="311" t="s">
        <v>350</v>
      </c>
      <c r="B451" s="46"/>
      <c r="C451" s="3"/>
      <c r="D451" s="4" t="s">
        <v>2922</v>
      </c>
      <c r="E451" s="6" t="s">
        <v>2908</v>
      </c>
      <c r="F451" s="107"/>
      <c r="G451" s="312" t="s">
        <v>176</v>
      </c>
      <c r="H451" s="13" t="str">
        <f>IFERROR(VLOOKUP(G451, Sheet2!$A:$B, 2, FALSE), A451)</f>
        <v>HOSPITAL AUTHORITY</v>
      </c>
      <c r="I451" s="6" t="s">
        <v>352</v>
      </c>
      <c r="J451" s="109">
        <v>524889937358</v>
      </c>
      <c r="K451" s="313" t="s">
        <v>2968</v>
      </c>
      <c r="L451" s="314" t="s">
        <v>2969</v>
      </c>
      <c r="M451" s="315" t="s">
        <v>2970</v>
      </c>
      <c r="N451" s="316"/>
      <c r="O451" s="317" t="s">
        <v>2971</v>
      </c>
      <c r="P451" s="316"/>
      <c r="Q451" s="318" t="s">
        <v>2972</v>
      </c>
      <c r="R451" s="312">
        <v>45308</v>
      </c>
      <c r="S451" s="312">
        <v>45357</v>
      </c>
      <c r="T451" s="318" t="s">
        <v>2973</v>
      </c>
      <c r="U451" s="319" t="s">
        <v>2974</v>
      </c>
      <c r="V451" s="318" t="s">
        <v>2975</v>
      </c>
      <c r="W451" s="319" t="s">
        <v>2976</v>
      </c>
      <c r="X451" s="312"/>
      <c r="Y451" s="320" t="s">
        <v>2977</v>
      </c>
      <c r="Z451" s="321"/>
      <c r="AA451" s="312" t="s">
        <v>1072</v>
      </c>
      <c r="AB451" s="311"/>
      <c r="AC451" s="311" t="s">
        <v>2784</v>
      </c>
      <c r="AD451" s="322" t="s">
        <v>2978</v>
      </c>
    </row>
    <row r="452" spans="1:30" ht="130.5">
      <c r="A452" s="3" t="s">
        <v>2929</v>
      </c>
      <c r="B452" s="46"/>
      <c r="C452" s="3"/>
      <c r="D452" s="11" t="s">
        <v>2979</v>
      </c>
      <c r="E452" s="6" t="s">
        <v>2908</v>
      </c>
      <c r="F452" s="107"/>
      <c r="G452" s="8" t="s">
        <v>176</v>
      </c>
      <c r="H452" s="13" t="str">
        <f>IFERROR(VLOOKUP(G452, Sheet2!$A:$B, 2, FALSE), A452)</f>
        <v>HOSPITAL AUTHORITY</v>
      </c>
      <c r="I452" s="308" t="s">
        <v>410</v>
      </c>
      <c r="J452" s="109"/>
      <c r="K452" s="48"/>
      <c r="L452" s="4"/>
      <c r="M452" s="11" t="s">
        <v>2980</v>
      </c>
      <c r="N452" s="11"/>
      <c r="O452" s="9" t="s">
        <v>2981</v>
      </c>
      <c r="P452" s="11"/>
      <c r="Q452" s="19" t="s">
        <v>997</v>
      </c>
      <c r="R452" s="8"/>
      <c r="S452" s="8"/>
      <c r="T452" s="85" t="s">
        <v>2379</v>
      </c>
      <c r="U452" s="8" t="s">
        <v>997</v>
      </c>
      <c r="V452" s="19" t="s">
        <v>997</v>
      </c>
      <c r="W452" s="8"/>
      <c r="X452" s="8"/>
      <c r="Y452" s="124" t="s">
        <v>2982</v>
      </c>
      <c r="Z452" s="53"/>
      <c r="AA452" s="4" t="s">
        <v>1072</v>
      </c>
      <c r="AB452" s="3"/>
      <c r="AC452" s="3" t="s">
        <v>945</v>
      </c>
      <c r="AD452" s="3"/>
    </row>
    <row r="453" spans="1:30" ht="15">
      <c r="A453" s="3"/>
      <c r="B453" s="46"/>
      <c r="C453" s="3"/>
      <c r="D453" s="11" t="s">
        <v>2983</v>
      </c>
      <c r="E453" s="106" t="s">
        <v>2984</v>
      </c>
      <c r="F453" s="107"/>
      <c r="G453" s="3" t="s">
        <v>128</v>
      </c>
      <c r="H453" s="13" t="str">
        <f>IFERROR(VLOOKUP(G453, Sheet2!$A:$B, 2, FALSE), A453)</f>
        <v>COMPANIES REGISTRY</v>
      </c>
      <c r="I453" s="6" t="s">
        <v>352</v>
      </c>
      <c r="J453" s="109"/>
      <c r="K453" s="75" t="s">
        <v>2525</v>
      </c>
      <c r="L453" s="72"/>
      <c r="M453" s="3"/>
      <c r="N453" s="3"/>
      <c r="O453" s="7"/>
      <c r="P453" s="3"/>
      <c r="Q453" s="8" t="s">
        <v>2379</v>
      </c>
      <c r="R453" s="8"/>
      <c r="S453" s="8"/>
      <c r="T453" s="69" t="s">
        <v>2985</v>
      </c>
      <c r="U453" s="8" t="s">
        <v>2986</v>
      </c>
      <c r="V453" s="19" t="s">
        <v>2379</v>
      </c>
      <c r="W453" s="8"/>
      <c r="X453" s="8"/>
      <c r="Y453" s="111"/>
      <c r="Z453" s="53"/>
      <c r="AA453" s="8"/>
      <c r="AB453" s="3"/>
      <c r="AC453" s="3"/>
      <c r="AD453" s="3"/>
    </row>
    <row r="454" spans="1:30" ht="116">
      <c r="A454" s="3"/>
      <c r="B454" s="46"/>
      <c r="C454" s="3"/>
      <c r="D454" s="3" t="s">
        <v>2987</v>
      </c>
      <c r="E454" s="6" t="s">
        <v>2988</v>
      </c>
      <c r="F454" s="47"/>
      <c r="G454" s="3" t="s">
        <v>175</v>
      </c>
      <c r="H454" s="13" t="str">
        <f>IFERROR(VLOOKUP(G454, Sheet2!$A:$B, 2, FALSE), A454)</f>
        <v>HOSPITAL AUTHORITY</v>
      </c>
      <c r="I454" s="6" t="s">
        <v>675</v>
      </c>
      <c r="J454" s="109"/>
      <c r="K454" s="48" t="s">
        <v>2989</v>
      </c>
      <c r="L454" s="7" t="s">
        <v>2990</v>
      </c>
      <c r="M454" s="15" t="s">
        <v>2991</v>
      </c>
      <c r="N454" s="11"/>
      <c r="O454" s="9" t="s">
        <v>2992</v>
      </c>
      <c r="P454" s="11"/>
      <c r="Q454" s="8" t="s">
        <v>997</v>
      </c>
      <c r="R454" s="8"/>
      <c r="S454" s="8"/>
      <c r="T454" s="4"/>
      <c r="U454" s="8" t="s">
        <v>997</v>
      </c>
      <c r="V454" s="19" t="s">
        <v>997</v>
      </c>
      <c r="W454" s="8"/>
      <c r="X454" s="8" t="s">
        <v>2993</v>
      </c>
      <c r="Y454" s="15" t="s">
        <v>2994</v>
      </c>
      <c r="Z454" s="53"/>
      <c r="AA454" s="8"/>
      <c r="AB454" s="54"/>
      <c r="AC454" s="54" t="s">
        <v>2995</v>
      </c>
      <c r="AD454" s="3"/>
    </row>
    <row r="455" spans="1:30" ht="30.5">
      <c r="A455" s="323" t="s">
        <v>545</v>
      </c>
      <c r="B455" s="46"/>
      <c r="C455" s="3"/>
      <c r="D455" s="5" t="s">
        <v>2922</v>
      </c>
      <c r="E455" s="324" t="s">
        <v>2908</v>
      </c>
      <c r="F455" s="47"/>
      <c r="G455" s="311" t="s">
        <v>176</v>
      </c>
      <c r="H455" s="13" t="str">
        <f>IFERROR(VLOOKUP(G455, Sheet2!$A:$B, 2, FALSE), A455)</f>
        <v>HOSPITAL AUTHORITY</v>
      </c>
      <c r="I455" s="6" t="s">
        <v>352</v>
      </c>
      <c r="J455" s="109">
        <v>524889937358</v>
      </c>
      <c r="K455" s="325" t="s">
        <v>2541</v>
      </c>
      <c r="L455" s="326" t="s">
        <v>2996</v>
      </c>
      <c r="M455" s="315" t="s">
        <v>2997</v>
      </c>
      <c r="N455" s="316"/>
      <c r="O455" s="317" t="s">
        <v>2971</v>
      </c>
      <c r="P455" s="316"/>
      <c r="Q455" s="312">
        <v>45308</v>
      </c>
      <c r="R455" s="312">
        <v>45308</v>
      </c>
      <c r="S455" s="319">
        <v>45357</v>
      </c>
      <c r="T455" s="327" t="s">
        <v>2998</v>
      </c>
      <c r="U455" s="319" t="s">
        <v>2999</v>
      </c>
      <c r="V455" s="318" t="s">
        <v>3000</v>
      </c>
      <c r="W455" s="319" t="s">
        <v>3001</v>
      </c>
      <c r="X455" s="312"/>
      <c r="Y455" s="328" t="s">
        <v>3002</v>
      </c>
      <c r="Z455" s="321"/>
      <c r="AA455" s="319" t="s">
        <v>1072</v>
      </c>
      <c r="AB455" s="311"/>
      <c r="AC455" s="311" t="s">
        <v>2680</v>
      </c>
      <c r="AD455" s="322" t="s">
        <v>2978</v>
      </c>
    </row>
    <row r="456" spans="1:30" ht="29.5">
      <c r="A456" s="3" t="s">
        <v>350</v>
      </c>
      <c r="B456" s="46"/>
      <c r="C456" s="3"/>
      <c r="D456" s="329" t="s">
        <v>3003</v>
      </c>
      <c r="E456" s="330" t="s">
        <v>3004</v>
      </c>
      <c r="F456" s="331"/>
      <c r="G456" s="20" t="s">
        <v>204</v>
      </c>
      <c r="H456" s="13" t="str">
        <f>IFERROR(VLOOKUP(G456, Sheet2!$A:$B, 2, FALSE), A456)</f>
        <v>ULTRON TECHNOLOGY SG PTE. LIMITED</v>
      </c>
      <c r="I456" s="6" t="s">
        <v>352</v>
      </c>
      <c r="J456" s="109"/>
      <c r="K456" s="48"/>
      <c r="L456" s="7"/>
      <c r="M456" s="3"/>
      <c r="N456" s="3"/>
      <c r="O456" s="7"/>
      <c r="P456" s="3"/>
      <c r="Q456" s="8">
        <v>45231</v>
      </c>
      <c r="R456" s="8"/>
      <c r="S456" s="8"/>
      <c r="T456" s="56" t="s">
        <v>3005</v>
      </c>
      <c r="U456" s="8" t="s">
        <v>3006</v>
      </c>
      <c r="V456" s="48"/>
      <c r="W456" s="8"/>
      <c r="X456" s="8"/>
      <c r="Y456" s="11" t="s">
        <v>3007</v>
      </c>
      <c r="Z456" s="53"/>
      <c r="AA456" s="8"/>
      <c r="AB456" s="3"/>
      <c r="AC456" s="3"/>
      <c r="AD456" s="3"/>
    </row>
    <row r="457" spans="1:30" ht="15">
      <c r="A457" s="3" t="s">
        <v>350</v>
      </c>
      <c r="B457" s="46"/>
      <c r="C457" s="3"/>
      <c r="D457" s="329"/>
      <c r="E457" s="330"/>
      <c r="F457" s="331"/>
      <c r="G457" s="20" t="s">
        <v>3008</v>
      </c>
      <c r="H457" s="13" t="str">
        <f>IFERROR(VLOOKUP(G457, Sheet2!$A:$B, 2, FALSE), A457)</f>
        <v>ULTRON TECHNOLOGY SG PTE. LIMITED</v>
      </c>
      <c r="I457" s="6" t="s">
        <v>352</v>
      </c>
      <c r="J457" s="109"/>
      <c r="K457" s="48"/>
      <c r="L457" s="7"/>
      <c r="M457" s="3"/>
      <c r="N457" s="3"/>
      <c r="O457" s="7"/>
      <c r="P457" s="3"/>
      <c r="Q457" s="8"/>
      <c r="R457" s="8"/>
      <c r="S457" s="8"/>
      <c r="T457" s="56" t="s">
        <v>584</v>
      </c>
      <c r="U457" s="8" t="s">
        <v>3006</v>
      </c>
      <c r="V457" s="48"/>
      <c r="W457" s="8"/>
      <c r="X457" s="8"/>
      <c r="Y457" s="11" t="s">
        <v>3007</v>
      </c>
      <c r="Z457" s="53"/>
      <c r="AA457" s="8"/>
      <c r="AB457" s="3"/>
      <c r="AC457" s="3"/>
      <c r="AD457" s="3"/>
    </row>
    <row r="458" spans="1:30" ht="15">
      <c r="A458" s="3" t="s">
        <v>350</v>
      </c>
      <c r="B458" s="46"/>
      <c r="C458" s="3"/>
      <c r="D458" s="329"/>
      <c r="E458" s="330"/>
      <c r="F458" s="331"/>
      <c r="G458" s="20" t="s">
        <v>3008</v>
      </c>
      <c r="H458" s="13" t="str">
        <f>IFERROR(VLOOKUP(G458, Sheet2!$A:$B, 2, FALSE), A458)</f>
        <v>ULTRON TECHNOLOGY SG PTE. LIMITED</v>
      </c>
      <c r="I458" s="6" t="s">
        <v>352</v>
      </c>
      <c r="J458" s="109"/>
      <c r="K458" s="48"/>
      <c r="L458" s="7"/>
      <c r="M458" s="3"/>
      <c r="N458" s="3"/>
      <c r="O458" s="7"/>
      <c r="P458" s="3"/>
      <c r="Q458" s="8"/>
      <c r="R458" s="8"/>
      <c r="S458" s="8"/>
      <c r="T458" s="56" t="s">
        <v>571</v>
      </c>
      <c r="U458" s="8" t="s">
        <v>3009</v>
      </c>
      <c r="V458" s="48"/>
      <c r="W458" s="8"/>
      <c r="X458" s="8"/>
      <c r="Y458" s="11" t="s">
        <v>3007</v>
      </c>
      <c r="Z458" s="53"/>
      <c r="AA458" s="8"/>
      <c r="AB458" s="3"/>
      <c r="AC458" s="3"/>
      <c r="AD458" s="3"/>
    </row>
    <row r="459" spans="1:30" ht="15">
      <c r="A459" s="3" t="s">
        <v>350</v>
      </c>
      <c r="B459" s="46"/>
      <c r="C459" s="3"/>
      <c r="D459" s="329"/>
      <c r="E459" s="330"/>
      <c r="F459" s="331"/>
      <c r="G459" s="20" t="s">
        <v>3008</v>
      </c>
      <c r="H459" s="13" t="str">
        <f>IFERROR(VLOOKUP(G459, Sheet2!$A:$B, 2, FALSE), A459)</f>
        <v>ULTRON TECHNOLOGY SG PTE. LIMITED</v>
      </c>
      <c r="I459" s="6" t="s">
        <v>352</v>
      </c>
      <c r="J459" s="109"/>
      <c r="K459" s="48"/>
      <c r="L459" s="7"/>
      <c r="M459" s="3"/>
      <c r="N459" s="3"/>
      <c r="O459" s="7"/>
      <c r="P459" s="3"/>
      <c r="Q459" s="8"/>
      <c r="R459" s="8"/>
      <c r="S459" s="8"/>
      <c r="T459" s="56" t="s">
        <v>3010</v>
      </c>
      <c r="U459" s="8" t="s">
        <v>3011</v>
      </c>
      <c r="V459" s="48"/>
      <c r="W459" s="8"/>
      <c r="X459" s="8"/>
      <c r="Y459" s="11" t="s">
        <v>3007</v>
      </c>
      <c r="Z459" s="53"/>
      <c r="AA459" s="8"/>
      <c r="AB459" s="3"/>
      <c r="AC459" s="3"/>
      <c r="AD459" s="3"/>
    </row>
    <row r="460" spans="1:30" ht="116.5">
      <c r="A460" s="187" t="s">
        <v>545</v>
      </c>
      <c r="B460" s="46"/>
      <c r="C460" s="3"/>
      <c r="D460" s="3" t="s">
        <v>3012</v>
      </c>
      <c r="E460" s="6" t="s">
        <v>3013</v>
      </c>
      <c r="F460" s="47"/>
      <c r="G460" t="s">
        <v>2162</v>
      </c>
      <c r="H460" s="13" t="str">
        <f>IFERROR(VLOOKUP(G460, Sheet2!$A:$B, 2, FALSE), A460)</f>
        <v>JARDINE MATHESON LIMITED</v>
      </c>
      <c r="I460" s="6" t="s">
        <v>410</v>
      </c>
      <c r="J460" s="109"/>
      <c r="K460" s="83" t="s">
        <v>2739</v>
      </c>
      <c r="L460" s="90"/>
      <c r="M460" s="11" t="s">
        <v>3014</v>
      </c>
      <c r="N460" s="11"/>
      <c r="O460" s="332"/>
      <c r="P460" s="11"/>
      <c r="Q460" s="333">
        <v>45247</v>
      </c>
      <c r="R460" s="8"/>
      <c r="S460" s="141"/>
      <c r="T460" s="334" t="s">
        <v>2744</v>
      </c>
      <c r="U460" s="187" t="s">
        <v>3015</v>
      </c>
      <c r="V460" s="141">
        <v>103644</v>
      </c>
      <c r="W460" s="141"/>
      <c r="X460" s="187" t="s">
        <v>2749</v>
      </c>
      <c r="Y460" s="335" t="s">
        <v>2753</v>
      </c>
      <c r="Z460" s="336" t="s">
        <v>365</v>
      </c>
      <c r="AA460" s="337"/>
      <c r="AB460" s="54"/>
      <c r="AC460" s="54" t="s">
        <v>3016</v>
      </c>
      <c r="AD460" s="3"/>
    </row>
    <row r="461" spans="1:30" ht="116.5">
      <c r="A461" s="3" t="s">
        <v>1508</v>
      </c>
      <c r="B461" s="46" t="s">
        <v>2757</v>
      </c>
      <c r="C461" s="3"/>
      <c r="D461" s="8" t="s">
        <v>2650</v>
      </c>
      <c r="E461" s="6" t="s">
        <v>2428</v>
      </c>
      <c r="F461" s="47"/>
      <c r="G461" s="15" t="s">
        <v>44</v>
      </c>
      <c r="H461" s="13" t="str">
        <f>IFERROR(VLOOKUP(G461, Sheet2!$A:$B, 2, FALSE), A461)</f>
        <v>CHOW TAI FOOK JEWELLERY CO LTD</v>
      </c>
      <c r="I461" s="6" t="s">
        <v>359</v>
      </c>
      <c r="J461" s="100" t="s">
        <v>609</v>
      </c>
      <c r="K461" s="79" t="s">
        <v>3017</v>
      </c>
      <c r="L461" s="56"/>
      <c r="M461" s="15" t="s">
        <v>2761</v>
      </c>
      <c r="N461" s="15"/>
      <c r="O461" s="7"/>
      <c r="P461" s="15"/>
      <c r="Q461" s="8">
        <v>45282</v>
      </c>
      <c r="R461" s="8">
        <v>45257</v>
      </c>
      <c r="S461" s="8">
        <v>45257</v>
      </c>
      <c r="T461" s="8" t="s">
        <v>3018</v>
      </c>
      <c r="U461" s="49" t="s">
        <v>3019</v>
      </c>
      <c r="V461" s="19" t="s">
        <v>3020</v>
      </c>
      <c r="W461" s="8"/>
      <c r="X461" s="49"/>
      <c r="Y461" s="95" t="s">
        <v>3021</v>
      </c>
      <c r="Z461" s="53"/>
      <c r="AA461" s="8"/>
      <c r="AB461" s="3"/>
      <c r="AC461" s="3" t="s">
        <v>3022</v>
      </c>
      <c r="AD461" s="3"/>
    </row>
    <row r="462" spans="1:30" ht="116.5">
      <c r="A462" s="3" t="s">
        <v>1508</v>
      </c>
      <c r="B462" s="46" t="s">
        <v>2757</v>
      </c>
      <c r="C462" s="3"/>
      <c r="D462" s="8" t="s">
        <v>2650</v>
      </c>
      <c r="E462" s="6" t="s">
        <v>2428</v>
      </c>
      <c r="F462" s="47"/>
      <c r="G462" s="15" t="s">
        <v>44</v>
      </c>
      <c r="H462" s="13" t="str">
        <f>IFERROR(VLOOKUP(G462, Sheet2!$A:$B, 2, FALSE), A462)</f>
        <v>CHOW TAI FOOK JEWELLERY CO LTD</v>
      </c>
      <c r="I462" s="6" t="s">
        <v>359</v>
      </c>
      <c r="J462" s="100" t="s">
        <v>609</v>
      </c>
      <c r="K462" s="79" t="s">
        <v>3023</v>
      </c>
      <c r="L462" s="56"/>
      <c r="M462" s="15" t="s">
        <v>2765</v>
      </c>
      <c r="N462" s="15"/>
      <c r="O462" s="7"/>
      <c r="P462" s="15"/>
      <c r="Q462" s="8">
        <v>45282</v>
      </c>
      <c r="R462" s="8">
        <v>45257</v>
      </c>
      <c r="S462" s="8">
        <v>45257</v>
      </c>
      <c r="T462" s="69" t="s">
        <v>2727</v>
      </c>
      <c r="U462" s="49" t="s">
        <v>3024</v>
      </c>
      <c r="V462" s="19">
        <v>103491</v>
      </c>
      <c r="W462" s="8"/>
      <c r="X462" s="49"/>
      <c r="Y462" s="95" t="s">
        <v>3025</v>
      </c>
      <c r="Z462" s="53"/>
      <c r="AA462" s="8"/>
      <c r="AB462" s="3"/>
      <c r="AC462" s="3" t="s">
        <v>3022</v>
      </c>
      <c r="AD462" s="3"/>
    </row>
    <row r="463" spans="1:30" ht="15">
      <c r="A463" s="3" t="s">
        <v>1508</v>
      </c>
      <c r="B463" s="46" t="s">
        <v>933</v>
      </c>
      <c r="C463" s="3"/>
      <c r="D463" s="8" t="s">
        <v>2650</v>
      </c>
      <c r="E463" s="6" t="s">
        <v>2428</v>
      </c>
      <c r="G463" s="3" t="s">
        <v>202</v>
      </c>
      <c r="H463" s="13" t="str">
        <f>IFERROR(VLOOKUP(G463, Sheet2!$A:$B, 2, FALSE), A463)</f>
        <v>CHOW TAI FOOK JEWELLERY CO LTD</v>
      </c>
      <c r="I463" s="6" t="s">
        <v>352</v>
      </c>
      <c r="J463" s="100">
        <v>726125834629</v>
      </c>
      <c r="K463" s="109">
        <v>10163112240</v>
      </c>
      <c r="L463" s="141"/>
      <c r="M463" t="s">
        <v>3026</v>
      </c>
      <c r="O463" s="7"/>
      <c r="Q463" s="8">
        <v>45199</v>
      </c>
      <c r="R463" s="8">
        <v>45260</v>
      </c>
      <c r="S463" s="8">
        <v>45260</v>
      </c>
      <c r="T463" s="3" t="s">
        <v>3027</v>
      </c>
      <c r="U463" s="3" t="s">
        <v>3028</v>
      </c>
      <c r="V463" s="19" t="s">
        <v>3029</v>
      </c>
      <c r="W463" s="8"/>
      <c r="X463" s="3"/>
      <c r="Y463" s="11"/>
      <c r="AA463" s="8"/>
      <c r="AB463" s="3"/>
      <c r="AC463" s="3"/>
    </row>
    <row r="464" spans="1:30" ht="15">
      <c r="A464" s="3" t="s">
        <v>1508</v>
      </c>
      <c r="B464" s="46" t="s">
        <v>933</v>
      </c>
      <c r="C464" s="3"/>
      <c r="D464" s="8" t="s">
        <v>2650</v>
      </c>
      <c r="E464" s="6" t="s">
        <v>2428</v>
      </c>
      <c r="G464" s="3" t="s">
        <v>202</v>
      </c>
      <c r="H464" s="13" t="str">
        <f>IFERROR(VLOOKUP(G464, Sheet2!$A:$B, 2, FALSE), A464)</f>
        <v>CHOW TAI FOOK JEWELLERY CO LTD</v>
      </c>
      <c r="I464" s="6" t="s">
        <v>352</v>
      </c>
      <c r="J464" s="100">
        <v>726125834629</v>
      </c>
      <c r="K464" s="109" t="s">
        <v>3030</v>
      </c>
      <c r="L464" s="141"/>
      <c r="M464" t="s">
        <v>3031</v>
      </c>
      <c r="O464" s="7"/>
      <c r="Q464" s="8">
        <v>45199</v>
      </c>
      <c r="R464" s="8">
        <v>45260</v>
      </c>
      <c r="S464" s="8">
        <v>45260</v>
      </c>
      <c r="T464" s="3" t="s">
        <v>3032</v>
      </c>
      <c r="U464" s="3" t="s">
        <v>3028</v>
      </c>
      <c r="V464" s="19" t="s">
        <v>3033</v>
      </c>
      <c r="W464" s="8"/>
      <c r="X464" s="3"/>
      <c r="Y464" s="11"/>
      <c r="AA464" s="8"/>
      <c r="AB464" s="3"/>
      <c r="AC464" s="3"/>
    </row>
    <row r="465" spans="1:30" ht="15">
      <c r="A465" s="3" t="s">
        <v>1508</v>
      </c>
      <c r="B465" s="46" t="s">
        <v>933</v>
      </c>
      <c r="C465" s="3"/>
      <c r="D465" s="8" t="s">
        <v>2650</v>
      </c>
      <c r="E465" s="6" t="s">
        <v>2428</v>
      </c>
      <c r="G465" s="3" t="s">
        <v>202</v>
      </c>
      <c r="H465" s="13" t="str">
        <f>IFERROR(VLOOKUP(G465, Sheet2!$A:$B, 2, FALSE), A465)</f>
        <v>CHOW TAI FOOK JEWELLERY CO LTD</v>
      </c>
      <c r="I465" s="6" t="s">
        <v>352</v>
      </c>
      <c r="J465" s="100">
        <v>726125834629</v>
      </c>
      <c r="K465" s="109" t="s">
        <v>3034</v>
      </c>
      <c r="L465" s="141"/>
      <c r="M465" t="s">
        <v>3035</v>
      </c>
      <c r="O465" s="7"/>
      <c r="Q465" s="8">
        <v>45199</v>
      </c>
      <c r="R465" s="8">
        <v>45260</v>
      </c>
      <c r="S465" s="8">
        <v>45260</v>
      </c>
      <c r="T465" s="3" t="s">
        <v>3036</v>
      </c>
      <c r="U465" s="3" t="s">
        <v>3028</v>
      </c>
      <c r="V465" s="19" t="s">
        <v>3037</v>
      </c>
      <c r="W465" s="8"/>
      <c r="X465" s="3"/>
      <c r="Y465" s="11"/>
      <c r="AA465" s="8"/>
      <c r="AB465" s="3"/>
      <c r="AC465" s="3"/>
    </row>
    <row r="466" spans="1:30" ht="15">
      <c r="A466" s="3" t="s">
        <v>1508</v>
      </c>
      <c r="B466" s="46" t="s">
        <v>933</v>
      </c>
      <c r="C466" s="3"/>
      <c r="D466" s="8" t="s">
        <v>2650</v>
      </c>
      <c r="E466" s="6" t="s">
        <v>2428</v>
      </c>
      <c r="G466" s="3" t="s">
        <v>202</v>
      </c>
      <c r="H466" s="13" t="str">
        <f>IFERROR(VLOOKUP(G466, Sheet2!$A:$B, 2, FALSE), A466)</f>
        <v>CHOW TAI FOOK JEWELLERY CO LTD</v>
      </c>
      <c r="I466" s="6" t="s">
        <v>352</v>
      </c>
      <c r="J466" s="100">
        <v>726125834629</v>
      </c>
      <c r="K466" s="109" t="s">
        <v>3038</v>
      </c>
      <c r="L466" s="141"/>
      <c r="M466" t="s">
        <v>3039</v>
      </c>
      <c r="O466" s="7"/>
      <c r="Q466" s="8">
        <v>45199</v>
      </c>
      <c r="R466" s="8">
        <v>45260</v>
      </c>
      <c r="S466" s="8">
        <v>45260</v>
      </c>
      <c r="T466" s="3" t="s">
        <v>3040</v>
      </c>
      <c r="U466" s="3" t="s">
        <v>3028</v>
      </c>
      <c r="V466" s="19" t="s">
        <v>3041</v>
      </c>
      <c r="W466" s="8"/>
      <c r="X466" s="3"/>
      <c r="Y466" s="11"/>
      <c r="AA466" s="8"/>
      <c r="AB466" s="3"/>
      <c r="AC466" s="3"/>
    </row>
    <row r="467" spans="1:30" ht="29">
      <c r="A467" s="3" t="s">
        <v>1508</v>
      </c>
      <c r="B467" s="46" t="s">
        <v>2773</v>
      </c>
      <c r="C467" s="3"/>
      <c r="D467" s="8" t="s">
        <v>2650</v>
      </c>
      <c r="E467" s="6" t="s">
        <v>2428</v>
      </c>
      <c r="G467" s="3" t="s">
        <v>202</v>
      </c>
      <c r="H467" s="13" t="str">
        <f>IFERROR(VLOOKUP(G467, Sheet2!$A:$B, 2, FALSE), A467)</f>
        <v>CHOW TAI FOOK JEWELLERY CO LTD</v>
      </c>
      <c r="I467" s="6" t="s">
        <v>352</v>
      </c>
      <c r="J467" s="100">
        <v>726125834629</v>
      </c>
      <c r="K467" s="71" t="s">
        <v>3042</v>
      </c>
      <c r="L467" s="7" t="s">
        <v>3043</v>
      </c>
      <c r="O467" s="7"/>
      <c r="Q467" s="8">
        <v>45237</v>
      </c>
      <c r="R467" s="8">
        <v>45260</v>
      </c>
      <c r="S467" s="8">
        <v>45260</v>
      </c>
      <c r="T467" s="8" t="s">
        <v>2821</v>
      </c>
      <c r="U467" s="8" t="s">
        <v>3044</v>
      </c>
      <c r="V467" s="19" t="s">
        <v>2823</v>
      </c>
      <c r="W467" s="8"/>
      <c r="X467" s="8"/>
      <c r="Y467" s="11"/>
      <c r="AA467" s="8"/>
      <c r="AB467" s="3"/>
      <c r="AC467" s="3"/>
    </row>
    <row r="468" spans="1:30" ht="29">
      <c r="A468" s="3" t="s">
        <v>1508</v>
      </c>
      <c r="B468" s="46" t="s">
        <v>2773</v>
      </c>
      <c r="C468" s="3"/>
      <c r="D468" s="8" t="s">
        <v>2650</v>
      </c>
      <c r="E468" s="6" t="s">
        <v>2428</v>
      </c>
      <c r="G468" s="3" t="s">
        <v>202</v>
      </c>
      <c r="H468" s="13" t="str">
        <f>IFERROR(VLOOKUP(G468, Sheet2!$A:$B, 2, FALSE), A468)</f>
        <v>CHOW TAI FOOK JEWELLERY CO LTD</v>
      </c>
      <c r="I468" s="6" t="s">
        <v>352</v>
      </c>
      <c r="J468" s="100">
        <v>726125834629</v>
      </c>
      <c r="K468" s="71" t="s">
        <v>3045</v>
      </c>
      <c r="L468" s="9"/>
      <c r="O468" s="7"/>
      <c r="Q468" s="8">
        <v>45237</v>
      </c>
      <c r="R468" s="8">
        <v>45260</v>
      </c>
      <c r="S468" s="8">
        <v>45260</v>
      </c>
      <c r="T468" s="8" t="s">
        <v>2754</v>
      </c>
      <c r="U468" s="8" t="s">
        <v>3046</v>
      </c>
      <c r="V468" s="19" t="s">
        <v>2756</v>
      </c>
      <c r="W468" s="8"/>
      <c r="X468" s="8"/>
      <c r="Y468" s="11"/>
      <c r="AA468" s="8"/>
      <c r="AB468" s="3"/>
      <c r="AC468" s="3"/>
    </row>
    <row r="469" spans="1:30" ht="29">
      <c r="A469" s="3" t="s">
        <v>1508</v>
      </c>
      <c r="B469" s="46" t="s">
        <v>2773</v>
      </c>
      <c r="C469" s="3"/>
      <c r="D469" s="8" t="s">
        <v>2650</v>
      </c>
      <c r="E469" s="6" t="s">
        <v>2428</v>
      </c>
      <c r="G469" s="3" t="s">
        <v>202</v>
      </c>
      <c r="H469" s="13" t="str">
        <f>IFERROR(VLOOKUP(G469, Sheet2!$A:$B, 2, FALSE), A469)</f>
        <v>CHOW TAI FOOK JEWELLERY CO LTD</v>
      </c>
      <c r="I469" s="6" t="s">
        <v>352</v>
      </c>
      <c r="J469" s="109"/>
      <c r="K469" s="71" t="s">
        <v>3045</v>
      </c>
      <c r="L469" s="8"/>
      <c r="O469" s="7"/>
      <c r="Q469" s="8">
        <v>45237</v>
      </c>
      <c r="R469" s="8">
        <v>45260</v>
      </c>
      <c r="S469" s="8">
        <v>45261</v>
      </c>
      <c r="T469" s="69" t="s">
        <v>3047</v>
      </c>
      <c r="U469" s="8" t="s">
        <v>3048</v>
      </c>
      <c r="V469" s="19" t="s">
        <v>2756</v>
      </c>
      <c r="W469" s="4" t="s">
        <v>3049</v>
      </c>
      <c r="X469" s="8"/>
      <c r="Y469" s="11"/>
      <c r="AA469" s="8"/>
      <c r="AB469" s="3"/>
      <c r="AC469" s="3"/>
      <c r="AD469" s="76" t="s">
        <v>3050</v>
      </c>
    </row>
    <row r="470" spans="1:30" ht="29">
      <c r="A470" s="3" t="s">
        <v>1508</v>
      </c>
      <c r="B470" s="46" t="s">
        <v>2773</v>
      </c>
      <c r="C470" s="3"/>
      <c r="D470" s="8" t="s">
        <v>2650</v>
      </c>
      <c r="E470" s="6" t="s">
        <v>2428</v>
      </c>
      <c r="F470" t="s">
        <v>2951</v>
      </c>
      <c r="G470" s="3" t="s">
        <v>202</v>
      </c>
      <c r="H470" s="13" t="str">
        <f>IFERROR(VLOOKUP(G470, Sheet2!$A:$B, 2, FALSE), A470)</f>
        <v>CHOW TAI FOOK JEWELLERY CO LTD</v>
      </c>
      <c r="I470" s="6" t="s">
        <v>352</v>
      </c>
      <c r="J470" s="100">
        <v>726125834629</v>
      </c>
      <c r="K470" s="71" t="s">
        <v>2813</v>
      </c>
      <c r="L470" s="8"/>
      <c r="O470" s="7"/>
      <c r="Q470" s="8">
        <v>45237</v>
      </c>
      <c r="R470" s="8">
        <v>45260</v>
      </c>
      <c r="S470" s="8">
        <v>45260</v>
      </c>
      <c r="T470" s="8" t="s">
        <v>3051</v>
      </c>
      <c r="U470" s="8" t="s">
        <v>3052</v>
      </c>
      <c r="V470" s="19" t="s">
        <v>2738</v>
      </c>
      <c r="W470" s="8"/>
      <c r="X470" s="8"/>
      <c r="Y470" s="11"/>
      <c r="AA470" s="8"/>
      <c r="AB470" s="3"/>
      <c r="AC470" s="3"/>
    </row>
    <row r="471" spans="1:30" ht="15">
      <c r="A471" s="3"/>
      <c r="B471" s="46"/>
      <c r="C471" s="3"/>
      <c r="E471" s="141"/>
      <c r="G471" s="3" t="s">
        <v>2473</v>
      </c>
      <c r="H471" s="13" t="str">
        <f>IFERROR(VLOOKUP(G471, Sheet2!$A:$B, 2, FALSE), A471)</f>
        <v>Luk Fook Holdings Co Ltd</v>
      </c>
      <c r="I471" s="6" t="s">
        <v>352</v>
      </c>
      <c r="J471" s="109"/>
      <c r="K471" s="109"/>
      <c r="L471" s="141"/>
      <c r="M471" s="338"/>
      <c r="O471" s="7"/>
      <c r="Q471" s="8"/>
      <c r="R471" s="8"/>
      <c r="S471" s="8"/>
      <c r="V471" s="141"/>
      <c r="W471" s="8"/>
      <c r="Y471" s="11"/>
      <c r="AA471" s="8"/>
      <c r="AB471" s="3"/>
      <c r="AC471" s="3"/>
    </row>
    <row r="472" spans="1:30" ht="29">
      <c r="A472" s="3" t="s">
        <v>2799</v>
      </c>
      <c r="B472" s="46" t="s">
        <v>933</v>
      </c>
      <c r="C472" s="3"/>
      <c r="D472" s="8" t="s">
        <v>3053</v>
      </c>
      <c r="E472" s="6" t="s">
        <v>2819</v>
      </c>
      <c r="G472" s="3" t="s">
        <v>205</v>
      </c>
      <c r="H472" s="13" t="str">
        <f>IFERROR(VLOOKUP(G472, Sheet2!$A:$B, 2, FALSE), A472)</f>
        <v>RICOH ASIA PACIFIC OPERATIONS LIMITED</v>
      </c>
      <c r="I472" s="6" t="s">
        <v>352</v>
      </c>
      <c r="J472" s="109"/>
      <c r="K472" s="109"/>
      <c r="L472" s="141"/>
      <c r="M472" s="338"/>
      <c r="O472" s="7"/>
      <c r="Q472" s="8"/>
      <c r="R472" s="8">
        <v>45278</v>
      </c>
      <c r="S472" s="8"/>
      <c r="V472" s="141"/>
      <c r="W472" s="8"/>
      <c r="X472" t="s">
        <v>3054</v>
      </c>
      <c r="Y472" s="11" t="s">
        <v>3055</v>
      </c>
      <c r="AA472" s="8"/>
      <c r="AB472" s="3"/>
      <c r="AC472" s="3" t="s">
        <v>2680</v>
      </c>
    </row>
    <row r="473" spans="1:30" ht="15">
      <c r="A473" s="3" t="s">
        <v>2799</v>
      </c>
      <c r="B473" s="46" t="s">
        <v>3056</v>
      </c>
      <c r="C473" s="3"/>
      <c r="D473" t="s">
        <v>3057</v>
      </c>
      <c r="E473" s="141" t="s">
        <v>3058</v>
      </c>
      <c r="F473" t="s">
        <v>3059</v>
      </c>
      <c r="G473" t="s">
        <v>2162</v>
      </c>
      <c r="H473" s="13" t="str">
        <f>IFERROR(VLOOKUP(G473, Sheet2!$A:$B, 2, FALSE), A473)</f>
        <v>JARDINE MATHESON LIMITED</v>
      </c>
      <c r="I473" s="6" t="s">
        <v>352</v>
      </c>
      <c r="J473" s="109"/>
      <c r="K473" s="109"/>
      <c r="L473" s="141"/>
      <c r="M473" s="338"/>
      <c r="O473" s="7"/>
      <c r="Q473" s="8">
        <v>45261</v>
      </c>
      <c r="R473" s="8">
        <v>45280</v>
      </c>
      <c r="S473" s="8"/>
      <c r="T473" t="s">
        <v>2163</v>
      </c>
      <c r="U473" t="s">
        <v>3060</v>
      </c>
      <c r="V473" s="141">
        <v>103326</v>
      </c>
      <c r="W473" s="8"/>
      <c r="Y473" s="11" t="s">
        <v>2837</v>
      </c>
      <c r="Z473" t="s">
        <v>365</v>
      </c>
      <c r="AA473" s="8" t="s">
        <v>1079</v>
      </c>
      <c r="AB473" s="3"/>
      <c r="AC473" s="3" t="s">
        <v>945</v>
      </c>
      <c r="AD473" s="76" t="s">
        <v>3061</v>
      </c>
    </row>
    <row r="474" spans="1:30" ht="15">
      <c r="A474" s="3" t="s">
        <v>1508</v>
      </c>
      <c r="B474" s="46" t="s">
        <v>2773</v>
      </c>
      <c r="C474" s="3"/>
      <c r="D474" t="s">
        <v>3062</v>
      </c>
      <c r="E474" s="141">
        <v>93229961</v>
      </c>
      <c r="F474" s="110" t="s">
        <v>3063</v>
      </c>
      <c r="G474" t="s">
        <v>198</v>
      </c>
      <c r="H474" s="13" t="str">
        <f>IFERROR(VLOOKUP(G474, Sheet2!$A:$B, 2, FALSE), A474)</f>
        <v>AIRPORT AUTHORITY</v>
      </c>
      <c r="I474" s="6" t="s">
        <v>352</v>
      </c>
      <c r="J474" s="109">
        <v>838776425275</v>
      </c>
      <c r="K474" s="109"/>
      <c r="L474" s="141"/>
      <c r="M474" s="338"/>
      <c r="O474" s="7"/>
      <c r="Q474" s="8">
        <v>45282</v>
      </c>
      <c r="R474" s="8">
        <v>45280</v>
      </c>
      <c r="S474" s="8" t="s">
        <v>3064</v>
      </c>
      <c r="T474" t="s">
        <v>658</v>
      </c>
      <c r="U474" t="s">
        <v>3065</v>
      </c>
      <c r="V474" s="141">
        <v>102323</v>
      </c>
      <c r="W474" s="8" t="s">
        <v>3066</v>
      </c>
      <c r="Y474" s="11" t="s">
        <v>3067</v>
      </c>
      <c r="AA474" s="8" t="s">
        <v>1079</v>
      </c>
      <c r="AB474" s="3"/>
      <c r="AC474" s="3" t="s">
        <v>945</v>
      </c>
      <c r="AD474" s="76" t="s">
        <v>3068</v>
      </c>
    </row>
    <row r="475" spans="1:30" ht="29">
      <c r="A475" s="5" t="s">
        <v>545</v>
      </c>
      <c r="B475" s="46" t="s">
        <v>933</v>
      </c>
      <c r="C475" s="3"/>
      <c r="D475" t="s">
        <v>3069</v>
      </c>
      <c r="E475" s="141" t="s">
        <v>3070</v>
      </c>
      <c r="F475">
        <v>21887177</v>
      </c>
      <c r="G475" t="s">
        <v>198</v>
      </c>
      <c r="H475" s="13" t="str">
        <f>IFERROR(VLOOKUP(G475, Sheet2!$A:$B, 2, FALSE), A475)</f>
        <v>AIRPORT AUTHORITY</v>
      </c>
      <c r="I475" s="6" t="s">
        <v>352</v>
      </c>
      <c r="J475" s="109">
        <v>838776425275</v>
      </c>
      <c r="K475" s="109"/>
      <c r="L475" s="141"/>
      <c r="M475" s="338"/>
      <c r="O475" s="7"/>
      <c r="Q475" s="8">
        <v>45283</v>
      </c>
      <c r="R475" s="8">
        <v>45280</v>
      </c>
      <c r="S475" s="8">
        <v>45447</v>
      </c>
      <c r="T475" t="s">
        <v>2854</v>
      </c>
      <c r="U475" t="s">
        <v>3071</v>
      </c>
      <c r="V475" s="141"/>
      <c r="W475" s="4" t="s">
        <v>3072</v>
      </c>
      <c r="Y475" s="15" t="s">
        <v>3073</v>
      </c>
      <c r="Z475" t="s">
        <v>489</v>
      </c>
      <c r="AA475" s="8"/>
      <c r="AB475" s="3"/>
      <c r="AC475" s="3" t="s">
        <v>945</v>
      </c>
      <c r="AD475" s="76" t="s">
        <v>3074</v>
      </c>
    </row>
    <row r="476" spans="1:30" ht="29">
      <c r="A476" s="3" t="s">
        <v>1508</v>
      </c>
      <c r="B476" s="46" t="s">
        <v>3056</v>
      </c>
      <c r="C476" s="3"/>
      <c r="D476" t="s">
        <v>3075</v>
      </c>
      <c r="E476" s="141">
        <v>22116455</v>
      </c>
      <c r="F476" s="141" t="s">
        <v>2865</v>
      </c>
      <c r="G476" t="s">
        <v>206</v>
      </c>
      <c r="H476" s="13" t="str">
        <f>IFERROR(VLOOKUP(G476, Sheet2!$A:$B, 2, FALSE), A476)</f>
        <v>HONG KONG EXCHANGES AND CLEARING LTD</v>
      </c>
      <c r="I476" s="58" t="s">
        <v>393</v>
      </c>
      <c r="J476" s="109"/>
      <c r="K476" s="109"/>
      <c r="L476" s="141"/>
      <c r="M476" s="338"/>
      <c r="O476" s="7"/>
      <c r="Q476" s="8">
        <v>45261</v>
      </c>
      <c r="R476" s="8">
        <v>45275</v>
      </c>
      <c r="S476" s="8">
        <v>45261</v>
      </c>
      <c r="T476" t="s">
        <v>3076</v>
      </c>
      <c r="U476" t="s">
        <v>3077</v>
      </c>
      <c r="V476" s="141">
        <v>103666</v>
      </c>
      <c r="W476" s="8"/>
      <c r="Y476" s="15" t="s">
        <v>3078</v>
      </c>
      <c r="Z476" t="s">
        <v>365</v>
      </c>
      <c r="AA476" s="8" t="s">
        <v>1264</v>
      </c>
      <c r="AB476" s="3"/>
      <c r="AC476" s="3" t="s">
        <v>945</v>
      </c>
      <c r="AD476" s="76" t="s">
        <v>3079</v>
      </c>
    </row>
    <row r="477" spans="1:30" ht="58">
      <c r="A477" s="3" t="s">
        <v>1508</v>
      </c>
      <c r="B477" s="46" t="s">
        <v>3056</v>
      </c>
      <c r="C477" s="3"/>
      <c r="D477" t="s">
        <v>3080</v>
      </c>
      <c r="E477" s="141" t="s">
        <v>3081</v>
      </c>
      <c r="F477">
        <v>66104425</v>
      </c>
      <c r="G477" t="s">
        <v>198</v>
      </c>
      <c r="H477" s="13" t="str">
        <f>IFERROR(VLOOKUP(G477, Sheet2!$A:$B, 2, FALSE), A477)</f>
        <v>AIRPORT AUTHORITY</v>
      </c>
      <c r="I477" s="6" t="s">
        <v>352</v>
      </c>
      <c r="J477" s="109"/>
      <c r="K477" s="109"/>
      <c r="L477" s="141"/>
      <c r="M477" s="338"/>
      <c r="O477" s="7"/>
      <c r="Q477" s="8">
        <v>45275</v>
      </c>
      <c r="R477" s="8">
        <v>45281</v>
      </c>
      <c r="S477" s="8" t="s">
        <v>3064</v>
      </c>
      <c r="T477" t="s">
        <v>2948</v>
      </c>
      <c r="U477" t="s">
        <v>3082</v>
      </c>
      <c r="V477" s="141"/>
      <c r="W477" s="8"/>
      <c r="Y477" s="11" t="s">
        <v>3083</v>
      </c>
      <c r="Z477" t="s">
        <v>365</v>
      </c>
      <c r="AA477" s="8" t="s">
        <v>1079</v>
      </c>
      <c r="AB477" s="3"/>
      <c r="AC477" s="3" t="s">
        <v>945</v>
      </c>
      <c r="AD477" s="76" t="s">
        <v>3084</v>
      </c>
    </row>
    <row r="478" spans="1:30" ht="29">
      <c r="A478" s="3" t="s">
        <v>1508</v>
      </c>
      <c r="B478" s="46" t="s">
        <v>3056</v>
      </c>
      <c r="C478" s="3"/>
      <c r="D478" t="s">
        <v>3085</v>
      </c>
      <c r="E478" s="141"/>
      <c r="F478">
        <v>21887269</v>
      </c>
      <c r="G478" t="s">
        <v>198</v>
      </c>
      <c r="H478" s="13" t="str">
        <f>IFERROR(VLOOKUP(G478, Sheet2!$A:$B, 2, FALSE), A478)</f>
        <v>AIRPORT AUTHORITY</v>
      </c>
      <c r="I478" s="6" t="s">
        <v>352</v>
      </c>
      <c r="J478" s="109">
        <v>838776425275</v>
      </c>
      <c r="K478" s="109"/>
      <c r="L478" s="141"/>
      <c r="M478" s="338"/>
      <c r="O478" s="7"/>
      <c r="Q478" s="8">
        <v>45200</v>
      </c>
      <c r="R478" s="8">
        <v>45278</v>
      </c>
      <c r="S478" s="8">
        <v>45200</v>
      </c>
      <c r="T478" s="10" t="s">
        <v>3086</v>
      </c>
      <c r="U478" t="s">
        <v>3087</v>
      </c>
      <c r="V478" s="141">
        <v>103564</v>
      </c>
      <c r="W478" s="8"/>
      <c r="Y478" s="11" t="s">
        <v>3088</v>
      </c>
      <c r="Z478" t="s">
        <v>365</v>
      </c>
      <c r="AA478" s="8" t="s">
        <v>1079</v>
      </c>
      <c r="AB478" s="3"/>
      <c r="AC478" s="3" t="s">
        <v>945</v>
      </c>
      <c r="AD478" s="76" t="s">
        <v>3089</v>
      </c>
    </row>
    <row r="479" spans="1:30" ht="117.5">
      <c r="A479" s="5" t="s">
        <v>545</v>
      </c>
      <c r="B479" s="46" t="s">
        <v>933</v>
      </c>
      <c r="C479" s="3"/>
      <c r="D479" t="s">
        <v>3090</v>
      </c>
      <c r="E479" s="141" t="s">
        <v>2903</v>
      </c>
      <c r="F479" t="s">
        <v>3091</v>
      </c>
      <c r="G479" t="s">
        <v>198</v>
      </c>
      <c r="H479" s="13" t="str">
        <f>IFERROR(VLOOKUP(G479, Sheet2!$A:$B, 2, FALSE), A479)</f>
        <v>AIRPORT AUTHORITY</v>
      </c>
      <c r="I479" s="6" t="s">
        <v>352</v>
      </c>
      <c r="J479" s="109">
        <v>838776425275</v>
      </c>
      <c r="K479" s="71"/>
      <c r="L479" s="178"/>
      <c r="M479" s="338"/>
      <c r="O479" s="7"/>
      <c r="P479" s="339" t="s">
        <v>3092</v>
      </c>
      <c r="Q479" s="8">
        <v>45288</v>
      </c>
      <c r="R479" s="8">
        <v>45281</v>
      </c>
      <c r="S479" s="8">
        <v>45433</v>
      </c>
      <c r="T479" t="s">
        <v>3093</v>
      </c>
      <c r="U479" t="s">
        <v>3094</v>
      </c>
      <c r="V479" s="141"/>
      <c r="W479" s="4" t="s">
        <v>3095</v>
      </c>
      <c r="Y479" s="15" t="s">
        <v>3096</v>
      </c>
      <c r="Z479" t="s">
        <v>886</v>
      </c>
      <c r="AA479" s="8" t="s">
        <v>1079</v>
      </c>
      <c r="AB479" s="3"/>
      <c r="AC479" s="3" t="s">
        <v>945</v>
      </c>
      <c r="AD479" s="76" t="s">
        <v>3097</v>
      </c>
    </row>
    <row r="480" spans="1:30" ht="159.5">
      <c r="A480" s="311"/>
      <c r="B480" s="46" t="s">
        <v>933</v>
      </c>
      <c r="C480" s="3"/>
      <c r="E480" s="141"/>
      <c r="G480" s="319" t="s">
        <v>176</v>
      </c>
      <c r="H480" s="13" t="str">
        <f>IFERROR(VLOOKUP(G480, Sheet2!$A:$B, 2, FALSE), A480)</f>
        <v>HOSPITAL AUTHORITY</v>
      </c>
      <c r="I480" s="6" t="s">
        <v>410</v>
      </c>
      <c r="J480" s="340"/>
      <c r="K480" s="340" t="s">
        <v>3098</v>
      </c>
      <c r="L480" s="341" t="s">
        <v>2130</v>
      </c>
      <c r="M480" s="342" t="s">
        <v>3099</v>
      </c>
      <c r="N480" s="343"/>
      <c r="O480" s="317" t="s">
        <v>3100</v>
      </c>
      <c r="P480" s="342" t="s">
        <v>3101</v>
      </c>
      <c r="Q480" s="344" t="s">
        <v>997</v>
      </c>
      <c r="R480" s="312"/>
      <c r="S480" s="312"/>
      <c r="T480" s="318" t="s">
        <v>3102</v>
      </c>
      <c r="U480" s="318" t="s">
        <v>3103</v>
      </c>
      <c r="V480" s="318" t="s">
        <v>3104</v>
      </c>
      <c r="W480" s="312"/>
      <c r="X480" s="344"/>
      <c r="Y480" s="345" t="s">
        <v>3105</v>
      </c>
      <c r="Z480" s="343"/>
      <c r="AA480" s="312"/>
      <c r="AB480" s="311"/>
      <c r="AC480" s="311"/>
      <c r="AD480" s="343"/>
    </row>
    <row r="481" spans="1:30" ht="101.5">
      <c r="A481" s="5" t="s">
        <v>545</v>
      </c>
      <c r="B481" s="46" t="s">
        <v>933</v>
      </c>
      <c r="C481" s="3"/>
      <c r="D481" t="s">
        <v>3106</v>
      </c>
      <c r="E481" s="346" t="s">
        <v>3107</v>
      </c>
      <c r="F481" t="s">
        <v>3108</v>
      </c>
      <c r="G481" t="s">
        <v>198</v>
      </c>
      <c r="H481" s="13" t="str">
        <f>IFERROR(VLOOKUP(G481, Sheet2!$A:$B, 2, FALSE), A481)</f>
        <v>AIRPORT AUTHORITY</v>
      </c>
      <c r="I481" s="6" t="s">
        <v>352</v>
      </c>
      <c r="J481" s="109"/>
      <c r="K481" s="109"/>
      <c r="L481" s="141"/>
      <c r="M481" s="338"/>
      <c r="O481" s="7"/>
      <c r="Q481" s="8">
        <v>45142</v>
      </c>
      <c r="R481" s="8">
        <v>45288</v>
      </c>
      <c r="S481" s="155">
        <v>45322</v>
      </c>
      <c r="T481" t="s">
        <v>3109</v>
      </c>
      <c r="U481" t="s">
        <v>3110</v>
      </c>
      <c r="V481" s="141"/>
      <c r="W481" s="8"/>
      <c r="Y481" s="15" t="s">
        <v>3111</v>
      </c>
      <c r="Z481" t="s">
        <v>886</v>
      </c>
      <c r="AA481" s="8" t="s">
        <v>1079</v>
      </c>
      <c r="AB481" s="3"/>
      <c r="AC481" s="3"/>
      <c r="AD481" s="347" t="s">
        <v>3112</v>
      </c>
    </row>
    <row r="482" spans="1:30" ht="101.5">
      <c r="A482" s="5" t="s">
        <v>545</v>
      </c>
      <c r="B482" s="46" t="s">
        <v>933</v>
      </c>
      <c r="C482" s="3"/>
      <c r="D482" t="s">
        <v>3113</v>
      </c>
      <c r="E482" s="346" t="s">
        <v>3114</v>
      </c>
      <c r="G482" t="s">
        <v>198</v>
      </c>
      <c r="H482" s="13" t="str">
        <f>IFERROR(VLOOKUP(G482, Sheet2!$A:$B, 2, FALSE), A482)</f>
        <v>AIRPORT AUTHORITY</v>
      </c>
      <c r="I482" s="6" t="s">
        <v>352</v>
      </c>
      <c r="J482" s="109"/>
      <c r="K482" s="109"/>
      <c r="L482" s="141"/>
      <c r="M482" s="338"/>
      <c r="O482" s="7"/>
      <c r="Q482" s="8">
        <v>45142</v>
      </c>
      <c r="R482" s="8">
        <v>45288</v>
      </c>
      <c r="S482" s="155">
        <v>45322</v>
      </c>
      <c r="T482" t="s">
        <v>3115</v>
      </c>
      <c r="U482" t="s">
        <v>3116</v>
      </c>
      <c r="V482" s="141"/>
      <c r="W482" s="8"/>
      <c r="Y482" s="15" t="s">
        <v>3117</v>
      </c>
      <c r="Z482" t="s">
        <v>886</v>
      </c>
      <c r="AA482" s="8" t="s">
        <v>1079</v>
      </c>
      <c r="AB482" s="3"/>
      <c r="AC482" s="3"/>
      <c r="AD482" s="347" t="s">
        <v>3112</v>
      </c>
    </row>
    <row r="483" spans="1:30" ht="101.5">
      <c r="A483" s="5" t="s">
        <v>545</v>
      </c>
      <c r="B483" s="46" t="s">
        <v>3118</v>
      </c>
      <c r="C483" s="3"/>
      <c r="D483" t="s">
        <v>3106</v>
      </c>
      <c r="E483" s="346" t="s">
        <v>3107</v>
      </c>
      <c r="F483" t="s">
        <v>3108</v>
      </c>
      <c r="G483" t="s">
        <v>198</v>
      </c>
      <c r="H483" s="13" t="str">
        <f>IFERROR(VLOOKUP(G483, Sheet2!$A:$B, 2, FALSE), A483)</f>
        <v>AIRPORT AUTHORITY</v>
      </c>
      <c r="I483" s="6" t="s">
        <v>352</v>
      </c>
      <c r="J483" s="109"/>
      <c r="K483" s="109"/>
      <c r="L483" s="141"/>
      <c r="M483" s="338"/>
      <c r="O483" s="7"/>
      <c r="Q483" s="8">
        <v>45142</v>
      </c>
      <c r="R483" s="8">
        <v>45288</v>
      </c>
      <c r="S483" s="8">
        <v>45322</v>
      </c>
      <c r="T483" t="s">
        <v>3119</v>
      </c>
      <c r="U483" t="s">
        <v>3120</v>
      </c>
      <c r="V483" s="141"/>
      <c r="W483" s="8"/>
      <c r="Y483" s="15" t="s">
        <v>3121</v>
      </c>
      <c r="Z483" t="s">
        <v>886</v>
      </c>
      <c r="AA483" s="8" t="s">
        <v>1079</v>
      </c>
      <c r="AB483" s="3"/>
      <c r="AC483" s="3"/>
      <c r="AD483" s="347" t="s">
        <v>3112</v>
      </c>
    </row>
    <row r="484" spans="1:30" ht="29">
      <c r="A484" s="5" t="s">
        <v>545</v>
      </c>
      <c r="B484" s="46" t="s">
        <v>933</v>
      </c>
      <c r="C484" s="3"/>
      <c r="E484" s="346"/>
      <c r="G484" t="s">
        <v>2888</v>
      </c>
      <c r="H484" s="13" t="str">
        <f>IFERROR(VLOOKUP(G484, Sheet2!$A:$B, 2, FALSE), A484)</f>
        <v>New World Corporate Services Limited</v>
      </c>
      <c r="I484" s="6" t="s">
        <v>352</v>
      </c>
      <c r="J484" s="100" t="s">
        <v>3122</v>
      </c>
      <c r="K484" s="19"/>
      <c r="L484" s="120"/>
      <c r="M484" s="348"/>
      <c r="N484" s="120"/>
      <c r="O484" s="142"/>
      <c r="P484" s="120"/>
      <c r="Q484" s="8">
        <v>45281</v>
      </c>
      <c r="R484" s="8">
        <v>45279</v>
      </c>
      <c r="S484" s="8">
        <v>45327</v>
      </c>
      <c r="T484" t="s">
        <v>3123</v>
      </c>
      <c r="U484" t="s">
        <v>3124</v>
      </c>
      <c r="V484" s="141"/>
      <c r="W484" s="4" t="s">
        <v>3125</v>
      </c>
      <c r="Y484" s="7" t="s">
        <v>3126</v>
      </c>
      <c r="AA484" s="8"/>
      <c r="AB484" s="5" t="s">
        <v>375</v>
      </c>
      <c r="AC484" s="3"/>
      <c r="AD484" s="347" t="s">
        <v>3127</v>
      </c>
    </row>
    <row r="485" spans="1:30" ht="29">
      <c r="A485" s="5" t="s">
        <v>545</v>
      </c>
      <c r="B485" s="46" t="s">
        <v>933</v>
      </c>
      <c r="C485" s="3"/>
      <c r="E485" s="346"/>
      <c r="G485" t="s">
        <v>2888</v>
      </c>
      <c r="H485" s="13" t="str">
        <f>IFERROR(VLOOKUP(G485, Sheet2!$A:$B, 2, FALSE), A485)</f>
        <v>New World Corporate Services Limited</v>
      </c>
      <c r="I485" s="6" t="s">
        <v>352</v>
      </c>
      <c r="J485" s="100">
        <v>759168424209</v>
      </c>
      <c r="K485" s="19"/>
      <c r="L485" s="120"/>
      <c r="M485" s="348"/>
      <c r="N485" s="120"/>
      <c r="O485" s="142"/>
      <c r="P485" s="120"/>
      <c r="Q485" s="8">
        <v>45281</v>
      </c>
      <c r="R485" s="8">
        <v>45279</v>
      </c>
      <c r="S485" s="8">
        <v>45327</v>
      </c>
      <c r="T485" t="s">
        <v>3128</v>
      </c>
      <c r="U485" t="s">
        <v>3129</v>
      </c>
      <c r="V485" s="141"/>
      <c r="W485" s="4" t="s">
        <v>3125</v>
      </c>
      <c r="Y485" s="7" t="s">
        <v>3126</v>
      </c>
      <c r="AA485" s="8"/>
      <c r="AB485" s="5" t="s">
        <v>375</v>
      </c>
      <c r="AC485" s="3"/>
      <c r="AD485" s="347" t="s">
        <v>3127</v>
      </c>
    </row>
    <row r="486" spans="1:30" ht="29">
      <c r="A486" s="5" t="s">
        <v>545</v>
      </c>
      <c r="B486" s="46" t="s">
        <v>933</v>
      </c>
      <c r="C486" s="3"/>
      <c r="D486" t="s">
        <v>3130</v>
      </c>
      <c r="E486" s="141"/>
      <c r="F486">
        <v>67594210</v>
      </c>
      <c r="G486" t="s">
        <v>2888</v>
      </c>
      <c r="H486" s="13" t="str">
        <f>IFERROR(VLOOKUP(G486, Sheet2!$A:$B, 2, FALSE), A486)</f>
        <v>New World Corporate Services Limited</v>
      </c>
      <c r="I486" s="6" t="s">
        <v>352</v>
      </c>
      <c r="J486" s="100">
        <v>759168424209</v>
      </c>
      <c r="K486" s="109">
        <v>74430167128</v>
      </c>
      <c r="L486" s="141" t="s">
        <v>3131</v>
      </c>
      <c r="M486" s="338"/>
      <c r="O486" s="7"/>
      <c r="Q486" s="8">
        <v>45296</v>
      </c>
      <c r="R486" s="8">
        <v>45288</v>
      </c>
      <c r="S486" s="8">
        <v>45309</v>
      </c>
      <c r="T486" t="s">
        <v>3132</v>
      </c>
      <c r="U486" t="s">
        <v>3133</v>
      </c>
      <c r="V486" s="141">
        <v>103690</v>
      </c>
      <c r="W486" s="4" t="s">
        <v>3134</v>
      </c>
      <c r="Y486" s="15" t="s">
        <v>3135</v>
      </c>
      <c r="Z486" t="s">
        <v>365</v>
      </c>
      <c r="AA486" s="8"/>
      <c r="AB486" s="5" t="s">
        <v>375</v>
      </c>
      <c r="AC486" s="5" t="s">
        <v>2784</v>
      </c>
      <c r="AD486" s="76" t="s">
        <v>3136</v>
      </c>
    </row>
    <row r="487" spans="1:30" ht="29">
      <c r="A487" s="5" t="s">
        <v>545</v>
      </c>
      <c r="B487" s="46" t="s">
        <v>933</v>
      </c>
      <c r="C487" s="3"/>
      <c r="D487" t="s">
        <v>3130</v>
      </c>
      <c r="E487" s="141"/>
      <c r="F487">
        <v>67594210</v>
      </c>
      <c r="G487" t="s">
        <v>199</v>
      </c>
      <c r="H487" s="13" t="str">
        <f>IFERROR(VLOOKUP(G487, Sheet2!$A:$B, 2, FALSE), A487)</f>
        <v>New World Corporate Services Limited</v>
      </c>
      <c r="I487" s="6" t="s">
        <v>352</v>
      </c>
      <c r="J487" s="100">
        <v>759168424209</v>
      </c>
      <c r="K487" s="109">
        <v>523913856314</v>
      </c>
      <c r="L487" s="141" t="s">
        <v>3137</v>
      </c>
      <c r="M487" s="338"/>
      <c r="O487" s="7"/>
      <c r="Q487" s="8">
        <v>45296</v>
      </c>
      <c r="R487" s="8">
        <v>45288</v>
      </c>
      <c r="S487" s="8">
        <v>45309</v>
      </c>
      <c r="T487" t="s">
        <v>3138</v>
      </c>
      <c r="U487" t="s">
        <v>3139</v>
      </c>
      <c r="V487" s="141">
        <v>103688</v>
      </c>
      <c r="W487" s="4" t="s">
        <v>3134</v>
      </c>
      <c r="Y487" s="15" t="s">
        <v>3135</v>
      </c>
      <c r="Z487" t="s">
        <v>365</v>
      </c>
      <c r="AA487" s="8"/>
      <c r="AB487" s="5" t="s">
        <v>375</v>
      </c>
      <c r="AC487" s="5" t="s">
        <v>2784</v>
      </c>
      <c r="AD487" s="76" t="s">
        <v>3136</v>
      </c>
    </row>
    <row r="488" spans="1:30" ht="29">
      <c r="A488" s="5" t="s">
        <v>545</v>
      </c>
      <c r="B488" s="46" t="s">
        <v>933</v>
      </c>
      <c r="C488" s="3"/>
      <c r="D488" t="s">
        <v>3130</v>
      </c>
      <c r="E488" s="141"/>
      <c r="F488">
        <v>67594210</v>
      </c>
      <c r="G488" t="s">
        <v>199</v>
      </c>
      <c r="H488" s="13" t="str">
        <f>IFERROR(VLOOKUP(G488, Sheet2!$A:$B, 2, FALSE), A488)</f>
        <v>New World Corporate Services Limited</v>
      </c>
      <c r="I488" s="6" t="s">
        <v>352</v>
      </c>
      <c r="J488" s="100">
        <v>759168424209</v>
      </c>
      <c r="K488" s="109">
        <v>601623857033</v>
      </c>
      <c r="L488" s="141" t="s">
        <v>3140</v>
      </c>
      <c r="M488" s="338"/>
      <c r="O488" s="7"/>
      <c r="Q488" s="8">
        <v>45296</v>
      </c>
      <c r="R488" s="8">
        <v>45288</v>
      </c>
      <c r="S488" s="8">
        <v>45309</v>
      </c>
      <c r="T488" t="s">
        <v>3141</v>
      </c>
      <c r="U488" t="s">
        <v>3142</v>
      </c>
      <c r="V488" s="141">
        <v>103687</v>
      </c>
      <c r="W488" s="4" t="s">
        <v>3134</v>
      </c>
      <c r="Y488" s="15" t="s">
        <v>3143</v>
      </c>
      <c r="Z488" t="s">
        <v>365</v>
      </c>
      <c r="AA488" s="8"/>
      <c r="AB488" s="5" t="s">
        <v>375</v>
      </c>
      <c r="AC488" s="5" t="s">
        <v>2784</v>
      </c>
      <c r="AD488" s="76" t="s">
        <v>3136</v>
      </c>
    </row>
    <row r="489" spans="1:30" ht="29">
      <c r="A489" s="5" t="s">
        <v>545</v>
      </c>
      <c r="B489" s="46" t="s">
        <v>933</v>
      </c>
      <c r="C489" s="3"/>
      <c r="D489" t="s">
        <v>3130</v>
      </c>
      <c r="E489" s="141"/>
      <c r="F489">
        <v>67594210</v>
      </c>
      <c r="G489" t="s">
        <v>199</v>
      </c>
      <c r="H489" s="13" t="str">
        <f>IFERROR(VLOOKUP(G489, Sheet2!$A:$B, 2, FALSE), A489)</f>
        <v>New World Corporate Services Limited</v>
      </c>
      <c r="I489" s="6" t="s">
        <v>352</v>
      </c>
      <c r="J489" s="100">
        <v>759168424209</v>
      </c>
      <c r="K489" s="109">
        <v>41460209179</v>
      </c>
      <c r="L489" s="141" t="s">
        <v>3144</v>
      </c>
      <c r="M489" s="338"/>
      <c r="O489" s="7"/>
      <c r="Q489" s="8">
        <v>45296</v>
      </c>
      <c r="R489" s="8">
        <v>45288</v>
      </c>
      <c r="S489" s="8">
        <v>45309</v>
      </c>
      <c r="T489" t="s">
        <v>3145</v>
      </c>
      <c r="U489" t="s">
        <v>3146</v>
      </c>
      <c r="V489" s="141">
        <v>103686</v>
      </c>
      <c r="W489" s="4" t="s">
        <v>3134</v>
      </c>
      <c r="Y489" s="15" t="s">
        <v>3135</v>
      </c>
      <c r="Z489" t="s">
        <v>365</v>
      </c>
      <c r="AA489" s="8"/>
      <c r="AB489" s="5" t="s">
        <v>375</v>
      </c>
      <c r="AC489" s="5" t="s">
        <v>2784</v>
      </c>
      <c r="AD489" s="76" t="s">
        <v>3136</v>
      </c>
    </row>
    <row r="490" spans="1:30" ht="29">
      <c r="A490" s="5" t="s">
        <v>545</v>
      </c>
      <c r="B490" s="46" t="s">
        <v>933</v>
      </c>
      <c r="C490" s="3"/>
      <c r="D490" t="s">
        <v>3130</v>
      </c>
      <c r="E490" s="141"/>
      <c r="F490">
        <v>67594210</v>
      </c>
      <c r="G490" t="s">
        <v>199</v>
      </c>
      <c r="H490" s="13" t="str">
        <f>IFERROR(VLOOKUP(G490, Sheet2!$A:$B, 2, FALSE), A490)</f>
        <v>New World Corporate Services Limited</v>
      </c>
      <c r="I490" s="6" t="s">
        <v>352</v>
      </c>
      <c r="J490" s="100">
        <v>759168424209</v>
      </c>
      <c r="K490" s="109">
        <v>515312123657</v>
      </c>
      <c r="L490" s="141" t="s">
        <v>3147</v>
      </c>
      <c r="M490" s="338"/>
      <c r="O490" s="7"/>
      <c r="Q490" s="8">
        <v>45296</v>
      </c>
      <c r="R490" s="8">
        <v>45288</v>
      </c>
      <c r="S490" s="8">
        <v>45309</v>
      </c>
      <c r="T490" t="s">
        <v>3148</v>
      </c>
      <c r="U490" t="s">
        <v>3149</v>
      </c>
      <c r="V490" s="141">
        <v>103685</v>
      </c>
      <c r="W490" s="4" t="s">
        <v>3134</v>
      </c>
      <c r="Y490" s="15" t="s">
        <v>3135</v>
      </c>
      <c r="Z490" t="s">
        <v>365</v>
      </c>
      <c r="AA490" s="8"/>
      <c r="AB490" s="5" t="s">
        <v>375</v>
      </c>
      <c r="AC490" s="5" t="s">
        <v>2784</v>
      </c>
      <c r="AD490" s="76" t="s">
        <v>3136</v>
      </c>
    </row>
    <row r="491" spans="1:30" ht="29">
      <c r="A491" s="5" t="s">
        <v>545</v>
      </c>
      <c r="B491" s="46" t="s">
        <v>933</v>
      </c>
      <c r="C491" s="3"/>
      <c r="D491" t="s">
        <v>3130</v>
      </c>
      <c r="E491" s="141"/>
      <c r="F491">
        <v>67594210</v>
      </c>
      <c r="G491" t="s">
        <v>199</v>
      </c>
      <c r="H491" s="13" t="str">
        <f>IFERROR(VLOOKUP(G491, Sheet2!$A:$B, 2, FALSE), A491)</f>
        <v>New World Corporate Services Limited</v>
      </c>
      <c r="I491" s="6" t="s">
        <v>352</v>
      </c>
      <c r="J491" s="100">
        <v>759168424209</v>
      </c>
      <c r="K491" s="109">
        <v>487801446329</v>
      </c>
      <c r="L491" s="141" t="s">
        <v>3150</v>
      </c>
      <c r="M491" s="338"/>
      <c r="O491" s="7"/>
      <c r="Q491" s="8">
        <v>45296</v>
      </c>
      <c r="R491" s="8">
        <v>45288</v>
      </c>
      <c r="S491" s="8">
        <v>45309</v>
      </c>
      <c r="T491" t="s">
        <v>3151</v>
      </c>
      <c r="U491" t="s">
        <v>3152</v>
      </c>
      <c r="V491" s="141">
        <v>103684</v>
      </c>
      <c r="W491" s="4" t="s">
        <v>3134</v>
      </c>
      <c r="Y491" s="15" t="s">
        <v>3135</v>
      </c>
      <c r="Z491" t="s">
        <v>365</v>
      </c>
      <c r="AA491" s="8"/>
      <c r="AB491" s="5" t="s">
        <v>375</v>
      </c>
      <c r="AC491" s="5" t="s">
        <v>2784</v>
      </c>
      <c r="AD491" s="76" t="s">
        <v>3136</v>
      </c>
    </row>
    <row r="492" spans="1:30" ht="72.5">
      <c r="A492" s="5" t="s">
        <v>515</v>
      </c>
      <c r="B492" s="46" t="s">
        <v>933</v>
      </c>
      <c r="C492" s="3"/>
      <c r="D492" t="s">
        <v>3153</v>
      </c>
      <c r="E492" s="141" t="s">
        <v>3154</v>
      </c>
      <c r="F492" t="s">
        <v>3155</v>
      </c>
      <c r="G492" t="s">
        <v>208</v>
      </c>
      <c r="H492" s="13" t="str">
        <f>IFERROR(VLOOKUP(G492, Sheet2!$A:$B, 2, FALSE), A492)</f>
        <v>THE BANK OF EAST ASIA, LIMITED</v>
      </c>
      <c r="I492" s="6" t="s">
        <v>352</v>
      </c>
      <c r="J492" s="109"/>
      <c r="K492" s="109"/>
      <c r="L492" s="141"/>
      <c r="M492" s="338"/>
      <c r="O492" s="7"/>
      <c r="Q492" s="8">
        <v>45296</v>
      </c>
      <c r="R492" s="8">
        <v>45299</v>
      </c>
      <c r="S492" s="8"/>
      <c r="T492" t="s">
        <v>3156</v>
      </c>
      <c r="U492" t="s">
        <v>3157</v>
      </c>
      <c r="V492" s="141">
        <v>100708</v>
      </c>
      <c r="W492" s="4" t="s">
        <v>3158</v>
      </c>
      <c r="X492" t="s">
        <v>3159</v>
      </c>
      <c r="Y492" s="15" t="s">
        <v>3160</v>
      </c>
      <c r="Z492" t="s">
        <v>365</v>
      </c>
      <c r="AA492" s="8" t="s">
        <v>1264</v>
      </c>
      <c r="AB492" s="3"/>
      <c r="AC492" s="5" t="s">
        <v>3161</v>
      </c>
      <c r="AD492" s="76" t="s">
        <v>3162</v>
      </c>
    </row>
    <row r="493" spans="1:30" ht="43.5">
      <c r="A493" s="5" t="s">
        <v>545</v>
      </c>
      <c r="B493" s="46" t="s">
        <v>933</v>
      </c>
      <c r="C493" s="3"/>
      <c r="D493" t="s">
        <v>3153</v>
      </c>
      <c r="E493" s="141" t="s">
        <v>3154</v>
      </c>
      <c r="F493" t="s">
        <v>3155</v>
      </c>
      <c r="G493" t="s">
        <v>208</v>
      </c>
      <c r="H493" s="13" t="str">
        <f>IFERROR(VLOOKUP(G493, Sheet2!$A:$B, 2, FALSE), A493)</f>
        <v>THE BANK OF EAST ASIA, LIMITED</v>
      </c>
      <c r="I493" s="6" t="s">
        <v>352</v>
      </c>
      <c r="J493" s="19">
        <v>410429265162</v>
      </c>
      <c r="K493" s="109" t="s">
        <v>3163</v>
      </c>
      <c r="L493" s="141" t="s">
        <v>3164</v>
      </c>
      <c r="M493" s="338"/>
      <c r="O493" s="9" t="s">
        <v>3165</v>
      </c>
      <c r="Q493" s="8">
        <v>45296</v>
      </c>
      <c r="R493" s="8">
        <v>45299</v>
      </c>
      <c r="S493" s="8">
        <v>45436</v>
      </c>
      <c r="T493" t="s">
        <v>3166</v>
      </c>
      <c r="U493" t="s">
        <v>3167</v>
      </c>
      <c r="V493" s="141">
        <v>103706</v>
      </c>
      <c r="W493" s="4" t="s">
        <v>3168</v>
      </c>
      <c r="X493" t="s">
        <v>3159</v>
      </c>
      <c r="Y493" s="15" t="s">
        <v>3169</v>
      </c>
      <c r="Z493" t="s">
        <v>365</v>
      </c>
      <c r="AA493" s="8" t="s">
        <v>1264</v>
      </c>
      <c r="AB493" s="3"/>
      <c r="AC493" s="5" t="s">
        <v>3161</v>
      </c>
      <c r="AD493" s="76" t="s">
        <v>3170</v>
      </c>
    </row>
    <row r="494" spans="1:30" ht="43.5">
      <c r="A494" s="5" t="s">
        <v>545</v>
      </c>
      <c r="B494" s="46" t="s">
        <v>933</v>
      </c>
      <c r="C494" s="3"/>
      <c r="D494" t="s">
        <v>3153</v>
      </c>
      <c r="E494" s="141" t="s">
        <v>3154</v>
      </c>
      <c r="F494" t="s">
        <v>3155</v>
      </c>
      <c r="G494" t="s">
        <v>208</v>
      </c>
      <c r="H494" s="13" t="str">
        <f>IFERROR(VLOOKUP(G494, Sheet2!$A:$B, 2, FALSE), A494)</f>
        <v>THE BANK OF EAST ASIA, LIMITED</v>
      </c>
      <c r="I494" s="6" t="s">
        <v>352</v>
      </c>
      <c r="J494" s="19">
        <v>410429265162</v>
      </c>
      <c r="K494" s="109" t="s">
        <v>3171</v>
      </c>
      <c r="L494" s="141" t="s">
        <v>3172</v>
      </c>
      <c r="M494" s="338"/>
      <c r="O494" s="9" t="s">
        <v>3165</v>
      </c>
      <c r="Q494" s="8">
        <v>45296</v>
      </c>
      <c r="R494" s="8">
        <v>45299</v>
      </c>
      <c r="S494" s="8">
        <v>45436</v>
      </c>
      <c r="T494" t="s">
        <v>3173</v>
      </c>
      <c r="U494" t="s">
        <v>3174</v>
      </c>
      <c r="V494" s="141">
        <v>103705</v>
      </c>
      <c r="W494" s="4" t="s">
        <v>3158</v>
      </c>
      <c r="X494" t="s">
        <v>3159</v>
      </c>
      <c r="Y494" s="15" t="s">
        <v>3169</v>
      </c>
      <c r="Z494" t="s">
        <v>365</v>
      </c>
      <c r="AA494" s="8" t="s">
        <v>1264</v>
      </c>
      <c r="AB494" s="3"/>
      <c r="AC494" s="5" t="s">
        <v>3161</v>
      </c>
      <c r="AD494" s="76" t="s">
        <v>3170</v>
      </c>
    </row>
    <row r="495" spans="1:30" ht="43.5">
      <c r="A495" s="5" t="s">
        <v>545</v>
      </c>
      <c r="B495" s="46" t="s">
        <v>933</v>
      </c>
      <c r="C495" s="3"/>
      <c r="D495" t="s">
        <v>3153</v>
      </c>
      <c r="E495" s="141" t="s">
        <v>3154</v>
      </c>
      <c r="F495" t="s">
        <v>3155</v>
      </c>
      <c r="G495" t="s">
        <v>208</v>
      </c>
      <c r="H495" s="13" t="str">
        <f>IFERROR(VLOOKUP(G495, Sheet2!$A:$B, 2, FALSE), A495)</f>
        <v>THE BANK OF EAST ASIA, LIMITED</v>
      </c>
      <c r="I495" s="6" t="s">
        <v>352</v>
      </c>
      <c r="J495" s="19">
        <v>410429265162</v>
      </c>
      <c r="K495" s="109" t="s">
        <v>3175</v>
      </c>
      <c r="L495" s="141" t="s">
        <v>3176</v>
      </c>
      <c r="M495" s="338"/>
      <c r="O495" s="9" t="s">
        <v>3165</v>
      </c>
      <c r="Q495" s="8">
        <v>45296</v>
      </c>
      <c r="R495" s="8">
        <v>45299</v>
      </c>
      <c r="S495" s="8">
        <v>45436</v>
      </c>
      <c r="T495" t="s">
        <v>3177</v>
      </c>
      <c r="U495" t="s">
        <v>3178</v>
      </c>
      <c r="V495" s="141">
        <v>103704</v>
      </c>
      <c r="W495" s="4" t="s">
        <v>3158</v>
      </c>
      <c r="X495" t="s">
        <v>3159</v>
      </c>
      <c r="Y495" s="15" t="s">
        <v>3169</v>
      </c>
      <c r="Z495" t="s">
        <v>365</v>
      </c>
      <c r="AA495" s="8" t="s">
        <v>1264</v>
      </c>
      <c r="AB495" s="3"/>
      <c r="AC495" s="5" t="s">
        <v>3161</v>
      </c>
      <c r="AD495" s="76" t="s">
        <v>3170</v>
      </c>
    </row>
    <row r="496" spans="1:30" ht="43.5">
      <c r="A496" s="5" t="s">
        <v>545</v>
      </c>
      <c r="B496" s="46" t="s">
        <v>933</v>
      </c>
      <c r="C496" s="3"/>
      <c r="D496" t="s">
        <v>3153</v>
      </c>
      <c r="E496" s="141" t="s">
        <v>3154</v>
      </c>
      <c r="F496" t="s">
        <v>3155</v>
      </c>
      <c r="G496" t="s">
        <v>3179</v>
      </c>
      <c r="H496" s="13" t="str">
        <f>IFERROR(VLOOKUP(G496, Sheet2!$A:$B, 2, FALSE), A496)</f>
        <v>THE BANK OF EAST ASIA, LIMITED</v>
      </c>
      <c r="I496" s="6" t="s">
        <v>352</v>
      </c>
      <c r="J496" s="19">
        <v>410429265162</v>
      </c>
      <c r="K496" s="109" t="s">
        <v>3180</v>
      </c>
      <c r="L496" s="141" t="s">
        <v>3181</v>
      </c>
      <c r="M496" s="338"/>
      <c r="O496" s="9" t="s">
        <v>3165</v>
      </c>
      <c r="Q496" s="8">
        <v>45296</v>
      </c>
      <c r="R496" s="8">
        <v>45299</v>
      </c>
      <c r="S496" s="8">
        <v>45436</v>
      </c>
      <c r="T496" t="s">
        <v>3182</v>
      </c>
      <c r="U496" t="s">
        <v>3183</v>
      </c>
      <c r="V496" s="141">
        <v>103703</v>
      </c>
      <c r="W496" s="4" t="s">
        <v>3158</v>
      </c>
      <c r="X496" t="s">
        <v>3159</v>
      </c>
      <c r="Y496" s="15" t="s">
        <v>3169</v>
      </c>
      <c r="Z496" t="s">
        <v>365</v>
      </c>
      <c r="AA496" s="8" t="s">
        <v>1264</v>
      </c>
      <c r="AB496" s="3"/>
      <c r="AC496" s="5" t="s">
        <v>3161</v>
      </c>
      <c r="AD496" s="76" t="s">
        <v>3170</v>
      </c>
    </row>
    <row r="497" spans="1:30" ht="29">
      <c r="A497" s="5" t="s">
        <v>350</v>
      </c>
      <c r="B497" s="46" t="s">
        <v>2773</v>
      </c>
      <c r="C497" s="3"/>
      <c r="D497" t="s">
        <v>3043</v>
      </c>
      <c r="E497" s="141">
        <v>27738533</v>
      </c>
      <c r="F497" t="s">
        <v>3184</v>
      </c>
      <c r="G497" t="s">
        <v>209</v>
      </c>
      <c r="H497" s="13" t="str">
        <f>IFERROR(VLOOKUP(G497, Sheet2!$A:$B, 2, FALSE), A497)</f>
        <v>DAIWA CAPITAL MARKETS HONG KONG LIMITED</v>
      </c>
      <c r="I497" s="6" t="s">
        <v>352</v>
      </c>
      <c r="J497" s="109"/>
      <c r="K497" s="109"/>
      <c r="L497" s="141"/>
      <c r="M497" s="338"/>
      <c r="O497" s="7"/>
      <c r="Q497" s="8">
        <v>45302</v>
      </c>
      <c r="R497" s="8">
        <v>45300</v>
      </c>
      <c r="S497" s="8">
        <v>45302</v>
      </c>
      <c r="T497" t="s">
        <v>3185</v>
      </c>
      <c r="U497" t="s">
        <v>3186</v>
      </c>
      <c r="V497" s="141">
        <v>103340</v>
      </c>
      <c r="W497" s="8" t="s">
        <v>3187</v>
      </c>
      <c r="Y497" s="15" t="s">
        <v>3188</v>
      </c>
      <c r="Z497" t="s">
        <v>886</v>
      </c>
      <c r="AA497" s="8"/>
      <c r="AB497" s="3"/>
      <c r="AC497" s="5" t="s">
        <v>945</v>
      </c>
      <c r="AD497" s="76" t="s">
        <v>3189</v>
      </c>
    </row>
    <row r="498" spans="1:30" ht="30.5">
      <c r="A498" s="5" t="s">
        <v>350</v>
      </c>
      <c r="B498" s="46" t="s">
        <v>3118</v>
      </c>
      <c r="C498" s="3"/>
      <c r="D498" t="s">
        <v>3190</v>
      </c>
      <c r="E498" s="141"/>
      <c r="F498" t="s">
        <v>3191</v>
      </c>
      <c r="G498" t="s">
        <v>176</v>
      </c>
      <c r="H498" s="13" t="str">
        <f>IFERROR(VLOOKUP(G498, Sheet2!$A:$B, 2, FALSE), A498)</f>
        <v>HOSPITAL AUTHORITY</v>
      </c>
      <c r="I498" s="6" t="s">
        <v>2836</v>
      </c>
      <c r="J498" s="109"/>
      <c r="K498" s="109" t="s">
        <v>3192</v>
      </c>
      <c r="L498" s="349" t="s">
        <v>3193</v>
      </c>
      <c r="M498" s="350" t="s">
        <v>3194</v>
      </c>
      <c r="O498" s="7" t="s">
        <v>3195</v>
      </c>
      <c r="P498" t="s">
        <v>3196</v>
      </c>
      <c r="Q498" s="8">
        <v>45337</v>
      </c>
      <c r="R498" s="8">
        <v>45303</v>
      </c>
      <c r="S498" s="8">
        <v>45337</v>
      </c>
      <c r="T498" t="s">
        <v>3197</v>
      </c>
      <c r="U498" t="s">
        <v>3198</v>
      </c>
      <c r="V498" s="141">
        <v>103737</v>
      </c>
      <c r="W498" s="8" t="s">
        <v>3199</v>
      </c>
      <c r="X498" t="s">
        <v>3200</v>
      </c>
      <c r="Y498" s="124" t="s">
        <v>3201</v>
      </c>
      <c r="Z498" t="s">
        <v>886</v>
      </c>
      <c r="AA498" s="8"/>
      <c r="AB498" s="3"/>
      <c r="AC498" s="3" t="s">
        <v>3016</v>
      </c>
      <c r="AD498" s="76" t="s">
        <v>3202</v>
      </c>
    </row>
    <row r="499" spans="1:30" ht="15">
      <c r="A499" s="305" t="s">
        <v>350</v>
      </c>
      <c r="B499" s="294" t="s">
        <v>2773</v>
      </c>
      <c r="C499" s="3" t="s">
        <v>3203</v>
      </c>
      <c r="D499" s="351" t="s">
        <v>926</v>
      </c>
      <c r="E499" s="352" t="s">
        <v>926</v>
      </c>
      <c r="F499" s="351" t="s">
        <v>926</v>
      </c>
      <c r="G499" s="351" t="s">
        <v>89</v>
      </c>
      <c r="H499" s="13" t="str">
        <f>IFERROR(VLOOKUP(G499, Sheet2!$A:$B, 2, FALSE), A499)</f>
        <v>Bowker Asia Ltd (Win-Hanverky)</v>
      </c>
      <c r="I499" s="270" t="s">
        <v>352</v>
      </c>
      <c r="J499" s="295"/>
      <c r="K499" s="296" t="s">
        <v>3204</v>
      </c>
      <c r="L499" s="293" t="s">
        <v>926</v>
      </c>
      <c r="M499" s="353" t="s">
        <v>3205</v>
      </c>
      <c r="N499" s="351"/>
      <c r="O499" s="301"/>
      <c r="P499" s="351"/>
      <c r="Q499" s="293">
        <v>45309</v>
      </c>
      <c r="R499" s="293">
        <v>45309</v>
      </c>
      <c r="S499" s="293" t="s">
        <v>926</v>
      </c>
      <c r="T499" s="351" t="s">
        <v>926</v>
      </c>
      <c r="U499" s="351" t="s">
        <v>926</v>
      </c>
      <c r="V499" s="352"/>
      <c r="W499" s="293" t="s">
        <v>926</v>
      </c>
      <c r="X499" s="351" t="s">
        <v>3206</v>
      </c>
      <c r="Y499" s="300"/>
      <c r="Z499" s="351" t="s">
        <v>365</v>
      </c>
      <c r="AA499" s="293" t="s">
        <v>926</v>
      </c>
      <c r="AB499" s="305"/>
      <c r="AC499" s="305" t="s">
        <v>945</v>
      </c>
      <c r="AD499" s="351"/>
    </row>
    <row r="500" spans="1:30" ht="29">
      <c r="A500" s="5" t="s">
        <v>350</v>
      </c>
      <c r="B500" s="46" t="s">
        <v>933</v>
      </c>
      <c r="C500" s="3"/>
      <c r="D500" t="s">
        <v>3207</v>
      </c>
      <c r="E500" s="141" t="s">
        <v>3208</v>
      </c>
      <c r="F500" t="s">
        <v>3209</v>
      </c>
      <c r="G500" t="s">
        <v>174</v>
      </c>
      <c r="H500" s="13" t="str">
        <f>IFERROR(VLOOKUP(G500, Sheet2!$A:$B, 2, FALSE), A500)</f>
        <v>LEE KUM KEE INTERNATIONAL HOLDINGS LTD</v>
      </c>
      <c r="I500" s="6" t="s">
        <v>352</v>
      </c>
      <c r="J500" s="109"/>
      <c r="K500" s="109"/>
      <c r="L500" s="141"/>
      <c r="M500" s="338"/>
      <c r="O500" s="7"/>
      <c r="Q500" s="8">
        <v>45313</v>
      </c>
      <c r="R500" s="8">
        <v>45309</v>
      </c>
      <c r="S500" s="8">
        <v>45323</v>
      </c>
      <c r="T500" t="s">
        <v>3210</v>
      </c>
      <c r="U500" t="s">
        <v>3211</v>
      </c>
      <c r="V500" s="141">
        <v>103716</v>
      </c>
      <c r="W500" s="8" t="s">
        <v>3212</v>
      </c>
      <c r="Y500" s="15" t="s">
        <v>3213</v>
      </c>
      <c r="Z500" t="s">
        <v>886</v>
      </c>
      <c r="AA500" s="8"/>
      <c r="AB500" s="3"/>
      <c r="AC500" s="5" t="s">
        <v>945</v>
      </c>
      <c r="AD500" s="76" t="s">
        <v>3214</v>
      </c>
    </row>
    <row r="501" spans="1:30" ht="30.5">
      <c r="A501" s="5" t="s">
        <v>350</v>
      </c>
      <c r="B501" s="46" t="s">
        <v>933</v>
      </c>
      <c r="C501" s="3"/>
      <c r="D501" s="141" t="s">
        <v>3215</v>
      </c>
      <c r="E501" s="141"/>
      <c r="F501" s="354" t="s">
        <v>3216</v>
      </c>
      <c r="G501" t="s">
        <v>176</v>
      </c>
      <c r="H501" s="13" t="str">
        <f>IFERROR(VLOOKUP(G501, Sheet2!$A:$B, 2, FALSE), A501)</f>
        <v>HOSPITAL AUTHORITY</v>
      </c>
      <c r="I501" s="6" t="s">
        <v>2836</v>
      </c>
      <c r="J501" s="19"/>
      <c r="K501" s="19" t="s">
        <v>3217</v>
      </c>
      <c r="L501" s="355" t="s">
        <v>3218</v>
      </c>
      <c r="M501" s="110" t="s">
        <v>3219</v>
      </c>
      <c r="N501" s="120"/>
      <c r="O501" s="356" t="s">
        <v>3220</v>
      </c>
      <c r="P501" s="93" t="s">
        <v>3221</v>
      </c>
      <c r="Q501" s="8">
        <v>45337</v>
      </c>
      <c r="R501" s="8">
        <v>45328</v>
      </c>
      <c r="S501" s="8">
        <v>45337</v>
      </c>
      <c r="T501" t="s">
        <v>3222</v>
      </c>
      <c r="U501" s="141" t="s">
        <v>3223</v>
      </c>
      <c r="V501" s="141">
        <v>103736</v>
      </c>
      <c r="W501" s="8" t="s">
        <v>3199</v>
      </c>
      <c r="X501" t="s">
        <v>3224</v>
      </c>
      <c r="Y501" s="9" t="s">
        <v>3225</v>
      </c>
      <c r="Z501" t="s">
        <v>489</v>
      </c>
      <c r="AA501" s="8"/>
      <c r="AB501" s="3"/>
      <c r="AC501" s="3" t="s">
        <v>2680</v>
      </c>
      <c r="AD501" s="76" t="s">
        <v>3202</v>
      </c>
    </row>
    <row r="502" spans="1:30" ht="29">
      <c r="A502" s="3" t="s">
        <v>350</v>
      </c>
      <c r="B502" s="46"/>
      <c r="C502" s="3"/>
      <c r="D502" s="141" t="s">
        <v>2650</v>
      </c>
      <c r="E502" s="141">
        <v>26108769</v>
      </c>
      <c r="F502" t="s">
        <v>2951</v>
      </c>
      <c r="G502" t="s">
        <v>44</v>
      </c>
      <c r="H502" s="13" t="str">
        <f>IFERROR(VLOOKUP(G502, Sheet2!$A:$B, 2, FALSE), A502)</f>
        <v>CHOW TAI FOOK JEWELLERY CO LTD</v>
      </c>
      <c r="I502" s="6" t="s">
        <v>352</v>
      </c>
      <c r="J502" s="100" t="s">
        <v>609</v>
      </c>
      <c r="K502" s="19" t="s">
        <v>3226</v>
      </c>
      <c r="L502" s="120" t="s">
        <v>3227</v>
      </c>
      <c r="M502" s="110" t="s">
        <v>3228</v>
      </c>
      <c r="N502" s="120"/>
      <c r="O502" s="142" t="s">
        <v>3229</v>
      </c>
      <c r="P502" s="120"/>
      <c r="Q502" s="4">
        <v>45290</v>
      </c>
      <c r="R502" s="8">
        <v>45321</v>
      </c>
      <c r="S502" s="8">
        <v>45290</v>
      </c>
      <c r="T502" t="s">
        <v>3230</v>
      </c>
      <c r="U502" s="141" t="s">
        <v>3231</v>
      </c>
      <c r="V502" s="141">
        <v>103725</v>
      </c>
      <c r="W502" s="8" t="s">
        <v>3232</v>
      </c>
      <c r="Y502" s="357" t="s">
        <v>3233</v>
      </c>
      <c r="Z502" t="s">
        <v>365</v>
      </c>
      <c r="AA502" s="4" t="s">
        <v>1079</v>
      </c>
      <c r="AB502" s="3" t="s">
        <v>944</v>
      </c>
      <c r="AC502" s="5" t="s">
        <v>945</v>
      </c>
      <c r="AD502" s="76" t="s">
        <v>3234</v>
      </c>
    </row>
    <row r="503" spans="1:30" ht="101.5">
      <c r="A503" s="5" t="s">
        <v>545</v>
      </c>
      <c r="B503" s="46" t="s">
        <v>933</v>
      </c>
      <c r="C503" s="3"/>
      <c r="D503" s="141" t="s">
        <v>3235</v>
      </c>
      <c r="E503" s="141" t="s">
        <v>3236</v>
      </c>
      <c r="F503" s="110" t="s">
        <v>3237</v>
      </c>
      <c r="G503" t="s">
        <v>210</v>
      </c>
      <c r="H503" s="13" t="str">
        <f>IFERROR(VLOOKUP(G503, Sheet2!$A:$B, 2, FALSE), A503)</f>
        <v>YUNG'S ENTERPRISE HOLDINGS LIMITED</v>
      </c>
      <c r="I503" s="6" t="s">
        <v>393</v>
      </c>
      <c r="J503" s="19"/>
      <c r="K503" s="19"/>
      <c r="L503" s="120"/>
      <c r="M503" s="348"/>
      <c r="N503" s="120"/>
      <c r="O503" s="142"/>
      <c r="P503" s="93" t="s">
        <v>3238</v>
      </c>
      <c r="Q503" s="8">
        <v>45313</v>
      </c>
      <c r="R503" s="8">
        <v>45321</v>
      </c>
      <c r="S503" s="8">
        <v>45422</v>
      </c>
      <c r="T503" t="s">
        <v>3239</v>
      </c>
      <c r="U503" s="141" t="s">
        <v>3240</v>
      </c>
      <c r="V503" s="141">
        <v>103719</v>
      </c>
      <c r="W503" s="4" t="s">
        <v>3241</v>
      </c>
      <c r="Y503" s="9" t="s">
        <v>3242</v>
      </c>
      <c r="Z503" t="s">
        <v>489</v>
      </c>
      <c r="AA503" s="8"/>
      <c r="AB503" s="3"/>
      <c r="AC503" s="5" t="s">
        <v>2784</v>
      </c>
      <c r="AD503" s="76" t="s">
        <v>3243</v>
      </c>
    </row>
    <row r="504" spans="1:30" ht="15">
      <c r="A504" s="5" t="s">
        <v>350</v>
      </c>
      <c r="B504" s="46" t="s">
        <v>933</v>
      </c>
      <c r="C504" s="3"/>
      <c r="D504" s="141" t="s">
        <v>930</v>
      </c>
      <c r="E504" s="141" t="s">
        <v>930</v>
      </c>
      <c r="F504" t="s">
        <v>930</v>
      </c>
      <c r="G504" t="s">
        <v>211</v>
      </c>
      <c r="H504" s="13" t="str">
        <f>IFERROR(VLOOKUP(G504, Sheet2!$A:$B, 2, FALSE), A504)</f>
        <v>CAM8</v>
      </c>
      <c r="I504" s="6" t="s">
        <v>393</v>
      </c>
      <c r="J504" s="19"/>
      <c r="K504" s="19"/>
      <c r="L504" s="120"/>
      <c r="M504" s="358" t="s">
        <v>3244</v>
      </c>
      <c r="N504" s="120"/>
      <c r="O504" s="142"/>
      <c r="P504" s="93"/>
      <c r="Q504" s="8">
        <v>45328</v>
      </c>
      <c r="R504" s="8">
        <v>45321</v>
      </c>
      <c r="S504" s="8">
        <v>45328</v>
      </c>
      <c r="T504" t="s">
        <v>3245</v>
      </c>
      <c r="U504" s="141" t="s">
        <v>3246</v>
      </c>
      <c r="V504" s="141" t="s">
        <v>3247</v>
      </c>
      <c r="W504" s="4" t="s">
        <v>3248</v>
      </c>
      <c r="Y504" s="7"/>
      <c r="Z504" t="s">
        <v>425</v>
      </c>
      <c r="AA504" s="4" t="s">
        <v>930</v>
      </c>
      <c r="AB504" s="3"/>
      <c r="AC504" s="5" t="s">
        <v>2784</v>
      </c>
      <c r="AD504" s="76" t="s">
        <v>3249</v>
      </c>
    </row>
    <row r="505" spans="1:30" ht="29">
      <c r="A505" s="323" t="s">
        <v>3250</v>
      </c>
      <c r="B505" s="46" t="s">
        <v>933</v>
      </c>
      <c r="C505" s="3"/>
      <c r="D505" s="141" t="s">
        <v>3251</v>
      </c>
      <c r="E505" s="141"/>
      <c r="F505" s="354" t="s">
        <v>3252</v>
      </c>
      <c r="G505" s="343" t="s">
        <v>175</v>
      </c>
      <c r="H505" s="13" t="str">
        <f>IFERROR(VLOOKUP(G505, Sheet2!$A:$B, 2, FALSE), A505)</f>
        <v>HOSPITAL AUTHORITY</v>
      </c>
      <c r="I505" s="359" t="s">
        <v>2836</v>
      </c>
      <c r="J505" s="344" t="s">
        <v>1663</v>
      </c>
      <c r="K505" s="344" t="s">
        <v>3253</v>
      </c>
      <c r="L505" s="360" t="s">
        <v>3254</v>
      </c>
      <c r="M505" s="361" t="s">
        <v>3255</v>
      </c>
      <c r="N505" s="360"/>
      <c r="O505" s="362" t="s">
        <v>3220</v>
      </c>
      <c r="P505" s="360" t="s">
        <v>3256</v>
      </c>
      <c r="Q505" s="319" t="s">
        <v>997</v>
      </c>
      <c r="R505" s="312"/>
      <c r="S505" s="312"/>
      <c r="T505" s="343" t="s">
        <v>3257</v>
      </c>
      <c r="U505" s="341" t="s">
        <v>3258</v>
      </c>
      <c r="V505" s="341">
        <v>103760</v>
      </c>
      <c r="W505" s="312"/>
      <c r="X505" s="343" t="s">
        <v>3259</v>
      </c>
      <c r="Y505" s="363" t="s">
        <v>3260</v>
      </c>
      <c r="Z505" s="343" t="s">
        <v>489</v>
      </c>
      <c r="AA505" s="312"/>
      <c r="AB505" s="3" t="s">
        <v>944</v>
      </c>
      <c r="AC505" s="311" t="s">
        <v>2680</v>
      </c>
      <c r="AD505" s="343"/>
    </row>
    <row r="506" spans="1:30" ht="15">
      <c r="A506" s="5" t="s">
        <v>350</v>
      </c>
      <c r="B506" s="46" t="s">
        <v>2773</v>
      </c>
      <c r="C506" s="3"/>
      <c r="D506" s="141" t="s">
        <v>3106</v>
      </c>
      <c r="E506" s="141">
        <v>21887178</v>
      </c>
      <c r="F506" t="s">
        <v>3261</v>
      </c>
      <c r="G506" t="s">
        <v>3262</v>
      </c>
      <c r="H506" s="13" t="str">
        <f>IFERROR(VLOOKUP(G506, Sheet2!$A:$B, 2, FALSE), A506)</f>
        <v>AIRPORT AUTHORITY</v>
      </c>
      <c r="I506" s="6" t="s">
        <v>352</v>
      </c>
      <c r="J506" s="19"/>
      <c r="K506" s="19" t="s">
        <v>3263</v>
      </c>
      <c r="L506" s="120" t="s">
        <v>3264</v>
      </c>
      <c r="M506" s="348"/>
      <c r="N506" s="120"/>
      <c r="O506" s="142"/>
      <c r="P506" s="120"/>
      <c r="Q506" s="8">
        <v>45336</v>
      </c>
      <c r="R506" s="8">
        <v>45336</v>
      </c>
      <c r="S506" s="8">
        <v>45281</v>
      </c>
      <c r="T506" t="s">
        <v>2948</v>
      </c>
      <c r="U506" s="141" t="s">
        <v>3265</v>
      </c>
      <c r="V506" s="141">
        <v>102322</v>
      </c>
      <c r="W506" s="4" t="s">
        <v>3266</v>
      </c>
      <c r="Y506" s="9" t="s">
        <v>3267</v>
      </c>
      <c r="Z506" t="s">
        <v>886</v>
      </c>
      <c r="AA506" s="4" t="s">
        <v>1079</v>
      </c>
      <c r="AB506" s="3" t="s">
        <v>944</v>
      </c>
      <c r="AC506" s="5" t="s">
        <v>945</v>
      </c>
      <c r="AD506" s="76" t="s">
        <v>3268</v>
      </c>
    </row>
    <row r="507" spans="1:30" ht="43.5">
      <c r="A507" s="5" t="s">
        <v>545</v>
      </c>
      <c r="B507" s="46"/>
      <c r="C507" s="3"/>
      <c r="D507" s="141" t="s">
        <v>3269</v>
      </c>
      <c r="E507" s="141">
        <v>27605809</v>
      </c>
      <c r="F507" t="s">
        <v>3270</v>
      </c>
      <c r="G507" t="s">
        <v>212</v>
      </c>
      <c r="H507" s="13" t="str">
        <f>IFERROR(VLOOKUP(G507, Sheet2!$A:$B, 2, FALSE), A507)</f>
        <v>CIVIL ENGINEERING AND DEVELOPMENT DEPT</v>
      </c>
      <c r="I507" s="6" t="s">
        <v>352</v>
      </c>
      <c r="J507" s="19"/>
      <c r="K507" s="19"/>
      <c r="L507" s="120"/>
      <c r="M507" s="348"/>
      <c r="N507" s="120"/>
      <c r="O507" s="142" t="s">
        <v>3271</v>
      </c>
      <c r="P507" s="120"/>
      <c r="Q507" s="8">
        <v>45352</v>
      </c>
      <c r="R507" s="8">
        <v>45336</v>
      </c>
      <c r="S507" s="8">
        <v>45408</v>
      </c>
      <c r="T507" t="s">
        <v>3272</v>
      </c>
      <c r="U507" s="141" t="s">
        <v>3273</v>
      </c>
      <c r="V507" s="141">
        <v>103738</v>
      </c>
      <c r="W507" s="8" t="s">
        <v>1484</v>
      </c>
      <c r="Y507" s="9" t="s">
        <v>3274</v>
      </c>
      <c r="Z507" t="s">
        <v>886</v>
      </c>
      <c r="AA507" s="8"/>
      <c r="AB507" s="3" t="s">
        <v>944</v>
      </c>
      <c r="AC507" s="5" t="s">
        <v>945</v>
      </c>
      <c r="AD507" s="76" t="s">
        <v>1486</v>
      </c>
    </row>
    <row r="508" spans="1:30" ht="29">
      <c r="A508" s="5" t="s">
        <v>350</v>
      </c>
      <c r="B508" s="46" t="s">
        <v>2773</v>
      </c>
      <c r="C508" s="3"/>
      <c r="D508" s="141" t="s">
        <v>2685</v>
      </c>
      <c r="E508" s="141">
        <v>26108769</v>
      </c>
      <c r="F508" t="s">
        <v>2951</v>
      </c>
      <c r="G508" t="s">
        <v>44</v>
      </c>
      <c r="H508" s="13" t="str">
        <f>IFERROR(VLOOKUP(G508, Sheet2!$A:$B, 2, FALSE), A508)</f>
        <v>CHOW TAI FOOK JEWELLERY CO LTD</v>
      </c>
      <c r="I508" s="6" t="s">
        <v>352</v>
      </c>
      <c r="J508" s="100" t="s">
        <v>609</v>
      </c>
      <c r="K508" s="19" t="s">
        <v>3275</v>
      </c>
      <c r="L508" s="120"/>
      <c r="M508" s="348"/>
      <c r="N508" s="120"/>
      <c r="O508" s="142" t="s">
        <v>3229</v>
      </c>
      <c r="P508" s="120"/>
      <c r="Q508" s="8">
        <v>45337</v>
      </c>
      <c r="R508" s="8">
        <v>45337</v>
      </c>
      <c r="S508" s="8">
        <v>45337</v>
      </c>
      <c r="T508" t="s">
        <v>3131</v>
      </c>
      <c r="U508" s="141" t="s">
        <v>3276</v>
      </c>
      <c r="V508" s="141">
        <v>103026</v>
      </c>
      <c r="W508" s="8" t="s">
        <v>3277</v>
      </c>
      <c r="Y508" s="9" t="s">
        <v>3278</v>
      </c>
      <c r="Z508" t="s">
        <v>886</v>
      </c>
      <c r="AA508" s="8"/>
      <c r="AB508" s="3" t="s">
        <v>944</v>
      </c>
      <c r="AC508" s="5" t="s">
        <v>945</v>
      </c>
      <c r="AD508" s="76" t="s">
        <v>3279</v>
      </c>
    </row>
    <row r="509" spans="1:30" ht="59">
      <c r="A509" s="5" t="s">
        <v>350</v>
      </c>
      <c r="B509" s="46" t="s">
        <v>933</v>
      </c>
      <c r="C509" s="3"/>
      <c r="D509" s="141" t="s">
        <v>3137</v>
      </c>
      <c r="E509" s="141">
        <v>26297941</v>
      </c>
      <c r="F509" t="s">
        <v>3280</v>
      </c>
      <c r="G509" t="s">
        <v>213</v>
      </c>
      <c r="H509" s="13" t="str">
        <f>IFERROR(VLOOKUP(G509, Sheet2!$A:$B, 2, FALSE), A509)</f>
        <v>HK-SHENZHEN INNOVATION &amp; TECH. PARK LTD</v>
      </c>
      <c r="I509" s="6" t="s">
        <v>393</v>
      </c>
      <c r="J509" s="364"/>
      <c r="K509" s="19" t="s">
        <v>3281</v>
      </c>
      <c r="L509" s="120" t="s">
        <v>217</v>
      </c>
      <c r="M509" s="348" t="s">
        <v>3140</v>
      </c>
      <c r="N509" s="120" t="s">
        <v>3282</v>
      </c>
      <c r="O509" s="142" t="s">
        <v>3283</v>
      </c>
      <c r="P509" s="120"/>
      <c r="Q509" s="8">
        <v>45344</v>
      </c>
      <c r="R509" s="8">
        <v>45337</v>
      </c>
      <c r="S509" s="8">
        <v>45344</v>
      </c>
      <c r="T509" t="s">
        <v>3144</v>
      </c>
      <c r="U509" s="141" t="s">
        <v>3284</v>
      </c>
      <c r="V509" s="141">
        <v>103742</v>
      </c>
      <c r="W509" s="4" t="s">
        <v>3285</v>
      </c>
      <c r="X509" t="s">
        <v>3147</v>
      </c>
      <c r="Y509" s="9" t="s">
        <v>3286</v>
      </c>
      <c r="Z509" t="s">
        <v>886</v>
      </c>
      <c r="AA509" s="8"/>
      <c r="AB509" s="5" t="s">
        <v>375</v>
      </c>
      <c r="AC509" s="5" t="s">
        <v>3016</v>
      </c>
      <c r="AD509" t="s">
        <v>3287</v>
      </c>
    </row>
    <row r="510" spans="1:30" ht="43.5">
      <c r="A510" s="311" t="s">
        <v>3150</v>
      </c>
      <c r="B510" s="46" t="s">
        <v>933</v>
      </c>
      <c r="C510" s="3"/>
      <c r="D510" s="141" t="s">
        <v>3288</v>
      </c>
      <c r="E510" s="141"/>
      <c r="F510" s="76" t="s">
        <v>3289</v>
      </c>
      <c r="G510" s="343" t="s">
        <v>176</v>
      </c>
      <c r="H510" s="13" t="str">
        <f>IFERROR(VLOOKUP(G510, Sheet2!$A:$B, 2, FALSE), A510)</f>
        <v>HOSPITAL AUTHORITY</v>
      </c>
      <c r="I510" s="359" t="s">
        <v>2836</v>
      </c>
      <c r="J510" s="344" t="s">
        <v>1663</v>
      </c>
      <c r="K510" s="344" t="s">
        <v>3290</v>
      </c>
      <c r="L510" s="360" t="s">
        <v>3291</v>
      </c>
      <c r="M510" s="343" t="s">
        <v>3289</v>
      </c>
      <c r="N510" s="360"/>
      <c r="O510" s="362" t="s">
        <v>3292</v>
      </c>
      <c r="P510" s="360"/>
      <c r="Q510" s="312" t="s">
        <v>997</v>
      </c>
      <c r="R510" s="312"/>
      <c r="S510" s="312"/>
      <c r="T510" s="343" t="s">
        <v>3293</v>
      </c>
      <c r="U510" s="341" t="s">
        <v>3294</v>
      </c>
      <c r="V510" s="341">
        <v>103759</v>
      </c>
      <c r="W510" s="312"/>
      <c r="X510" s="343" t="s">
        <v>3295</v>
      </c>
      <c r="Y510" s="317" t="s">
        <v>3296</v>
      </c>
      <c r="Z510" s="343" t="s">
        <v>886</v>
      </c>
      <c r="AA510" s="312"/>
      <c r="AB510" s="3" t="s">
        <v>944</v>
      </c>
      <c r="AC510" s="323" t="s">
        <v>3016</v>
      </c>
      <c r="AD510" s="343"/>
    </row>
    <row r="511" spans="1:30" ht="29">
      <c r="A511" s="3" t="s">
        <v>350</v>
      </c>
      <c r="B511" s="46" t="s">
        <v>933</v>
      </c>
      <c r="C511" s="3"/>
      <c r="D511" s="141" t="s">
        <v>3297</v>
      </c>
      <c r="E511" s="141">
        <v>67594210</v>
      </c>
      <c r="G511" t="s">
        <v>199</v>
      </c>
      <c r="H511" s="13" t="str">
        <f>IFERROR(VLOOKUP(G511, Sheet2!$A:$B, 2, FALSE), A511)</f>
        <v>New World Corporate Services Limited</v>
      </c>
      <c r="I511" s="6" t="s">
        <v>352</v>
      </c>
      <c r="J511" s="100">
        <v>759168424209</v>
      </c>
      <c r="K511" s="19" t="s">
        <v>3298</v>
      </c>
      <c r="L511" s="120" t="s">
        <v>3299</v>
      </c>
      <c r="M511" t="s">
        <v>3300</v>
      </c>
      <c r="N511" s="120"/>
      <c r="O511" s="142" t="s">
        <v>3301</v>
      </c>
      <c r="P511" s="120"/>
      <c r="Q511" s="8">
        <v>45344</v>
      </c>
      <c r="R511" s="8">
        <v>45338</v>
      </c>
      <c r="S511" s="8">
        <v>45351</v>
      </c>
      <c r="T511" t="s">
        <v>3302</v>
      </c>
      <c r="U511" s="141" t="s">
        <v>3303</v>
      </c>
      <c r="V511" s="141">
        <v>103745</v>
      </c>
      <c r="W511" s="8" t="s">
        <v>3304</v>
      </c>
      <c r="Y511" s="7"/>
      <c r="Z511" t="s">
        <v>365</v>
      </c>
      <c r="AA511" s="8"/>
      <c r="AB511" s="3" t="s">
        <v>944</v>
      </c>
      <c r="AC511" s="5" t="s">
        <v>945</v>
      </c>
      <c r="AD511" s="76" t="s">
        <v>3305</v>
      </c>
    </row>
    <row r="512" spans="1:30" ht="29">
      <c r="A512" s="3" t="s">
        <v>350</v>
      </c>
      <c r="B512" s="46" t="s">
        <v>933</v>
      </c>
      <c r="C512" s="3"/>
      <c r="D512" s="141" t="s">
        <v>3130</v>
      </c>
      <c r="E512" s="141">
        <v>67594210</v>
      </c>
      <c r="G512" t="s">
        <v>199</v>
      </c>
      <c r="H512" s="13" t="str">
        <f>IFERROR(VLOOKUP(G512, Sheet2!$A:$B, 2, FALSE), A512)</f>
        <v>New World Corporate Services Limited</v>
      </c>
      <c r="I512" s="6" t="s">
        <v>352</v>
      </c>
      <c r="J512" s="100">
        <v>759168424209</v>
      </c>
      <c r="K512" s="19" t="s">
        <v>3306</v>
      </c>
      <c r="L512" s="120" t="s">
        <v>3307</v>
      </c>
      <c r="M512" s="348" t="s">
        <v>3308</v>
      </c>
      <c r="N512" s="120"/>
      <c r="O512" s="142" t="s">
        <v>3309</v>
      </c>
      <c r="P512" s="120"/>
      <c r="Q512" s="8">
        <v>45344</v>
      </c>
      <c r="R512" s="8">
        <v>45338</v>
      </c>
      <c r="S512" s="8">
        <v>45351</v>
      </c>
      <c r="T512" t="s">
        <v>3310</v>
      </c>
      <c r="U512" s="141" t="s">
        <v>3311</v>
      </c>
      <c r="V512" s="141">
        <v>103744</v>
      </c>
      <c r="W512" s="8" t="s">
        <v>3304</v>
      </c>
      <c r="Y512" s="7"/>
      <c r="Z512" t="s">
        <v>365</v>
      </c>
      <c r="AA512" s="8"/>
      <c r="AB512" s="3" t="s">
        <v>944</v>
      </c>
      <c r="AC512" s="5" t="s">
        <v>945</v>
      </c>
      <c r="AD512" s="76" t="s">
        <v>3305</v>
      </c>
    </row>
    <row r="513" spans="1:30" ht="29">
      <c r="A513" s="5" t="s">
        <v>350</v>
      </c>
      <c r="B513" s="46" t="s">
        <v>933</v>
      </c>
      <c r="C513" s="3"/>
      <c r="D513" s="141" t="s">
        <v>3130</v>
      </c>
      <c r="E513" s="141">
        <v>67594210</v>
      </c>
      <c r="G513" t="s">
        <v>199</v>
      </c>
      <c r="H513" s="13" t="str">
        <f>IFERROR(VLOOKUP(G513, Sheet2!$A:$B, 2, FALSE), A513)</f>
        <v>New World Corporate Services Limited</v>
      </c>
      <c r="I513" s="6" t="s">
        <v>352</v>
      </c>
      <c r="J513" s="100">
        <v>759168424209</v>
      </c>
      <c r="K513" s="19">
        <v>31048395236</v>
      </c>
      <c r="L513" s="120" t="s">
        <v>3312</v>
      </c>
      <c r="M513" s="348" t="s">
        <v>3313</v>
      </c>
      <c r="N513" s="120"/>
      <c r="O513" s="142" t="s">
        <v>3301</v>
      </c>
      <c r="P513" s="120"/>
      <c r="Q513" s="8">
        <v>45344</v>
      </c>
      <c r="R513" s="8">
        <v>45338</v>
      </c>
      <c r="S513" s="8">
        <v>45351</v>
      </c>
      <c r="T513" t="s">
        <v>3314</v>
      </c>
      <c r="U513" s="141" t="s">
        <v>3315</v>
      </c>
      <c r="V513" s="141">
        <v>103743</v>
      </c>
      <c r="W513" s="8" t="s">
        <v>3304</v>
      </c>
      <c r="Y513" s="7"/>
      <c r="Z513" t="s">
        <v>365</v>
      </c>
      <c r="AA513" s="8"/>
      <c r="AB513" s="3" t="s">
        <v>944</v>
      </c>
      <c r="AC513" s="5" t="s">
        <v>945</v>
      </c>
      <c r="AD513" s="76" t="s">
        <v>3305</v>
      </c>
    </row>
    <row r="514" spans="1:30" ht="15">
      <c r="A514" s="5" t="s">
        <v>350</v>
      </c>
      <c r="B514" s="46"/>
      <c r="C514" s="3"/>
      <c r="D514" s="141" t="s">
        <v>3316</v>
      </c>
      <c r="E514" s="141" t="s">
        <v>3317</v>
      </c>
      <c r="G514" t="s">
        <v>214</v>
      </c>
      <c r="H514" s="13" t="str">
        <f>IFERROR(VLOOKUP(G514, Sheet2!$A:$B, 2, FALSE), A514)</f>
        <v>TRICOR SERVICES LTD</v>
      </c>
      <c r="I514" s="6" t="s">
        <v>352</v>
      </c>
      <c r="J514" s="19"/>
      <c r="K514" s="19"/>
      <c r="L514" s="120"/>
      <c r="M514" s="348"/>
      <c r="N514" s="120"/>
      <c r="O514" s="142"/>
      <c r="P514" s="120"/>
      <c r="Q514" s="8">
        <v>45204</v>
      </c>
      <c r="R514" s="8">
        <v>45205</v>
      </c>
      <c r="S514" s="8">
        <v>45351</v>
      </c>
      <c r="T514" t="s">
        <v>3318</v>
      </c>
      <c r="U514" s="141"/>
      <c r="V514" s="141"/>
      <c r="W514" s="8"/>
      <c r="Y514" s="7"/>
      <c r="Z514" t="s">
        <v>425</v>
      </c>
      <c r="AA514" s="8"/>
      <c r="AB514" s="3"/>
      <c r="AC514" s="3"/>
      <c r="AD514" s="76" t="s">
        <v>3319</v>
      </c>
    </row>
    <row r="515" spans="1:30" ht="43.5">
      <c r="A515" s="311" t="s">
        <v>3150</v>
      </c>
      <c r="B515" s="46" t="s">
        <v>933</v>
      </c>
      <c r="C515" s="3"/>
      <c r="D515" s="141" t="s">
        <v>3320</v>
      </c>
      <c r="E515" s="141"/>
      <c r="F515" s="110" t="s">
        <v>3321</v>
      </c>
      <c r="G515" s="343" t="s">
        <v>176</v>
      </c>
      <c r="H515" s="13" t="str">
        <f>IFERROR(VLOOKUP(G515, Sheet2!$A:$B, 2, FALSE), A515)</f>
        <v>HOSPITAL AUTHORITY</v>
      </c>
      <c r="I515" s="359" t="s">
        <v>2836</v>
      </c>
      <c r="J515" s="344" t="s">
        <v>1663</v>
      </c>
      <c r="K515" s="344" t="s">
        <v>3322</v>
      </c>
      <c r="L515" s="360" t="s">
        <v>3323</v>
      </c>
      <c r="M515" s="365" t="s">
        <v>3324</v>
      </c>
      <c r="N515" s="360"/>
      <c r="O515" s="362" t="s">
        <v>3325</v>
      </c>
      <c r="P515" s="360"/>
      <c r="Q515" s="319" t="s">
        <v>997</v>
      </c>
      <c r="R515" s="312">
        <v>45393</v>
      </c>
      <c r="S515" s="312"/>
      <c r="T515" s="343" t="s">
        <v>3326</v>
      </c>
      <c r="U515" s="341" t="s">
        <v>3327</v>
      </c>
      <c r="V515" s="341">
        <v>103758</v>
      </c>
      <c r="W515" s="319"/>
      <c r="X515" s="343" t="s">
        <v>3328</v>
      </c>
      <c r="Y515" s="363" t="s">
        <v>3329</v>
      </c>
      <c r="Z515" s="343" t="s">
        <v>489</v>
      </c>
      <c r="AA515" s="312"/>
      <c r="AB515" s="3" t="s">
        <v>944</v>
      </c>
      <c r="AC515" s="323" t="s">
        <v>2680</v>
      </c>
      <c r="AD515" s="343"/>
    </row>
    <row r="516" spans="1:30" ht="29">
      <c r="A516" s="5" t="s">
        <v>350</v>
      </c>
      <c r="B516" s="46"/>
      <c r="C516" s="5"/>
      <c r="D516" s="141" t="s">
        <v>3297</v>
      </c>
      <c r="E516" s="141">
        <v>67594210</v>
      </c>
      <c r="F516" s="110" t="s">
        <v>3330</v>
      </c>
      <c r="G516" t="s">
        <v>2888</v>
      </c>
      <c r="H516" s="13" t="str">
        <f>IFERROR(VLOOKUP(G516, Sheet2!$A:$B, 2, FALSE), A516)</f>
        <v>New World Corporate Services Limited</v>
      </c>
      <c r="I516" s="6" t="s">
        <v>352</v>
      </c>
      <c r="J516" s="100">
        <v>759168424209</v>
      </c>
      <c r="K516" s="134" t="s">
        <v>3331</v>
      </c>
      <c r="L516" s="120" t="s">
        <v>3332</v>
      </c>
      <c r="M516" s="358" t="s">
        <v>3333</v>
      </c>
      <c r="N516" s="120"/>
      <c r="O516" s="142" t="s">
        <v>3301</v>
      </c>
      <c r="P516" s="120"/>
      <c r="Q516" s="4">
        <v>45349</v>
      </c>
      <c r="R516" s="4">
        <v>45344</v>
      </c>
      <c r="S516" s="4">
        <v>45349</v>
      </c>
      <c r="T516" t="s">
        <v>3334</v>
      </c>
      <c r="U516" s="141" t="s">
        <v>3335</v>
      </c>
      <c r="V516" s="141">
        <v>103748</v>
      </c>
      <c r="W516" s="4" t="s">
        <v>3336</v>
      </c>
      <c r="Y516" s="9" t="s">
        <v>3337</v>
      </c>
      <c r="Z516" t="s">
        <v>425</v>
      </c>
      <c r="AA516" s="4"/>
      <c r="AB516" s="3" t="s">
        <v>944</v>
      </c>
      <c r="AC516" s="5"/>
      <c r="AD516" s="76" t="s">
        <v>3338</v>
      </c>
    </row>
    <row r="517" spans="1:30" ht="29">
      <c r="A517" s="5" t="s">
        <v>350</v>
      </c>
      <c r="B517" s="46" t="s">
        <v>933</v>
      </c>
      <c r="C517" s="3"/>
      <c r="D517" s="141" t="s">
        <v>3297</v>
      </c>
      <c r="E517" s="141">
        <v>67594210</v>
      </c>
      <c r="F517" s="76" t="s">
        <v>3330</v>
      </c>
      <c r="G517" t="s">
        <v>2888</v>
      </c>
      <c r="H517" s="13" t="str">
        <f>IFERROR(VLOOKUP(G517, Sheet2!$A:$B, 2, FALSE), A517)</f>
        <v>New World Corporate Services Limited</v>
      </c>
      <c r="I517" s="6" t="s">
        <v>352</v>
      </c>
      <c r="J517" s="100">
        <v>759168424209</v>
      </c>
      <c r="K517" s="19" t="s">
        <v>3339</v>
      </c>
      <c r="L517" s="366" t="s">
        <v>3340</v>
      </c>
      <c r="M517" s="367" t="s">
        <v>3341</v>
      </c>
      <c r="N517" s="120"/>
      <c r="O517" s="142" t="s">
        <v>3301</v>
      </c>
      <c r="P517" s="120"/>
      <c r="Q517" s="8">
        <v>45358</v>
      </c>
      <c r="R517" s="8">
        <v>45351</v>
      </c>
      <c r="S517" s="8">
        <v>45358</v>
      </c>
      <c r="T517" t="s">
        <v>3342</v>
      </c>
      <c r="U517" s="141" t="s">
        <v>3343</v>
      </c>
      <c r="V517" s="141">
        <v>103754</v>
      </c>
      <c r="W517" s="4" t="s">
        <v>3344</v>
      </c>
      <c r="Y517" s="7"/>
      <c r="Z517" t="s">
        <v>425</v>
      </c>
      <c r="AA517" s="8"/>
      <c r="AB517" s="3" t="s">
        <v>944</v>
      </c>
      <c r="AC517" s="5" t="s">
        <v>2784</v>
      </c>
      <c r="AD517" s="76" t="s">
        <v>3345</v>
      </c>
    </row>
    <row r="518" spans="1:30" ht="29">
      <c r="A518" s="5" t="s">
        <v>350</v>
      </c>
      <c r="B518" s="46" t="s">
        <v>933</v>
      </c>
      <c r="C518" s="3"/>
      <c r="D518" s="141" t="s">
        <v>3297</v>
      </c>
      <c r="E518" s="141">
        <v>67594210</v>
      </c>
      <c r="F518" s="76" t="s">
        <v>3330</v>
      </c>
      <c r="G518" t="s">
        <v>2888</v>
      </c>
      <c r="H518" s="13" t="str">
        <f>IFERROR(VLOOKUP(G518, Sheet2!$A:$B, 2, FALSE), A518)</f>
        <v>New World Corporate Services Limited</v>
      </c>
      <c r="I518" s="6" t="s">
        <v>352</v>
      </c>
      <c r="J518" s="100">
        <v>759168424209</v>
      </c>
      <c r="K518" s="19" t="s">
        <v>3346</v>
      </c>
      <c r="L518" s="366" t="s">
        <v>3347</v>
      </c>
      <c r="M518" s="367" t="s">
        <v>3348</v>
      </c>
      <c r="N518" s="120"/>
      <c r="O518" s="142" t="s">
        <v>3301</v>
      </c>
      <c r="P518" s="120"/>
      <c r="Q518" s="8">
        <v>45358</v>
      </c>
      <c r="R518" s="8">
        <v>45351</v>
      </c>
      <c r="S518" s="4">
        <v>45358</v>
      </c>
      <c r="T518" t="s">
        <v>3349</v>
      </c>
      <c r="U518" s="141" t="s">
        <v>3350</v>
      </c>
      <c r="V518" s="141">
        <v>103755</v>
      </c>
      <c r="W518" s="4" t="s">
        <v>3344</v>
      </c>
      <c r="Y518" s="7"/>
      <c r="Z518" t="s">
        <v>425</v>
      </c>
      <c r="AA518" s="8"/>
      <c r="AB518" s="3" t="s">
        <v>944</v>
      </c>
      <c r="AC518" s="5" t="s">
        <v>2784</v>
      </c>
      <c r="AD518" s="76" t="s">
        <v>3345</v>
      </c>
    </row>
    <row r="519" spans="1:30" ht="29">
      <c r="A519" s="5" t="s">
        <v>350</v>
      </c>
      <c r="B519" s="46" t="s">
        <v>933</v>
      </c>
      <c r="C519" s="3"/>
      <c r="D519" s="141" t="s">
        <v>3297</v>
      </c>
      <c r="E519" s="141">
        <v>67594210</v>
      </c>
      <c r="F519" s="76" t="s">
        <v>3330</v>
      </c>
      <c r="G519" t="s">
        <v>2888</v>
      </c>
      <c r="H519" s="13" t="str">
        <f>IFERROR(VLOOKUP(G519, Sheet2!$A:$B, 2, FALSE), A519)</f>
        <v>New World Corporate Services Limited</v>
      </c>
      <c r="I519" s="6" t="s">
        <v>352</v>
      </c>
      <c r="J519" s="100">
        <v>759168424209</v>
      </c>
      <c r="K519" s="19" t="s">
        <v>3351</v>
      </c>
      <c r="L519" s="120" t="s">
        <v>3352</v>
      </c>
      <c r="M519" s="367" t="s">
        <v>3353</v>
      </c>
      <c r="N519" s="120"/>
      <c r="O519" s="142" t="s">
        <v>3301</v>
      </c>
      <c r="P519" s="120"/>
      <c r="Q519" s="8">
        <v>45358</v>
      </c>
      <c r="R519" s="8">
        <v>45351</v>
      </c>
      <c r="S519" s="4">
        <v>45358</v>
      </c>
      <c r="T519" t="s">
        <v>3354</v>
      </c>
      <c r="U519" s="141" t="s">
        <v>3350</v>
      </c>
      <c r="V519" s="141">
        <v>103753</v>
      </c>
      <c r="W519" s="4" t="s">
        <v>3344</v>
      </c>
      <c r="Y519" s="7"/>
      <c r="Z519" t="s">
        <v>425</v>
      </c>
      <c r="AA519" s="8"/>
      <c r="AB519" s="3" t="s">
        <v>944</v>
      </c>
      <c r="AC519" s="5" t="s">
        <v>2784</v>
      </c>
      <c r="AD519" s="76" t="s">
        <v>3345</v>
      </c>
    </row>
    <row r="520" spans="1:30" ht="29">
      <c r="A520" s="5" t="s">
        <v>350</v>
      </c>
      <c r="B520" s="46" t="s">
        <v>933</v>
      </c>
      <c r="C520" s="3"/>
      <c r="D520" s="141" t="s">
        <v>3297</v>
      </c>
      <c r="E520" s="141">
        <v>67594210</v>
      </c>
      <c r="F520" s="76" t="s">
        <v>3330</v>
      </c>
      <c r="G520" t="s">
        <v>2888</v>
      </c>
      <c r="H520" s="13" t="str">
        <f>IFERROR(VLOOKUP(G520, Sheet2!$A:$B, 2, FALSE), A520)</f>
        <v>New World Corporate Services Limited</v>
      </c>
      <c r="I520" s="6" t="s">
        <v>352</v>
      </c>
      <c r="J520" s="100">
        <v>759168424209</v>
      </c>
      <c r="K520" s="19" t="s">
        <v>3355</v>
      </c>
      <c r="L520" s="366" t="s">
        <v>3347</v>
      </c>
      <c r="M520" s="367" t="s">
        <v>3348</v>
      </c>
      <c r="N520" s="120"/>
      <c r="O520" s="142" t="s">
        <v>3301</v>
      </c>
      <c r="P520" s="120"/>
      <c r="Q520" s="8">
        <v>45358</v>
      </c>
      <c r="R520" s="8">
        <v>45351</v>
      </c>
      <c r="S520" s="4">
        <v>45358</v>
      </c>
      <c r="T520" t="s">
        <v>3356</v>
      </c>
      <c r="U520" s="141" t="s">
        <v>3350</v>
      </c>
      <c r="V520" s="141">
        <v>103752</v>
      </c>
      <c r="W520" s="4" t="s">
        <v>3344</v>
      </c>
      <c r="Y520" s="7"/>
      <c r="Z520" t="s">
        <v>425</v>
      </c>
      <c r="AA520" s="8"/>
      <c r="AB520" s="3" t="s">
        <v>944</v>
      </c>
      <c r="AC520" s="5" t="s">
        <v>2784</v>
      </c>
      <c r="AD520" s="76" t="s">
        <v>3345</v>
      </c>
    </row>
    <row r="521" spans="1:30" ht="29">
      <c r="A521" s="5" t="s">
        <v>350</v>
      </c>
      <c r="B521" s="46" t="s">
        <v>933</v>
      </c>
      <c r="C521" s="3"/>
      <c r="D521" s="141" t="s">
        <v>3297</v>
      </c>
      <c r="E521" s="141">
        <v>67594210</v>
      </c>
      <c r="F521" s="76" t="s">
        <v>3330</v>
      </c>
      <c r="G521" t="s">
        <v>2888</v>
      </c>
      <c r="H521" s="13" t="str">
        <f>IFERROR(VLOOKUP(G521, Sheet2!$A:$B, 2, FALSE), A521)</f>
        <v>New World Corporate Services Limited</v>
      </c>
      <c r="I521" s="6" t="s">
        <v>352</v>
      </c>
      <c r="J521" s="97"/>
      <c r="K521" s="19" t="s">
        <v>3357</v>
      </c>
      <c r="L521" s="99" t="s">
        <v>3358</v>
      </c>
      <c r="M521" s="367" t="s">
        <v>3359</v>
      </c>
      <c r="N521" s="120"/>
      <c r="O521" s="142" t="s">
        <v>3301</v>
      </c>
      <c r="P521" s="120"/>
      <c r="Q521" s="8">
        <v>45358</v>
      </c>
      <c r="R521" s="8">
        <v>45351</v>
      </c>
      <c r="S521" s="4">
        <v>45358</v>
      </c>
      <c r="T521" t="s">
        <v>3360</v>
      </c>
      <c r="U521" s="141" t="s">
        <v>3350</v>
      </c>
      <c r="V521" s="141">
        <v>103751</v>
      </c>
      <c r="W521" s="4" t="s">
        <v>3344</v>
      </c>
      <c r="Y521" s="7"/>
      <c r="Z521" t="s">
        <v>425</v>
      </c>
      <c r="AA521" s="8"/>
      <c r="AB521" s="3" t="s">
        <v>944</v>
      </c>
      <c r="AC521" s="5" t="s">
        <v>2784</v>
      </c>
      <c r="AD521" s="76" t="s">
        <v>3345</v>
      </c>
    </row>
    <row r="522" spans="1:30" ht="30.5">
      <c r="A522" s="5" t="s">
        <v>3250</v>
      </c>
      <c r="B522" s="46"/>
      <c r="C522" s="5"/>
      <c r="D522" s="141"/>
      <c r="E522" s="141"/>
      <c r="F522" s="76"/>
      <c r="G522" t="s">
        <v>176</v>
      </c>
      <c r="H522" s="13" t="str">
        <f>IFERROR(VLOOKUP(G522, Sheet2!$A:$B, 2, FALSE), A522)</f>
        <v>HOSPITAL AUTHORITY</v>
      </c>
      <c r="I522" s="6" t="s">
        <v>352</v>
      </c>
      <c r="J522" s="19">
        <v>524889937358</v>
      </c>
      <c r="K522" s="19" t="s">
        <v>3361</v>
      </c>
      <c r="L522" s="120"/>
      <c r="M522" s="15" t="s">
        <v>3362</v>
      </c>
      <c r="N522" s="120"/>
      <c r="O522" s="142" t="s">
        <v>3363</v>
      </c>
      <c r="P522" s="120"/>
      <c r="Q522" s="4"/>
      <c r="R522" s="4"/>
      <c r="S522" s="4"/>
      <c r="U522" s="120" t="s">
        <v>3364</v>
      </c>
      <c r="V522" s="141"/>
      <c r="W522" s="4"/>
      <c r="Y522" s="144" t="s">
        <v>3002</v>
      </c>
      <c r="AA522" s="4" t="s">
        <v>1072</v>
      </c>
      <c r="AB522" s="5"/>
      <c r="AC522" s="5"/>
      <c r="AD522" s="76"/>
    </row>
    <row r="523" spans="1:30" ht="29">
      <c r="A523" s="311" t="s">
        <v>3250</v>
      </c>
      <c r="B523" s="46"/>
      <c r="C523" s="3"/>
      <c r="D523" s="141"/>
      <c r="E523" s="141"/>
      <c r="G523" s="343" t="s">
        <v>176</v>
      </c>
      <c r="H523" s="13" t="str">
        <f>IFERROR(VLOOKUP(G523, Sheet2!$A:$B, 2, FALSE), A523)</f>
        <v>HOSPITAL AUTHORITY</v>
      </c>
      <c r="I523" s="359" t="s">
        <v>3365</v>
      </c>
      <c r="J523" s="344">
        <v>524889937358</v>
      </c>
      <c r="K523" s="344">
        <v>58264208635</v>
      </c>
      <c r="L523" s="360" t="s">
        <v>3366</v>
      </c>
      <c r="M523" s="365" t="s">
        <v>3367</v>
      </c>
      <c r="N523" s="360"/>
      <c r="O523" s="362" t="s">
        <v>3368</v>
      </c>
      <c r="P523" s="360"/>
      <c r="Q523" s="312"/>
      <c r="R523" s="312"/>
      <c r="S523" s="312"/>
      <c r="T523" s="343" t="s">
        <v>3369</v>
      </c>
      <c r="U523" s="341" t="s">
        <v>3370</v>
      </c>
      <c r="V523" s="341">
        <v>103762</v>
      </c>
      <c r="W523" s="312"/>
      <c r="X523" s="343"/>
      <c r="Y523" s="317"/>
      <c r="Z523" s="343"/>
      <c r="AA523" s="312"/>
      <c r="AB523" s="311"/>
      <c r="AC523" s="311"/>
      <c r="AD523" s="343"/>
    </row>
    <row r="524" spans="1:30" ht="15">
      <c r="A524" s="3" t="s">
        <v>3250</v>
      </c>
      <c r="B524" s="46"/>
      <c r="C524" s="3"/>
      <c r="D524" s="141"/>
      <c r="E524" s="141"/>
      <c r="G524" s="343" t="s">
        <v>176</v>
      </c>
      <c r="H524" s="13" t="str">
        <f>IFERROR(VLOOKUP(G524, Sheet2!$A:$B, 2, FALSE), A524)</f>
        <v>HOSPITAL AUTHORITY</v>
      </c>
      <c r="I524" s="6" t="s">
        <v>393</v>
      </c>
      <c r="J524" s="109" t="s">
        <v>1570</v>
      </c>
      <c r="K524" s="19" t="s">
        <v>3371</v>
      </c>
      <c r="L524" s="6" t="s">
        <v>3371</v>
      </c>
      <c r="M524" s="348"/>
      <c r="N524" s="120"/>
      <c r="O524" s="142"/>
      <c r="P524" s="120"/>
      <c r="Q524" s="8"/>
      <c r="R524" s="8"/>
      <c r="S524" s="8"/>
      <c r="T524" t="s">
        <v>3372</v>
      </c>
      <c r="U524" s="141" t="s">
        <v>3373</v>
      </c>
      <c r="V524" s="141">
        <v>103764</v>
      </c>
      <c r="W524" s="8"/>
      <c r="Y524" s="7"/>
      <c r="Z524" t="s">
        <v>365</v>
      </c>
      <c r="AA524" s="8"/>
      <c r="AB524" s="3"/>
      <c r="AC524" s="5" t="s">
        <v>945</v>
      </c>
    </row>
    <row r="525" spans="1:30" ht="15">
      <c r="A525" s="3"/>
      <c r="B525" s="46"/>
      <c r="C525" s="3"/>
      <c r="D525" s="141"/>
      <c r="E525" s="141"/>
      <c r="G525" s="343" t="s">
        <v>176</v>
      </c>
      <c r="H525" s="13" t="str">
        <f>IFERROR(VLOOKUP(G525, Sheet2!$A:$B, 2, FALSE), A525)</f>
        <v>HOSPITAL AUTHORITY</v>
      </c>
      <c r="I525" s="6" t="s">
        <v>393</v>
      </c>
      <c r="J525" s="109" t="s">
        <v>1570</v>
      </c>
      <c r="K525" s="19" t="s">
        <v>3374</v>
      </c>
      <c r="L525" s="6" t="s">
        <v>2969</v>
      </c>
      <c r="M525" s="348"/>
      <c r="N525" s="120"/>
      <c r="O525" s="142"/>
      <c r="P525" s="120"/>
      <c r="Q525" s="8"/>
      <c r="R525" s="8"/>
      <c r="S525" s="8"/>
      <c r="T525" t="s">
        <v>3227</v>
      </c>
      <c r="U525" s="141" t="s">
        <v>3375</v>
      </c>
      <c r="V525" s="141">
        <v>103763</v>
      </c>
      <c r="W525" s="8"/>
      <c r="Y525" s="7"/>
      <c r="Z525" t="s">
        <v>365</v>
      </c>
      <c r="AA525" s="8"/>
      <c r="AB525" s="3"/>
      <c r="AC525" s="5" t="s">
        <v>945</v>
      </c>
    </row>
    <row r="526" spans="1:30" ht="29">
      <c r="A526" s="5" t="s">
        <v>545</v>
      </c>
      <c r="B526" s="46" t="s">
        <v>933</v>
      </c>
      <c r="C526" s="5"/>
      <c r="D526" s="141"/>
      <c r="E526" s="141"/>
      <c r="G526" t="s">
        <v>176</v>
      </c>
      <c r="H526" s="13" t="str">
        <f>IFERROR(VLOOKUP(G526, Sheet2!$A:$B, 2, FALSE), A526)</f>
        <v>HOSPITAL AUTHORITY</v>
      </c>
      <c r="I526" s="6" t="s">
        <v>352</v>
      </c>
      <c r="J526" s="19" t="s">
        <v>1663</v>
      </c>
      <c r="K526" s="19" t="s">
        <v>3376</v>
      </c>
      <c r="L526" s="6" t="s">
        <v>3377</v>
      </c>
      <c r="M526" s="358" t="s">
        <v>3378</v>
      </c>
      <c r="N526" s="120"/>
      <c r="O526" s="142" t="s">
        <v>3379</v>
      </c>
      <c r="P526" s="120" t="s">
        <v>3380</v>
      </c>
      <c r="Q526" s="8">
        <v>45323</v>
      </c>
      <c r="R526" s="4">
        <v>45363</v>
      </c>
      <c r="S526" s="8">
        <v>45364</v>
      </c>
      <c r="T526" t="s">
        <v>3381</v>
      </c>
      <c r="U526" s="141" t="s">
        <v>3382</v>
      </c>
      <c r="V526" s="141">
        <v>103772</v>
      </c>
      <c r="W526" s="8" t="s">
        <v>3383</v>
      </c>
      <c r="Y526" s="9" t="s">
        <v>3384</v>
      </c>
      <c r="Z526" t="s">
        <v>425</v>
      </c>
      <c r="AA526" s="8" t="s">
        <v>1072</v>
      </c>
      <c r="AB526" s="3" t="s">
        <v>944</v>
      </c>
      <c r="AC526" s="5" t="s">
        <v>945</v>
      </c>
      <c r="AD526" s="368" t="s">
        <v>3385</v>
      </c>
    </row>
    <row r="527" spans="1:30" ht="29">
      <c r="A527" s="5" t="s">
        <v>545</v>
      </c>
      <c r="B527" s="46" t="s">
        <v>933</v>
      </c>
      <c r="C527" s="5"/>
      <c r="D527" s="141"/>
      <c r="E527" s="141"/>
      <c r="G527" t="s">
        <v>175</v>
      </c>
      <c r="H527" s="13" t="str">
        <f>IFERROR(VLOOKUP(G527, Sheet2!$A:$B, 2, FALSE), A527)</f>
        <v>HOSPITAL AUTHORITY</v>
      </c>
      <c r="I527" s="6" t="s">
        <v>352</v>
      </c>
      <c r="J527" s="19" t="s">
        <v>1663</v>
      </c>
      <c r="K527" s="19" t="s">
        <v>3386</v>
      </c>
      <c r="L527" s="6" t="s">
        <v>3387</v>
      </c>
      <c r="M527" s="358" t="s">
        <v>3388</v>
      </c>
      <c r="N527" s="120"/>
      <c r="O527" s="142" t="s">
        <v>3379</v>
      </c>
      <c r="P527" s="120" t="s">
        <v>3389</v>
      </c>
      <c r="Q527" s="8">
        <v>45323</v>
      </c>
      <c r="R527" s="4">
        <v>45363</v>
      </c>
      <c r="S527" s="8">
        <v>45364</v>
      </c>
      <c r="T527" t="s">
        <v>3390</v>
      </c>
      <c r="U527" s="141" t="s">
        <v>3391</v>
      </c>
      <c r="V527" s="141">
        <v>103771</v>
      </c>
      <c r="W527" s="8" t="s">
        <v>3383</v>
      </c>
      <c r="Y527" s="9" t="s">
        <v>3384</v>
      </c>
      <c r="Z527" t="s">
        <v>425</v>
      </c>
      <c r="AA527" s="8" t="s">
        <v>1072</v>
      </c>
      <c r="AB527" s="3" t="s">
        <v>944</v>
      </c>
      <c r="AC527" s="5" t="s">
        <v>945</v>
      </c>
      <c r="AD527" s="368" t="s">
        <v>3385</v>
      </c>
    </row>
    <row r="528" spans="1:30" ht="43.5">
      <c r="A528" s="5" t="s">
        <v>545</v>
      </c>
      <c r="B528" s="46" t="s">
        <v>933</v>
      </c>
      <c r="C528" s="3"/>
      <c r="D528" s="141"/>
      <c r="E528" s="141"/>
      <c r="G528" t="s">
        <v>176</v>
      </c>
      <c r="H528" s="13" t="str">
        <f>IFERROR(VLOOKUP(G528, Sheet2!$A:$B, 2, FALSE), A528)</f>
        <v>HOSPITAL AUTHORITY</v>
      </c>
      <c r="I528" s="6" t="s">
        <v>352</v>
      </c>
      <c r="J528" s="19">
        <v>524889937358</v>
      </c>
      <c r="K528" s="19" t="s">
        <v>3392</v>
      </c>
      <c r="L528" s="6" t="s">
        <v>3393</v>
      </c>
      <c r="M528" s="369" t="s">
        <v>3394</v>
      </c>
      <c r="N528" s="120"/>
      <c r="O528" s="142" t="s">
        <v>3395</v>
      </c>
      <c r="P528" s="120" t="s">
        <v>3396</v>
      </c>
      <c r="Q528" s="4">
        <v>45323</v>
      </c>
      <c r="R528" s="8">
        <v>45363</v>
      </c>
      <c r="S528" s="8">
        <v>45364</v>
      </c>
      <c r="T528" t="s">
        <v>3397</v>
      </c>
      <c r="U528" s="141" t="s">
        <v>3398</v>
      </c>
      <c r="V528" s="141">
        <v>103770</v>
      </c>
      <c r="W528" s="8" t="s">
        <v>3383</v>
      </c>
      <c r="Y528" s="9" t="s">
        <v>3384</v>
      </c>
      <c r="Z528" t="s">
        <v>425</v>
      </c>
      <c r="AA528" s="8" t="s">
        <v>1072</v>
      </c>
      <c r="AB528" s="3" t="s">
        <v>944</v>
      </c>
      <c r="AC528" s="3" t="s">
        <v>945</v>
      </c>
      <c r="AD528" s="368" t="s">
        <v>3385</v>
      </c>
    </row>
    <row r="529" spans="1:30" ht="29">
      <c r="A529" s="5" t="s">
        <v>545</v>
      </c>
      <c r="B529" s="46" t="s">
        <v>933</v>
      </c>
      <c r="C529" s="3"/>
      <c r="D529" s="8" t="s">
        <v>2650</v>
      </c>
      <c r="E529" s="6" t="s">
        <v>2428</v>
      </c>
      <c r="F529" t="s">
        <v>2951</v>
      </c>
      <c r="G529" t="s">
        <v>44</v>
      </c>
      <c r="H529" s="13" t="str">
        <f>IFERROR(VLOOKUP(G529, Sheet2!$A:$B, 2, FALSE), A529)</f>
        <v>CHOW TAI FOOK JEWELLERY CO LTD</v>
      </c>
      <c r="I529" s="6" t="s">
        <v>352</v>
      </c>
      <c r="J529" s="100">
        <v>726125834629</v>
      </c>
      <c r="K529" s="19" t="s">
        <v>3399</v>
      </c>
      <c r="L529" s="120" t="s">
        <v>3400</v>
      </c>
      <c r="M529" s="348"/>
      <c r="N529" s="120"/>
      <c r="O529" s="142" t="s">
        <v>3229</v>
      </c>
      <c r="P529" s="120"/>
      <c r="Q529" s="8">
        <v>45351</v>
      </c>
      <c r="R529" s="8">
        <v>45370</v>
      </c>
      <c r="S529" s="8">
        <v>45351</v>
      </c>
      <c r="T529" t="s">
        <v>3401</v>
      </c>
      <c r="U529" s="141" t="s">
        <v>3402</v>
      </c>
      <c r="V529" s="141">
        <v>103775</v>
      </c>
      <c r="W529" s="8" t="s">
        <v>3403</v>
      </c>
      <c r="Y529" s="7"/>
      <c r="Z529" t="s">
        <v>365</v>
      </c>
      <c r="AA529" s="8"/>
      <c r="AB529" s="3" t="s">
        <v>944</v>
      </c>
      <c r="AC529" s="5" t="s">
        <v>945</v>
      </c>
      <c r="AD529" s="76" t="s">
        <v>3404</v>
      </c>
    </row>
    <row r="530" spans="1:30" ht="29">
      <c r="A530" s="5" t="s">
        <v>545</v>
      </c>
      <c r="B530" s="46" t="s">
        <v>933</v>
      </c>
      <c r="C530" s="3"/>
      <c r="D530" s="8" t="s">
        <v>2650</v>
      </c>
      <c r="E530" s="6" t="s">
        <v>2428</v>
      </c>
      <c r="F530" t="s">
        <v>2951</v>
      </c>
      <c r="G530" t="s">
        <v>44</v>
      </c>
      <c r="H530" s="13" t="str">
        <f>IFERROR(VLOOKUP(G530, Sheet2!$A:$B, 2, FALSE), A530)</f>
        <v>CHOW TAI FOOK JEWELLERY CO LTD</v>
      </c>
      <c r="I530" s="6" t="s">
        <v>352</v>
      </c>
      <c r="J530" s="100">
        <v>726125834629</v>
      </c>
      <c r="K530" s="19" t="s">
        <v>3405</v>
      </c>
      <c r="L530" s="120" t="s">
        <v>3406</v>
      </c>
      <c r="M530" s="348"/>
      <c r="N530" s="120"/>
      <c r="O530" s="142" t="s">
        <v>3229</v>
      </c>
      <c r="P530" s="120"/>
      <c r="Q530" s="8">
        <v>45351</v>
      </c>
      <c r="R530" s="8">
        <v>45370</v>
      </c>
      <c r="S530" s="8">
        <v>45351</v>
      </c>
      <c r="T530" s="370" t="s">
        <v>3407</v>
      </c>
      <c r="U530" s="141" t="s">
        <v>3408</v>
      </c>
      <c r="V530" s="141">
        <v>103774</v>
      </c>
      <c r="W530" s="8" t="s">
        <v>3403</v>
      </c>
      <c r="Y530" s="7" t="s">
        <v>3409</v>
      </c>
      <c r="Z530" t="s">
        <v>365</v>
      </c>
      <c r="AA530" s="8"/>
      <c r="AB530" s="3" t="s">
        <v>944</v>
      </c>
      <c r="AC530" s="5" t="s">
        <v>945</v>
      </c>
      <c r="AD530" s="76" t="s">
        <v>3404</v>
      </c>
    </row>
    <row r="531" spans="1:30" ht="29">
      <c r="A531" s="5" t="s">
        <v>545</v>
      </c>
      <c r="B531" s="46" t="s">
        <v>933</v>
      </c>
      <c r="C531" s="3"/>
      <c r="D531" s="8" t="s">
        <v>2650</v>
      </c>
      <c r="E531" s="6" t="s">
        <v>2428</v>
      </c>
      <c r="F531" t="s">
        <v>2951</v>
      </c>
      <c r="G531" t="s">
        <v>44</v>
      </c>
      <c r="H531" s="13" t="str">
        <f>IFERROR(VLOOKUP(G531, Sheet2!$A:$B, 2, FALSE), A531)</f>
        <v>CHOW TAI FOOK JEWELLERY CO LTD</v>
      </c>
      <c r="I531" s="6" t="s">
        <v>352</v>
      </c>
      <c r="J531" s="100">
        <v>726125834629</v>
      </c>
      <c r="K531" s="19" t="s">
        <v>3410</v>
      </c>
      <c r="L531" s="120" t="s">
        <v>3411</v>
      </c>
      <c r="M531" s="348"/>
      <c r="N531" s="120"/>
      <c r="O531" s="142" t="s">
        <v>3229</v>
      </c>
      <c r="P531" s="120"/>
      <c r="Q531" s="8">
        <v>45351</v>
      </c>
      <c r="R531" s="8">
        <v>45370</v>
      </c>
      <c r="S531" s="8">
        <v>45351</v>
      </c>
      <c r="T531" s="370" t="s">
        <v>3412</v>
      </c>
      <c r="U531" s="141" t="s">
        <v>3413</v>
      </c>
      <c r="V531" s="141">
        <v>103778</v>
      </c>
      <c r="W531" s="8" t="s">
        <v>3403</v>
      </c>
      <c r="Y531" s="7" t="s">
        <v>3414</v>
      </c>
      <c r="Z531" t="s">
        <v>365</v>
      </c>
      <c r="AA531" s="8"/>
      <c r="AB531" s="3" t="s">
        <v>944</v>
      </c>
      <c r="AC531" s="5" t="s">
        <v>945</v>
      </c>
      <c r="AD531" s="76" t="s">
        <v>3404</v>
      </c>
    </row>
    <row r="532" spans="1:30" ht="29">
      <c r="A532" s="5" t="s">
        <v>545</v>
      </c>
      <c r="B532" s="46" t="s">
        <v>933</v>
      </c>
      <c r="C532" s="3"/>
      <c r="D532" s="8" t="s">
        <v>2650</v>
      </c>
      <c r="E532" s="6" t="s">
        <v>2428</v>
      </c>
      <c r="F532" t="s">
        <v>2951</v>
      </c>
      <c r="G532" t="s">
        <v>44</v>
      </c>
      <c r="H532" s="13" t="str">
        <f>IFERROR(VLOOKUP(G532, Sheet2!$A:$B, 2, FALSE), A532)</f>
        <v>CHOW TAI FOOK JEWELLERY CO LTD</v>
      </c>
      <c r="I532" s="6" t="s">
        <v>352</v>
      </c>
      <c r="J532" s="100">
        <v>726125834629</v>
      </c>
      <c r="K532" s="19" t="s">
        <v>3415</v>
      </c>
      <c r="L532" s="120" t="s">
        <v>3416</v>
      </c>
      <c r="M532" s="348"/>
      <c r="N532" s="120"/>
      <c r="O532" s="142" t="s">
        <v>3229</v>
      </c>
      <c r="P532" s="120"/>
      <c r="Q532" s="8">
        <v>45351</v>
      </c>
      <c r="R532" s="8">
        <v>45370</v>
      </c>
      <c r="S532" s="8">
        <v>45351</v>
      </c>
      <c r="T532" t="s">
        <v>3417</v>
      </c>
      <c r="U532" s="141" t="s">
        <v>3418</v>
      </c>
      <c r="V532" s="141">
        <v>103777</v>
      </c>
      <c r="W532" s="8" t="s">
        <v>3403</v>
      </c>
      <c r="Y532" s="7"/>
      <c r="Z532" t="s">
        <v>365</v>
      </c>
      <c r="AA532" s="8"/>
      <c r="AB532" s="3" t="s">
        <v>944</v>
      </c>
      <c r="AC532" s="5" t="s">
        <v>945</v>
      </c>
      <c r="AD532" s="76" t="s">
        <v>3404</v>
      </c>
    </row>
    <row r="533" spans="1:30" ht="29">
      <c r="A533" s="5" t="s">
        <v>545</v>
      </c>
      <c r="B533" s="46" t="s">
        <v>933</v>
      </c>
      <c r="C533" s="3"/>
      <c r="D533" s="8" t="s">
        <v>2650</v>
      </c>
      <c r="E533" s="6" t="s">
        <v>2428</v>
      </c>
      <c r="F533" t="s">
        <v>2951</v>
      </c>
      <c r="G533" t="s">
        <v>44</v>
      </c>
      <c r="H533" s="13" t="str">
        <f>IFERROR(VLOOKUP(G533, Sheet2!$A:$B, 2, FALSE), A533)</f>
        <v>CHOW TAI FOOK JEWELLERY CO LTD</v>
      </c>
      <c r="I533" s="6" t="s">
        <v>352</v>
      </c>
      <c r="J533" s="100">
        <v>726125834629</v>
      </c>
      <c r="K533" s="19" t="s">
        <v>3419</v>
      </c>
      <c r="L533" s="120" t="s">
        <v>3420</v>
      </c>
      <c r="M533" s="348"/>
      <c r="N533" s="120"/>
      <c r="O533" s="142" t="s">
        <v>3229</v>
      </c>
      <c r="P533" s="120"/>
      <c r="Q533" s="8">
        <v>45351</v>
      </c>
      <c r="R533" s="8">
        <v>45370</v>
      </c>
      <c r="S533" s="8">
        <v>45351</v>
      </c>
      <c r="T533" t="s">
        <v>3421</v>
      </c>
      <c r="U533" s="141" t="s">
        <v>3422</v>
      </c>
      <c r="V533" s="141">
        <v>103776</v>
      </c>
      <c r="W533" s="8" t="s">
        <v>3403</v>
      </c>
      <c r="Y533" s="7"/>
      <c r="Z533" t="s">
        <v>365</v>
      </c>
      <c r="AA533" s="8"/>
      <c r="AB533" s="3" t="s">
        <v>944</v>
      </c>
      <c r="AC533" s="5" t="s">
        <v>945</v>
      </c>
      <c r="AD533" s="76" t="s">
        <v>3404</v>
      </c>
    </row>
    <row r="534" spans="1:30" ht="72.5">
      <c r="A534" s="3" t="s">
        <v>350</v>
      </c>
      <c r="B534" s="46" t="s">
        <v>2773</v>
      </c>
      <c r="C534" s="3"/>
      <c r="D534" s="8" t="s">
        <v>2650</v>
      </c>
      <c r="E534" s="8" t="s">
        <v>2428</v>
      </c>
      <c r="F534" s="3"/>
      <c r="G534" s="3" t="s">
        <v>44</v>
      </c>
      <c r="H534" s="13" t="str">
        <f>IFERROR(VLOOKUP(G534, Sheet2!$A:$B, 2, FALSE), A534)</f>
        <v>CHOW TAI FOOK JEWELLERY CO LTD</v>
      </c>
      <c r="I534" s="6" t="s">
        <v>352</v>
      </c>
      <c r="J534" s="100">
        <v>726125834629</v>
      </c>
      <c r="K534" s="19"/>
      <c r="L534" s="371" t="s">
        <v>3423</v>
      </c>
      <c r="M534" s="348"/>
      <c r="N534" s="120"/>
      <c r="O534" s="142" t="s">
        <v>3229</v>
      </c>
      <c r="P534" s="120"/>
      <c r="Q534" s="8">
        <v>45351</v>
      </c>
      <c r="R534" s="8">
        <v>45376</v>
      </c>
      <c r="S534" s="8">
        <v>45351</v>
      </c>
      <c r="T534" s="3" t="s">
        <v>3047</v>
      </c>
      <c r="U534" s="4" t="s">
        <v>3424</v>
      </c>
      <c r="V534" s="19" t="s">
        <v>2756</v>
      </c>
      <c r="W534" s="8" t="s">
        <v>3425</v>
      </c>
      <c r="X534" s="8"/>
      <c r="Y534" s="9" t="s">
        <v>3426</v>
      </c>
      <c r="Z534" s="50"/>
      <c r="AA534" s="8" t="s">
        <v>1079</v>
      </c>
      <c r="AB534" s="3"/>
      <c r="AC534" s="3" t="s">
        <v>1369</v>
      </c>
      <c r="AD534" s="76" t="s">
        <v>3427</v>
      </c>
    </row>
    <row r="535" spans="1:30" ht="72.5">
      <c r="A535" s="3" t="s">
        <v>350</v>
      </c>
      <c r="B535" s="46" t="s">
        <v>2773</v>
      </c>
      <c r="C535" s="3"/>
      <c r="D535" s="8" t="s">
        <v>2650</v>
      </c>
      <c r="E535" s="6">
        <v>26108769</v>
      </c>
      <c r="F535" s="3" t="s">
        <v>2951</v>
      </c>
      <c r="G535" s="3" t="s">
        <v>44</v>
      </c>
      <c r="H535" s="13" t="str">
        <f>IFERROR(VLOOKUP(G535, Sheet2!$A:$B, 2, FALSE), A535)</f>
        <v>CHOW TAI FOOK JEWELLERY CO LTD</v>
      </c>
      <c r="I535" s="6" t="s">
        <v>352</v>
      </c>
      <c r="J535" s="100">
        <v>726125834629</v>
      </c>
      <c r="K535" s="19"/>
      <c r="L535" s="371" t="s">
        <v>3264</v>
      </c>
      <c r="M535" s="348" t="s">
        <v>3228</v>
      </c>
      <c r="N535" s="120"/>
      <c r="O535" s="142" t="s">
        <v>3229</v>
      </c>
      <c r="P535" s="120"/>
      <c r="Q535" s="8">
        <v>45351</v>
      </c>
      <c r="R535" s="8">
        <v>45376</v>
      </c>
      <c r="S535" s="8">
        <v>45351</v>
      </c>
      <c r="T535" s="3" t="s">
        <v>3230</v>
      </c>
      <c r="U535" s="4" t="s">
        <v>3428</v>
      </c>
      <c r="V535" s="19">
        <v>103725</v>
      </c>
      <c r="W535" s="8" t="s">
        <v>3425</v>
      </c>
      <c r="X535" s="8"/>
      <c r="Y535" s="9" t="s">
        <v>3429</v>
      </c>
      <c r="Z535" s="50" t="s">
        <v>365</v>
      </c>
      <c r="AA535" s="8" t="s">
        <v>1079</v>
      </c>
      <c r="AB535" s="3" t="s">
        <v>944</v>
      </c>
      <c r="AC535" s="3" t="s">
        <v>945</v>
      </c>
      <c r="AD535" s="76" t="s">
        <v>3427</v>
      </c>
    </row>
    <row r="536" spans="1:30" ht="58">
      <c r="A536" s="3" t="s">
        <v>545</v>
      </c>
      <c r="B536" s="46" t="s">
        <v>933</v>
      </c>
      <c r="C536" s="3"/>
      <c r="D536" t="s">
        <v>3090</v>
      </c>
      <c r="E536" s="141" t="s">
        <v>2903</v>
      </c>
      <c r="F536" t="s">
        <v>3091</v>
      </c>
      <c r="G536" t="s">
        <v>51</v>
      </c>
      <c r="H536" s="13" t="str">
        <f>IFERROR(VLOOKUP(G536, Sheet2!$A:$B, 2, FALSE), A536)</f>
        <v>AIRPORT AUTHORITY</v>
      </c>
      <c r="I536" s="6" t="s">
        <v>393</v>
      </c>
      <c r="J536" s="109"/>
      <c r="K536" s="19" t="s">
        <v>3430</v>
      </c>
      <c r="L536" s="372" t="s">
        <v>1175</v>
      </c>
      <c r="M536" s="348"/>
      <c r="N536" s="120"/>
      <c r="O536" s="142"/>
      <c r="P536" s="142" t="s">
        <v>3431</v>
      </c>
      <c r="Q536" s="4">
        <v>45404</v>
      </c>
      <c r="R536" s="8">
        <v>45405</v>
      </c>
      <c r="S536" s="4">
        <v>45405</v>
      </c>
      <c r="T536" t="s">
        <v>3432</v>
      </c>
      <c r="U536" s="141" t="s">
        <v>3433</v>
      </c>
      <c r="V536" s="141">
        <v>103819</v>
      </c>
      <c r="W536" s="4" t="s">
        <v>3434</v>
      </c>
      <c r="Y536" s="7" t="s">
        <v>3435</v>
      </c>
      <c r="Z536" t="s">
        <v>886</v>
      </c>
      <c r="AA536" s="4" t="s">
        <v>1079</v>
      </c>
      <c r="AB536" s="3"/>
      <c r="AC536" s="3"/>
    </row>
    <row r="537" spans="1:30" ht="43.5">
      <c r="A537" s="373" t="s">
        <v>350</v>
      </c>
      <c r="B537" s="374" t="s">
        <v>933</v>
      </c>
      <c r="C537" s="373"/>
      <c r="D537" s="375" t="s">
        <v>3090</v>
      </c>
      <c r="E537" s="376" t="s">
        <v>2903</v>
      </c>
      <c r="F537" s="375" t="s">
        <v>3091</v>
      </c>
      <c r="G537" s="375" t="s">
        <v>51</v>
      </c>
      <c r="H537" s="13" t="str">
        <f>IFERROR(VLOOKUP(G537, Sheet2!$A:$B, 2, FALSE), A537)</f>
        <v>AIRPORT AUTHORITY</v>
      </c>
      <c r="I537" s="377" t="s">
        <v>352</v>
      </c>
      <c r="J537" s="378" t="s">
        <v>655</v>
      </c>
      <c r="K537" s="379" t="s">
        <v>3436</v>
      </c>
      <c r="L537" s="380" t="s">
        <v>1282</v>
      </c>
      <c r="M537" s="381"/>
      <c r="N537" s="382"/>
      <c r="O537" s="383"/>
      <c r="P537" s="383" t="s">
        <v>3431</v>
      </c>
      <c r="Q537" s="384">
        <v>45404</v>
      </c>
      <c r="R537" s="384">
        <v>45405</v>
      </c>
      <c r="S537" s="384">
        <v>45405</v>
      </c>
      <c r="T537" s="375" t="s">
        <v>3437</v>
      </c>
      <c r="U537" s="376" t="s">
        <v>3438</v>
      </c>
      <c r="V537" s="376">
        <v>103818</v>
      </c>
      <c r="W537" s="384" t="s">
        <v>3434</v>
      </c>
      <c r="X537" s="375"/>
      <c r="Y537" s="385" t="s">
        <v>3439</v>
      </c>
      <c r="Z537" s="375" t="s">
        <v>886</v>
      </c>
      <c r="AA537" s="384" t="s">
        <v>1079</v>
      </c>
      <c r="AB537" s="373"/>
      <c r="AC537" s="373"/>
      <c r="AD537" s="375"/>
    </row>
    <row r="538" spans="1:30" ht="43.5">
      <c r="A538" s="3" t="s">
        <v>350</v>
      </c>
      <c r="B538" s="46" t="s">
        <v>933</v>
      </c>
      <c r="C538" s="3"/>
      <c r="D538" t="s">
        <v>3090</v>
      </c>
      <c r="E538" s="141" t="s">
        <v>2903</v>
      </c>
      <c r="F538" t="s">
        <v>3091</v>
      </c>
      <c r="G538" t="s">
        <v>51</v>
      </c>
      <c r="H538" s="13" t="str">
        <f>IFERROR(VLOOKUP(G538, Sheet2!$A:$B, 2, FALSE), A538)</f>
        <v>AIRPORT AUTHORITY</v>
      </c>
      <c r="I538" s="6" t="s">
        <v>352</v>
      </c>
      <c r="J538" s="109" t="s">
        <v>655</v>
      </c>
      <c r="K538" s="19" t="s">
        <v>3440</v>
      </c>
      <c r="L538" s="372" t="s">
        <v>1342</v>
      </c>
      <c r="M538" s="348"/>
      <c r="N538" s="120"/>
      <c r="O538" s="142"/>
      <c r="P538" s="142" t="s">
        <v>3431</v>
      </c>
      <c r="Q538" s="4">
        <v>45404</v>
      </c>
      <c r="R538" s="4">
        <v>45405</v>
      </c>
      <c r="S538" s="4">
        <v>45405</v>
      </c>
      <c r="T538" t="s">
        <v>3441</v>
      </c>
      <c r="U538" s="141" t="s">
        <v>3442</v>
      </c>
      <c r="V538" s="141">
        <v>103817</v>
      </c>
      <c r="W538" s="4" t="s">
        <v>3434</v>
      </c>
      <c r="Y538" s="9" t="s">
        <v>3439</v>
      </c>
      <c r="Z538" t="s">
        <v>886</v>
      </c>
      <c r="AA538" s="4" t="s">
        <v>1079</v>
      </c>
      <c r="AB538" s="3"/>
      <c r="AC538" s="3"/>
    </row>
    <row r="539" spans="1:30" ht="43.5">
      <c r="A539" s="3" t="s">
        <v>350</v>
      </c>
      <c r="B539" s="46" t="s">
        <v>933</v>
      </c>
      <c r="C539" s="3"/>
      <c r="D539" t="s">
        <v>3090</v>
      </c>
      <c r="E539" s="141" t="s">
        <v>2903</v>
      </c>
      <c r="F539" t="s">
        <v>3091</v>
      </c>
      <c r="G539" t="s">
        <v>51</v>
      </c>
      <c r="H539" s="13" t="str">
        <f>IFERROR(VLOOKUP(G539, Sheet2!$A:$B, 2, FALSE), A539)</f>
        <v>AIRPORT AUTHORITY</v>
      </c>
      <c r="I539" s="6" t="s">
        <v>352</v>
      </c>
      <c r="J539" s="109" t="s">
        <v>655</v>
      </c>
      <c r="K539" s="19" t="s">
        <v>3443</v>
      </c>
      <c r="L539" s="372" t="s">
        <v>1381</v>
      </c>
      <c r="M539" s="348"/>
      <c r="N539" s="120"/>
      <c r="O539" s="142"/>
      <c r="P539" s="142" t="s">
        <v>3431</v>
      </c>
      <c r="Q539" s="4">
        <v>45404</v>
      </c>
      <c r="R539" s="4">
        <v>45405</v>
      </c>
      <c r="S539" s="4">
        <v>45405</v>
      </c>
      <c r="T539" t="s">
        <v>3444</v>
      </c>
      <c r="U539" s="141" t="s">
        <v>3445</v>
      </c>
      <c r="V539" s="141">
        <v>103816</v>
      </c>
      <c r="W539" s="4" t="s">
        <v>3434</v>
      </c>
      <c r="Y539" s="9" t="s">
        <v>3439</v>
      </c>
      <c r="Z539" t="s">
        <v>886</v>
      </c>
      <c r="AA539" s="4" t="s">
        <v>1079</v>
      </c>
      <c r="AB539" s="3"/>
      <c r="AC539" s="3"/>
    </row>
    <row r="540" spans="1:30" ht="43.5">
      <c r="A540" s="3" t="s">
        <v>350</v>
      </c>
      <c r="B540" s="46" t="s">
        <v>933</v>
      </c>
      <c r="C540" s="3"/>
      <c r="D540" t="s">
        <v>3090</v>
      </c>
      <c r="E540" s="141" t="s">
        <v>2903</v>
      </c>
      <c r="F540" t="s">
        <v>3091</v>
      </c>
      <c r="G540" t="s">
        <v>51</v>
      </c>
      <c r="H540" s="13" t="str">
        <f>IFERROR(VLOOKUP(G540, Sheet2!$A:$B, 2, FALSE), A540)</f>
        <v>AIRPORT AUTHORITY</v>
      </c>
      <c r="I540" s="6" t="s">
        <v>352</v>
      </c>
      <c r="J540" s="109" t="s">
        <v>655</v>
      </c>
      <c r="K540" s="19" t="s">
        <v>3446</v>
      </c>
      <c r="L540" s="126"/>
      <c r="M540" s="348"/>
      <c r="N540" s="120"/>
      <c r="O540" s="142"/>
      <c r="P540" s="142" t="s">
        <v>3431</v>
      </c>
      <c r="Q540" s="4">
        <v>45404</v>
      </c>
      <c r="R540" s="4">
        <v>45405</v>
      </c>
      <c r="S540" s="4">
        <v>45405</v>
      </c>
      <c r="T540" t="s">
        <v>3447</v>
      </c>
      <c r="U540" s="141" t="s">
        <v>3448</v>
      </c>
      <c r="V540" s="141">
        <v>103815</v>
      </c>
      <c r="W540" s="4" t="s">
        <v>3434</v>
      </c>
      <c r="Y540" s="9" t="s">
        <v>3439</v>
      </c>
      <c r="Z540" t="s">
        <v>886</v>
      </c>
      <c r="AA540" s="4" t="s">
        <v>1079</v>
      </c>
      <c r="AB540" s="3"/>
      <c r="AC540" s="3"/>
    </row>
    <row r="541" spans="1:30" ht="15">
      <c r="A541" s="3"/>
      <c r="B541" s="46"/>
      <c r="C541" s="3"/>
      <c r="E541" s="141"/>
      <c r="H541" s="13">
        <f>IFERROR(VLOOKUP(G541, Sheet2!$A:$B, 2, FALSE), A541)</f>
        <v>0</v>
      </c>
      <c r="I541" s="58"/>
      <c r="J541" s="52"/>
      <c r="K541" s="52"/>
      <c r="L541" s="120"/>
      <c r="M541" s="348"/>
      <c r="N541" s="120"/>
      <c r="O541" s="142"/>
      <c r="P541" s="120"/>
      <c r="Q541" s="8"/>
      <c r="R541" s="8"/>
      <c r="S541" s="8"/>
      <c r="U541" s="141"/>
      <c r="V541" s="141"/>
      <c r="W541" s="8"/>
      <c r="Y541" s="7"/>
      <c r="AA541" s="8"/>
      <c r="AB541" s="3"/>
      <c r="AC541" s="3"/>
    </row>
    <row r="542" spans="1:30" ht="43.5">
      <c r="A542" s="3" t="s">
        <v>350</v>
      </c>
      <c r="B542" s="46" t="s">
        <v>933</v>
      </c>
      <c r="C542" s="3"/>
      <c r="D542" t="s">
        <v>3090</v>
      </c>
      <c r="E542" s="141" t="s">
        <v>2903</v>
      </c>
      <c r="F542" t="s">
        <v>3091</v>
      </c>
      <c r="G542" t="s">
        <v>51</v>
      </c>
      <c r="H542" s="13" t="str">
        <f>IFERROR(VLOOKUP(G542, Sheet2!$A:$B, 2, FALSE), A542)</f>
        <v>AIRPORT AUTHORITY</v>
      </c>
      <c r="I542" s="6" t="s">
        <v>352</v>
      </c>
      <c r="J542" s="109" t="s">
        <v>655</v>
      </c>
      <c r="K542" s="19" t="s">
        <v>3449</v>
      </c>
      <c r="L542" s="126"/>
      <c r="M542" s="348"/>
      <c r="N542" s="120"/>
      <c r="O542" s="142"/>
      <c r="P542" s="142" t="s">
        <v>3431</v>
      </c>
      <c r="Q542" s="4">
        <v>45404</v>
      </c>
      <c r="R542" s="4">
        <v>45405</v>
      </c>
      <c r="S542" s="4">
        <v>45405</v>
      </c>
      <c r="T542" t="s">
        <v>3450</v>
      </c>
      <c r="U542" s="141" t="s">
        <v>3451</v>
      </c>
      <c r="V542" s="141">
        <v>103814</v>
      </c>
      <c r="W542" s="4" t="s">
        <v>3434</v>
      </c>
      <c r="Y542" s="9" t="s">
        <v>3439</v>
      </c>
      <c r="Z542" t="s">
        <v>886</v>
      </c>
      <c r="AA542" s="4" t="s">
        <v>1079</v>
      </c>
      <c r="AB542" s="3"/>
      <c r="AC542" s="3"/>
    </row>
    <row r="543" spans="1:30" ht="72.5">
      <c r="A543" s="3" t="s">
        <v>350</v>
      </c>
      <c r="B543" s="46" t="s">
        <v>933</v>
      </c>
      <c r="C543" s="3"/>
      <c r="D543" t="s">
        <v>3090</v>
      </c>
      <c r="E543" s="141" t="s">
        <v>2903</v>
      </c>
      <c r="F543" t="s">
        <v>3091</v>
      </c>
      <c r="G543" t="s">
        <v>51</v>
      </c>
      <c r="H543" s="13" t="str">
        <f>IFERROR(VLOOKUP(G543, Sheet2!$A:$B, 2, FALSE), A543)</f>
        <v>AIRPORT AUTHORITY</v>
      </c>
      <c r="I543" s="6" t="s">
        <v>352</v>
      </c>
      <c r="J543" s="109" t="s">
        <v>655</v>
      </c>
      <c r="K543" s="19" t="s">
        <v>3452</v>
      </c>
      <c r="L543" s="126" t="s">
        <v>3453</v>
      </c>
      <c r="M543" s="99" t="s">
        <v>3454</v>
      </c>
      <c r="N543" s="120"/>
      <c r="O543" s="142"/>
      <c r="P543" s="142" t="s">
        <v>3431</v>
      </c>
      <c r="Q543" s="4">
        <v>45404</v>
      </c>
      <c r="R543" s="4">
        <v>45405</v>
      </c>
      <c r="S543" s="4">
        <v>45405</v>
      </c>
      <c r="T543" t="s">
        <v>3455</v>
      </c>
      <c r="U543" s="141" t="s">
        <v>3456</v>
      </c>
      <c r="V543" s="141">
        <v>103813</v>
      </c>
      <c r="W543" s="4" t="s">
        <v>3434</v>
      </c>
      <c r="Y543" s="9" t="s">
        <v>3457</v>
      </c>
      <c r="Z543" t="s">
        <v>886</v>
      </c>
      <c r="AA543" s="4" t="s">
        <v>1079</v>
      </c>
      <c r="AB543" s="3"/>
      <c r="AC543" s="3"/>
    </row>
    <row r="544" spans="1:30" ht="72.5">
      <c r="A544" s="3" t="s">
        <v>350</v>
      </c>
      <c r="B544" s="46" t="s">
        <v>933</v>
      </c>
      <c r="C544" s="3"/>
      <c r="D544" t="s">
        <v>3090</v>
      </c>
      <c r="E544" s="141" t="s">
        <v>2903</v>
      </c>
      <c r="F544" t="s">
        <v>3091</v>
      </c>
      <c r="G544" t="s">
        <v>51</v>
      </c>
      <c r="H544" s="13" t="str">
        <f>IFERROR(VLOOKUP(G544, Sheet2!$A:$B, 2, FALSE), A544)</f>
        <v>AIRPORT AUTHORITY</v>
      </c>
      <c r="I544" s="6" t="s">
        <v>352</v>
      </c>
      <c r="J544" s="109">
        <v>838776425275</v>
      </c>
      <c r="K544" s="19" t="s">
        <v>2892</v>
      </c>
      <c r="L544" s="126" t="s">
        <v>2893</v>
      </c>
      <c r="M544" s="348" t="s">
        <v>2894</v>
      </c>
      <c r="N544" s="120"/>
      <c r="O544" s="142"/>
      <c r="P544" s="142" t="s">
        <v>3431</v>
      </c>
      <c r="Q544" s="4">
        <v>45404</v>
      </c>
      <c r="R544" s="4">
        <v>45405</v>
      </c>
      <c r="S544" s="4">
        <v>45405</v>
      </c>
      <c r="T544" t="s">
        <v>3458</v>
      </c>
      <c r="U544" s="141" t="s">
        <v>3459</v>
      </c>
      <c r="V544" s="141">
        <v>103812</v>
      </c>
      <c r="W544" s="4" t="s">
        <v>3434</v>
      </c>
      <c r="Y544" s="9" t="s">
        <v>3457</v>
      </c>
      <c r="Z544" t="s">
        <v>886</v>
      </c>
      <c r="AA544" s="4" t="s">
        <v>1079</v>
      </c>
      <c r="AB544" s="3"/>
      <c r="AC544" s="3"/>
    </row>
    <row r="545" spans="1:30" ht="43.5">
      <c r="A545" s="3" t="s">
        <v>350</v>
      </c>
      <c r="B545" s="46" t="s">
        <v>933</v>
      </c>
      <c r="C545" s="3"/>
      <c r="D545" t="s">
        <v>3090</v>
      </c>
      <c r="E545" s="141" t="s">
        <v>2903</v>
      </c>
      <c r="F545" t="s">
        <v>3091</v>
      </c>
      <c r="G545" t="s">
        <v>51</v>
      </c>
      <c r="H545" s="13" t="str">
        <f>IFERROR(VLOOKUP(G545, Sheet2!$A:$B, 2, FALSE), A545)</f>
        <v>AIRPORT AUTHORITY</v>
      </c>
      <c r="I545" s="6" t="s">
        <v>352</v>
      </c>
      <c r="J545" s="109">
        <v>838776425275</v>
      </c>
      <c r="K545" s="19" t="s">
        <v>3460</v>
      </c>
      <c r="L545" s="126"/>
      <c r="M545" s="348"/>
      <c r="N545" s="120"/>
      <c r="O545" s="142"/>
      <c r="P545" s="142" t="s">
        <v>3431</v>
      </c>
      <c r="Q545" s="4">
        <v>45404</v>
      </c>
      <c r="R545" s="4">
        <v>45405</v>
      </c>
      <c r="S545" s="4">
        <v>45405</v>
      </c>
      <c r="T545" t="s">
        <v>3461</v>
      </c>
      <c r="U545" s="141" t="s">
        <v>3462</v>
      </c>
      <c r="V545" s="141">
        <v>103811</v>
      </c>
      <c r="W545" s="4" t="s">
        <v>3434</v>
      </c>
      <c r="Y545" s="9" t="s">
        <v>3439</v>
      </c>
      <c r="Z545" t="s">
        <v>886</v>
      </c>
      <c r="AA545" s="4" t="s">
        <v>1079</v>
      </c>
      <c r="AB545" s="3"/>
      <c r="AC545" s="3"/>
    </row>
    <row r="546" spans="1:30" ht="43.5">
      <c r="A546" s="3" t="s">
        <v>350</v>
      </c>
      <c r="B546" s="46" t="s">
        <v>933</v>
      </c>
      <c r="C546" s="3"/>
      <c r="D546" t="s">
        <v>3090</v>
      </c>
      <c r="E546" s="141" t="s">
        <v>2903</v>
      </c>
      <c r="F546" t="s">
        <v>3091</v>
      </c>
      <c r="G546" t="s">
        <v>51</v>
      </c>
      <c r="H546" s="13" t="str">
        <f>IFERROR(VLOOKUP(G546, Sheet2!$A:$B, 2, FALSE), A546)</f>
        <v>AIRPORT AUTHORITY</v>
      </c>
      <c r="I546" s="6" t="s">
        <v>352</v>
      </c>
      <c r="J546" s="109">
        <v>838776425275</v>
      </c>
      <c r="K546" s="19" t="s">
        <v>3463</v>
      </c>
      <c r="L546" s="126"/>
      <c r="M546" s="348"/>
      <c r="N546" s="120"/>
      <c r="O546" s="142"/>
      <c r="P546" s="142" t="s">
        <v>3431</v>
      </c>
      <c r="Q546" s="4">
        <v>45404</v>
      </c>
      <c r="R546" s="4">
        <v>45405</v>
      </c>
      <c r="S546" s="4">
        <v>45405</v>
      </c>
      <c r="T546" t="s">
        <v>3464</v>
      </c>
      <c r="U546" s="141" t="s">
        <v>3465</v>
      </c>
      <c r="V546" s="141">
        <v>103810</v>
      </c>
      <c r="W546" s="4" t="s">
        <v>3434</v>
      </c>
      <c r="Y546" s="9" t="s">
        <v>3439</v>
      </c>
      <c r="Z546" t="s">
        <v>886</v>
      </c>
      <c r="AA546" s="4" t="s">
        <v>1079</v>
      </c>
      <c r="AB546" s="3"/>
      <c r="AC546" s="3"/>
    </row>
    <row r="547" spans="1:30" ht="43.5">
      <c r="A547" s="373" t="s">
        <v>350</v>
      </c>
      <c r="B547" s="374" t="s">
        <v>933</v>
      </c>
      <c r="C547" s="373"/>
      <c r="D547" s="375" t="s">
        <v>3090</v>
      </c>
      <c r="E547" s="376" t="s">
        <v>2903</v>
      </c>
      <c r="F547" s="375" t="s">
        <v>3091</v>
      </c>
      <c r="G547" s="375" t="s">
        <v>51</v>
      </c>
      <c r="H547" s="13" t="str">
        <f>IFERROR(VLOOKUP(G547, Sheet2!$A:$B, 2, FALSE), A547)</f>
        <v>AIRPORT AUTHORITY</v>
      </c>
      <c r="I547" s="377" t="s">
        <v>352</v>
      </c>
      <c r="J547" s="378">
        <v>838776425275</v>
      </c>
      <c r="K547" s="379" t="s">
        <v>3466</v>
      </c>
      <c r="L547" s="386"/>
      <c r="M547" s="381"/>
      <c r="N547" s="382"/>
      <c r="O547" s="383"/>
      <c r="P547" s="383" t="s">
        <v>3431</v>
      </c>
      <c r="Q547" s="384">
        <v>45404</v>
      </c>
      <c r="R547" s="384">
        <v>45405</v>
      </c>
      <c r="S547" s="384">
        <v>45405</v>
      </c>
      <c r="T547" s="375" t="s">
        <v>3467</v>
      </c>
      <c r="U547" s="376" t="s">
        <v>3468</v>
      </c>
      <c r="V547" s="376">
        <v>103809</v>
      </c>
      <c r="W547" s="384" t="s">
        <v>3434</v>
      </c>
      <c r="X547" s="375"/>
      <c r="Y547" s="385" t="s">
        <v>3439</v>
      </c>
      <c r="Z547" s="375" t="s">
        <v>886</v>
      </c>
      <c r="AA547" s="384" t="s">
        <v>1079</v>
      </c>
      <c r="AB547" s="373"/>
      <c r="AC547" s="373"/>
      <c r="AD547" s="375"/>
    </row>
    <row r="548" spans="1:30" ht="43.5">
      <c r="A548" s="3" t="s">
        <v>350</v>
      </c>
      <c r="B548" s="46" t="s">
        <v>933</v>
      </c>
      <c r="C548" s="3"/>
      <c r="D548" t="s">
        <v>3090</v>
      </c>
      <c r="E548" s="141" t="s">
        <v>2903</v>
      </c>
      <c r="F548" s="334" t="s">
        <v>3091</v>
      </c>
      <c r="G548" t="s">
        <v>51</v>
      </c>
      <c r="H548" s="13" t="str">
        <f>IFERROR(VLOOKUP(G548, Sheet2!$A:$B, 2, FALSE), A548)</f>
        <v>AIRPORT AUTHORITY</v>
      </c>
      <c r="I548" s="6" t="s">
        <v>352</v>
      </c>
      <c r="J548" s="134">
        <v>838776425275</v>
      </c>
      <c r="K548" s="19" t="s">
        <v>3469</v>
      </c>
      <c r="L548" s="126"/>
      <c r="M548" s="348"/>
      <c r="N548" s="120"/>
      <c r="O548" s="142"/>
      <c r="P548" s="142" t="s">
        <v>3431</v>
      </c>
      <c r="Q548" s="4">
        <v>45404</v>
      </c>
      <c r="R548" s="4">
        <v>45405</v>
      </c>
      <c r="S548" s="4">
        <v>45405</v>
      </c>
      <c r="T548" t="s">
        <v>3470</v>
      </c>
      <c r="U548" s="141" t="s">
        <v>3471</v>
      </c>
      <c r="V548" s="141">
        <v>103808</v>
      </c>
      <c r="W548" s="4" t="s">
        <v>3434</v>
      </c>
      <c r="Y548" s="9" t="s">
        <v>3439</v>
      </c>
      <c r="Z548" t="s">
        <v>886</v>
      </c>
      <c r="AA548" s="4" t="s">
        <v>1079</v>
      </c>
      <c r="AB548" s="3"/>
      <c r="AC548" s="3"/>
    </row>
    <row r="549" spans="1:30" ht="43.5">
      <c r="A549" s="3" t="s">
        <v>350</v>
      </c>
      <c r="B549" s="46"/>
      <c r="C549" s="3"/>
      <c r="D549" s="141" t="s">
        <v>652</v>
      </c>
      <c r="E549" s="141">
        <v>21887269</v>
      </c>
      <c r="F549" s="387" t="s">
        <v>654</v>
      </c>
      <c r="G549" t="s">
        <v>51</v>
      </c>
      <c r="H549" s="13" t="str">
        <f>IFERROR(VLOOKUP(G549, Sheet2!$A:$B, 2, FALSE), A549)</f>
        <v>AIRPORT AUTHORITY</v>
      </c>
      <c r="I549" s="6" t="s">
        <v>352</v>
      </c>
      <c r="J549" s="134">
        <v>838776425275</v>
      </c>
      <c r="K549" s="19" t="s">
        <v>3472</v>
      </c>
      <c r="L549" s="126"/>
      <c r="M549" s="348"/>
      <c r="N549" s="120"/>
      <c r="O549" s="142"/>
      <c r="P549" s="120"/>
      <c r="Q549" s="8">
        <v>45383</v>
      </c>
      <c r="R549" s="8">
        <v>45385</v>
      </c>
      <c r="S549" s="8"/>
      <c r="T549" t="s">
        <v>1366</v>
      </c>
      <c r="U549" s="141" t="s">
        <v>3473</v>
      </c>
      <c r="V549" s="141"/>
      <c r="W549" s="8" t="s">
        <v>3474</v>
      </c>
      <c r="Y549" s="9" t="s">
        <v>3475</v>
      </c>
      <c r="AA549" s="8"/>
      <c r="AB549" s="3"/>
      <c r="AC549" s="3"/>
    </row>
    <row r="550" spans="1:30" ht="43.5">
      <c r="A550" s="3" t="s">
        <v>350</v>
      </c>
      <c r="C550" s="3"/>
      <c r="D550" s="141" t="s">
        <v>652</v>
      </c>
      <c r="E550" s="141">
        <v>21887269</v>
      </c>
      <c r="F550" s="76" t="s">
        <v>654</v>
      </c>
      <c r="G550" t="s">
        <v>51</v>
      </c>
      <c r="H550" s="13" t="str">
        <f>IFERROR(VLOOKUP(G550, Sheet2!$A:$B, 2, FALSE), A550)</f>
        <v>AIRPORT AUTHORITY</v>
      </c>
      <c r="I550" s="6" t="s">
        <v>393</v>
      </c>
      <c r="J550" s="19" t="s">
        <v>3476</v>
      </c>
      <c r="K550" s="19"/>
      <c r="L550" s="126"/>
      <c r="M550" s="348"/>
      <c r="N550" s="120"/>
      <c r="O550" s="142"/>
      <c r="P550" s="120"/>
      <c r="Q550" s="8">
        <v>45383</v>
      </c>
      <c r="R550" s="8">
        <v>45385</v>
      </c>
      <c r="S550" s="8"/>
      <c r="T550" t="s">
        <v>2948</v>
      </c>
      <c r="U550" s="141" t="s">
        <v>3477</v>
      </c>
      <c r="V550" s="141"/>
      <c r="W550" s="8" t="s">
        <v>3474</v>
      </c>
      <c r="Y550" s="9" t="s">
        <v>3475</v>
      </c>
      <c r="AA550" s="8"/>
      <c r="AB550" s="3"/>
      <c r="AC550" s="3"/>
    </row>
    <row r="551" spans="1:30" ht="58">
      <c r="A551" s="5" t="s">
        <v>545</v>
      </c>
      <c r="B551" s="46"/>
      <c r="C551" s="3"/>
      <c r="D551" s="141" t="s">
        <v>2907</v>
      </c>
      <c r="E551" s="141">
        <v>95198740</v>
      </c>
      <c r="F551" s="110" t="s">
        <v>3478</v>
      </c>
      <c r="G551" t="s">
        <v>176</v>
      </c>
      <c r="H551" s="13" t="str">
        <f>IFERROR(VLOOKUP(G551, Sheet2!$A:$B, 2, FALSE), A551)</f>
        <v>HOSPITAL AUTHORITY</v>
      </c>
      <c r="I551" s="6" t="s">
        <v>352</v>
      </c>
      <c r="J551" s="19">
        <v>524889937358</v>
      </c>
      <c r="K551" s="19" t="s">
        <v>3479</v>
      </c>
      <c r="L551" s="120" t="s">
        <v>3480</v>
      </c>
      <c r="M551" s="358" t="s">
        <v>3481</v>
      </c>
      <c r="N551" s="120"/>
      <c r="O551" s="142" t="s">
        <v>3368</v>
      </c>
      <c r="P551" s="388" t="s">
        <v>3482</v>
      </c>
      <c r="Q551" s="8">
        <v>45383</v>
      </c>
      <c r="R551" s="8">
        <v>45387</v>
      </c>
      <c r="S551" s="8">
        <v>45383</v>
      </c>
      <c r="T551" t="s">
        <v>3483</v>
      </c>
      <c r="U551" s="141" t="s">
        <v>3484</v>
      </c>
      <c r="V551" s="141">
        <v>103832</v>
      </c>
      <c r="W551" s="4" t="s">
        <v>3485</v>
      </c>
      <c r="X551" t="s">
        <v>3486</v>
      </c>
      <c r="Y551" s="9" t="s">
        <v>3487</v>
      </c>
      <c r="AA551" s="4" t="s">
        <v>1072</v>
      </c>
      <c r="AB551" s="3"/>
      <c r="AC551" s="3"/>
      <c r="AD551" s="76" t="s">
        <v>3488</v>
      </c>
    </row>
    <row r="552" spans="1:30" ht="58">
      <c r="A552" s="5" t="s">
        <v>545</v>
      </c>
      <c r="B552" s="46"/>
      <c r="C552" s="3"/>
      <c r="D552" s="141" t="s">
        <v>3489</v>
      </c>
      <c r="E552" s="141">
        <v>95198740</v>
      </c>
      <c r="F552" s="110" t="s">
        <v>3478</v>
      </c>
      <c r="G552" t="s">
        <v>176</v>
      </c>
      <c r="H552" s="13" t="str">
        <f>IFERROR(VLOOKUP(G552, Sheet2!$A:$B, 2, FALSE), A552)</f>
        <v>HOSPITAL AUTHORITY</v>
      </c>
      <c r="I552" s="6" t="s">
        <v>352</v>
      </c>
      <c r="J552" s="19">
        <v>524889937358</v>
      </c>
      <c r="K552" s="19" t="s">
        <v>3490</v>
      </c>
      <c r="L552" s="120" t="s">
        <v>3491</v>
      </c>
      <c r="M552" s="358" t="s">
        <v>3492</v>
      </c>
      <c r="N552" s="120"/>
      <c r="O552" s="142" t="s">
        <v>3493</v>
      </c>
      <c r="P552" s="388" t="s">
        <v>3494</v>
      </c>
      <c r="Q552" s="8">
        <v>45383</v>
      </c>
      <c r="R552" s="8">
        <v>45351</v>
      </c>
      <c r="S552" s="8">
        <v>45413</v>
      </c>
      <c r="T552" t="s">
        <v>3495</v>
      </c>
      <c r="U552" s="141" t="s">
        <v>3496</v>
      </c>
      <c r="V552" s="141">
        <v>103831</v>
      </c>
      <c r="W552" s="4" t="s">
        <v>3485</v>
      </c>
      <c r="X552" t="s">
        <v>3497</v>
      </c>
      <c r="Y552" s="9" t="s">
        <v>3498</v>
      </c>
      <c r="AA552" s="4" t="s">
        <v>1072</v>
      </c>
      <c r="AB552" s="3"/>
      <c r="AC552" s="3"/>
      <c r="AD552" s="76" t="s">
        <v>3488</v>
      </c>
    </row>
    <row r="553" spans="1:30" ht="29">
      <c r="A553" s="5" t="s">
        <v>924</v>
      </c>
      <c r="B553" s="46" t="s">
        <v>3118</v>
      </c>
      <c r="C553" s="3"/>
      <c r="D553" s="141" t="s">
        <v>3499</v>
      </c>
      <c r="E553" s="141">
        <v>29910323</v>
      </c>
      <c r="F553" s="76" t="s">
        <v>3500</v>
      </c>
      <c r="G553" t="s">
        <v>3501</v>
      </c>
      <c r="H553" s="13" t="str">
        <f>IFERROR(VLOOKUP(G553, Sheet2!$A:$B, 2, FALSE), A553)</f>
        <v>CHOW SANG SANG JEWELLERY CO LTD</v>
      </c>
      <c r="I553" s="6" t="s">
        <v>393</v>
      </c>
      <c r="J553" s="19"/>
      <c r="K553" s="19"/>
      <c r="L553" s="120"/>
      <c r="M553" s="15" t="s">
        <v>3502</v>
      </c>
      <c r="N553" s="120"/>
      <c r="O553" s="142" t="s">
        <v>3503</v>
      </c>
      <c r="P553" s="120"/>
      <c r="Q553" s="8">
        <v>45385</v>
      </c>
      <c r="R553" s="8">
        <v>45378</v>
      </c>
      <c r="S553" s="8">
        <v>45461</v>
      </c>
      <c r="T553" t="s">
        <v>3504</v>
      </c>
      <c r="U553" s="141" t="s">
        <v>3505</v>
      </c>
      <c r="V553" s="141">
        <v>103783</v>
      </c>
      <c r="W553" s="4" t="s">
        <v>3506</v>
      </c>
      <c r="X553" t="s">
        <v>3507</v>
      </c>
      <c r="Y553" s="7" t="s">
        <v>3508</v>
      </c>
      <c r="AA553" s="8"/>
      <c r="AB553" s="3"/>
      <c r="AC553" s="5" t="s">
        <v>2784</v>
      </c>
      <c r="AD553" s="76" t="s">
        <v>3509</v>
      </c>
    </row>
    <row r="554" spans="1:30" ht="72.5">
      <c r="A554" s="5" t="s">
        <v>545</v>
      </c>
      <c r="B554" s="46"/>
      <c r="C554" s="3"/>
      <c r="D554" s="141" t="s">
        <v>3510</v>
      </c>
      <c r="E554" s="141">
        <v>92538264</v>
      </c>
      <c r="F554" s="76" t="s">
        <v>3511</v>
      </c>
      <c r="G554" t="s">
        <v>792</v>
      </c>
      <c r="H554" s="13" t="str">
        <f>IFERROR(VLOOKUP(G554, Sheet2!$A:$B, 2, FALSE), A554)</f>
        <v>FIRST ASIA MERCHANTS BULLION LIMITED</v>
      </c>
      <c r="I554" s="6" t="s">
        <v>393</v>
      </c>
      <c r="J554" s="19"/>
      <c r="K554" s="19"/>
      <c r="L554" s="120"/>
      <c r="M554" s="202"/>
      <c r="N554" s="120"/>
      <c r="O554" s="142"/>
      <c r="P554" s="142" t="s">
        <v>3512</v>
      </c>
      <c r="Q554" s="8">
        <v>45395</v>
      </c>
      <c r="R554" s="8">
        <v>45379</v>
      </c>
      <c r="S554" s="8">
        <v>45390</v>
      </c>
      <c r="T554" t="s">
        <v>3513</v>
      </c>
      <c r="U554" s="141" t="s">
        <v>3514</v>
      </c>
      <c r="V554" s="141">
        <v>103767</v>
      </c>
      <c r="W554" s="4" t="s">
        <v>3515</v>
      </c>
      <c r="X554" t="s">
        <v>3516</v>
      </c>
      <c r="Y554" s="9" t="s">
        <v>3517</v>
      </c>
      <c r="AA554" s="8"/>
      <c r="AB554" s="3" t="s">
        <v>375</v>
      </c>
      <c r="AC554" s="5" t="s">
        <v>2851</v>
      </c>
      <c r="AD554" s="76" t="s">
        <v>3518</v>
      </c>
    </row>
    <row r="555" spans="1:30" ht="87">
      <c r="A555" s="5" t="s">
        <v>545</v>
      </c>
      <c r="B555" s="46" t="s">
        <v>3118</v>
      </c>
      <c r="C555" s="3"/>
      <c r="D555" s="141" t="s">
        <v>1203</v>
      </c>
      <c r="E555" s="141" t="s">
        <v>3519</v>
      </c>
      <c r="F555" s="76" t="s">
        <v>3520</v>
      </c>
      <c r="G555" t="s">
        <v>216</v>
      </c>
      <c r="H555" s="13" t="str">
        <f>IFERROR(VLOOKUP(G555, Sheet2!$A:$B, 2, FALSE), A555)</f>
        <v>KOWLOON MOTOR BUS CO (1933) LTD</v>
      </c>
      <c r="I555" s="6" t="s">
        <v>393</v>
      </c>
      <c r="J555" s="19"/>
      <c r="K555" s="19"/>
      <c r="L555" s="120"/>
      <c r="M555" s="15" t="s">
        <v>3521</v>
      </c>
      <c r="N555" s="120"/>
      <c r="O555" s="142" t="s">
        <v>3522</v>
      </c>
      <c r="P555" s="142" t="s">
        <v>3523</v>
      </c>
      <c r="Q555" s="8">
        <v>45407</v>
      </c>
      <c r="R555" s="8">
        <v>45377</v>
      </c>
      <c r="S555" s="8">
        <v>45432</v>
      </c>
      <c r="T555" t="s">
        <v>3524</v>
      </c>
      <c r="U555" s="141" t="s">
        <v>3525</v>
      </c>
      <c r="V555" s="141">
        <v>103781</v>
      </c>
      <c r="W555" s="4" t="s">
        <v>3526</v>
      </c>
      <c r="X555" t="s">
        <v>3527</v>
      </c>
      <c r="Y555" s="9" t="s">
        <v>3528</v>
      </c>
      <c r="AA555" s="8"/>
      <c r="AB555" s="5" t="s">
        <v>375</v>
      </c>
      <c r="AC555" s="5" t="s">
        <v>2784</v>
      </c>
      <c r="AD555" s="76" t="s">
        <v>3529</v>
      </c>
    </row>
    <row r="556" spans="1:30" ht="58">
      <c r="A556" s="5" t="s">
        <v>545</v>
      </c>
      <c r="B556" s="46" t="s">
        <v>3118</v>
      </c>
      <c r="C556" s="3"/>
      <c r="D556" s="141" t="s">
        <v>3530</v>
      </c>
      <c r="E556" s="141"/>
      <c r="F556" s="76" t="s">
        <v>3531</v>
      </c>
      <c r="G556" t="s">
        <v>175</v>
      </c>
      <c r="H556" s="13" t="str">
        <f>IFERROR(VLOOKUP(G556, Sheet2!$A:$B, 2, FALSE), A556)</f>
        <v>HOSPITAL AUTHORITY</v>
      </c>
      <c r="I556" s="6" t="s">
        <v>2836</v>
      </c>
      <c r="J556" s="19"/>
      <c r="K556" s="19" t="s">
        <v>3532</v>
      </c>
      <c r="L556" s="120" t="s">
        <v>3533</v>
      </c>
      <c r="M556" s="202" t="s">
        <v>3531</v>
      </c>
      <c r="N556" s="120"/>
      <c r="O556" s="142" t="s">
        <v>3534</v>
      </c>
      <c r="P556" s="120" t="s">
        <v>3535</v>
      </c>
      <c r="Q556" s="4">
        <v>45383</v>
      </c>
      <c r="R556" s="8">
        <v>45391</v>
      </c>
      <c r="S556" s="8">
        <v>45383</v>
      </c>
      <c r="T556" t="s">
        <v>3536</v>
      </c>
      <c r="U556" s="141" t="s">
        <v>3537</v>
      </c>
      <c r="V556" s="141">
        <v>103830</v>
      </c>
      <c r="W556" s="4" t="s">
        <v>3485</v>
      </c>
      <c r="X556" t="s">
        <v>3538</v>
      </c>
      <c r="Y556" s="389" t="s">
        <v>3539</v>
      </c>
      <c r="Z556" t="s">
        <v>489</v>
      </c>
      <c r="AA556" s="8"/>
      <c r="AB556" s="3" t="s">
        <v>944</v>
      </c>
      <c r="AC556" s="5" t="s">
        <v>2680</v>
      </c>
      <c r="AD556" s="76" t="s">
        <v>3488</v>
      </c>
    </row>
    <row r="557" spans="1:30" ht="101.5">
      <c r="A557" s="5" t="s">
        <v>350</v>
      </c>
      <c r="B557" s="46" t="s">
        <v>3118</v>
      </c>
      <c r="C557" s="3"/>
      <c r="D557" s="390" t="s">
        <v>3540</v>
      </c>
      <c r="E557" s="390" t="s">
        <v>3541</v>
      </c>
      <c r="F557" s="110" t="s">
        <v>3542</v>
      </c>
      <c r="G557" s="21" t="s">
        <v>218</v>
      </c>
      <c r="H557" s="13" t="str">
        <f>IFERROR(VLOOKUP(G557, Sheet2!$A:$B, 2, FALSE), A557)</f>
        <v>MIB Securities (Hong Kong) Limited</v>
      </c>
      <c r="I557" s="6" t="s">
        <v>359</v>
      </c>
      <c r="J557" s="19"/>
      <c r="K557" s="52" t="s">
        <v>3543</v>
      </c>
      <c r="L557" s="120"/>
      <c r="M557" s="358" t="s">
        <v>3542</v>
      </c>
      <c r="N557" s="120"/>
      <c r="O557" s="391" t="s">
        <v>3544</v>
      </c>
      <c r="P557" s="120"/>
      <c r="Q557" s="392">
        <v>45399</v>
      </c>
      <c r="R557" s="8">
        <v>45392</v>
      </c>
      <c r="S557" s="8">
        <v>45394</v>
      </c>
      <c r="T557" t="s">
        <v>3545</v>
      </c>
      <c r="U557" s="141" t="s">
        <v>3546</v>
      </c>
      <c r="V557" s="141">
        <v>103794</v>
      </c>
      <c r="W557" s="9" t="s">
        <v>3547</v>
      </c>
      <c r="X557" s="88" t="s">
        <v>3548</v>
      </c>
      <c r="Y557" s="389" t="s">
        <v>3549</v>
      </c>
      <c r="AA557" s="8"/>
      <c r="AB557" s="3"/>
      <c r="AC557" s="5" t="s">
        <v>2784</v>
      </c>
      <c r="AD557" s="347" t="s">
        <v>3550</v>
      </c>
    </row>
    <row r="558" spans="1:30" ht="43.5">
      <c r="A558" s="85" t="s">
        <v>350</v>
      </c>
      <c r="B558" s="46" t="s">
        <v>3118</v>
      </c>
      <c r="C558" s="3"/>
      <c r="D558" s="393" t="s">
        <v>3297</v>
      </c>
      <c r="E558" s="393" t="s">
        <v>3551</v>
      </c>
      <c r="F558" s="394" t="s">
        <v>3330</v>
      </c>
      <c r="G558" s="334" t="s">
        <v>199</v>
      </c>
      <c r="H558" s="13" t="str">
        <f>IFERROR(VLOOKUP(G558, Sheet2!$A:$B, 2, FALSE), A558)</f>
        <v>New World Corporate Services Limited</v>
      </c>
      <c r="I558" s="6" t="s">
        <v>352</v>
      </c>
      <c r="J558" s="134" t="s">
        <v>3122</v>
      </c>
      <c r="K558" s="19" t="s">
        <v>3552</v>
      </c>
      <c r="L558" s="120" t="s">
        <v>3553</v>
      </c>
      <c r="M558" s="358" t="s">
        <v>3554</v>
      </c>
      <c r="N558" s="120"/>
      <c r="O558" s="142" t="s">
        <v>3301</v>
      </c>
      <c r="P558" s="120"/>
      <c r="Q558" s="392">
        <v>45394</v>
      </c>
      <c r="R558" s="392">
        <v>45393</v>
      </c>
      <c r="S558" s="4">
        <v>45394</v>
      </c>
      <c r="T558" t="s">
        <v>3555</v>
      </c>
      <c r="U558" s="141" t="s">
        <v>3556</v>
      </c>
      <c r="V558" s="141">
        <v>103797</v>
      </c>
      <c r="W558" s="4" t="s">
        <v>3557</v>
      </c>
      <c r="X558" s="88" t="s">
        <v>3558</v>
      </c>
      <c r="Y558" s="389" t="s">
        <v>3559</v>
      </c>
      <c r="Z558" t="s">
        <v>425</v>
      </c>
      <c r="AA558" s="8"/>
      <c r="AB558" s="3"/>
      <c r="AC558" s="3" t="s">
        <v>3161</v>
      </c>
      <c r="AD558" s="347" t="s">
        <v>3560</v>
      </c>
    </row>
    <row r="559" spans="1:30" ht="43.5">
      <c r="A559" s="85" t="s">
        <v>350</v>
      </c>
      <c r="B559" s="46" t="s">
        <v>3118</v>
      </c>
      <c r="C559" s="3"/>
      <c r="D559" s="393" t="s">
        <v>3297</v>
      </c>
      <c r="E559" s="393" t="s">
        <v>3551</v>
      </c>
      <c r="F559" s="394" t="s">
        <v>3330</v>
      </c>
      <c r="G559" s="334" t="s">
        <v>199</v>
      </c>
      <c r="H559" s="13" t="str">
        <f>IFERROR(VLOOKUP(G559, Sheet2!$A:$B, 2, FALSE), A559)</f>
        <v>New World Corporate Services Limited</v>
      </c>
      <c r="I559" s="6" t="s">
        <v>352</v>
      </c>
      <c r="J559" s="134" t="s">
        <v>3122</v>
      </c>
      <c r="K559" s="19" t="s">
        <v>3561</v>
      </c>
      <c r="L559" s="120" t="s">
        <v>3562</v>
      </c>
      <c r="M559" s="358" t="s">
        <v>3563</v>
      </c>
      <c r="N559" s="120"/>
      <c r="O559" s="142" t="s">
        <v>3301</v>
      </c>
      <c r="P559" s="120"/>
      <c r="Q559" s="392">
        <v>45394</v>
      </c>
      <c r="R559" s="392">
        <v>45393</v>
      </c>
      <c r="S559" s="4">
        <v>45394</v>
      </c>
      <c r="T559" t="s">
        <v>3564</v>
      </c>
      <c r="U559" s="141" t="s">
        <v>3565</v>
      </c>
      <c r="V559" s="141">
        <v>103796</v>
      </c>
      <c r="W559" s="8" t="s">
        <v>3566</v>
      </c>
      <c r="X559" s="88" t="s">
        <v>3567</v>
      </c>
      <c r="Y559" s="389" t="s">
        <v>3559</v>
      </c>
      <c r="Z559" t="s">
        <v>425</v>
      </c>
      <c r="AA559" s="8"/>
      <c r="AB559" s="3"/>
      <c r="AC559" s="5" t="s">
        <v>3161</v>
      </c>
      <c r="AD559" s="347" t="s">
        <v>3560</v>
      </c>
    </row>
    <row r="560" spans="1:30" ht="43.5">
      <c r="A560" s="85" t="s">
        <v>350</v>
      </c>
      <c r="B560" s="46" t="s">
        <v>3118</v>
      </c>
      <c r="C560" s="3"/>
      <c r="D560" s="393" t="s">
        <v>3297</v>
      </c>
      <c r="E560" s="393" t="s">
        <v>3551</v>
      </c>
      <c r="F560" s="394" t="s">
        <v>3330</v>
      </c>
      <c r="G560" s="334" t="s">
        <v>199</v>
      </c>
      <c r="H560" s="13" t="str">
        <f>IFERROR(VLOOKUP(G560, Sheet2!$A:$B, 2, FALSE), A560)</f>
        <v>New World Corporate Services Limited</v>
      </c>
      <c r="I560" s="6" t="s">
        <v>352</v>
      </c>
      <c r="J560" s="134" t="s">
        <v>3122</v>
      </c>
      <c r="K560" s="19" t="s">
        <v>3568</v>
      </c>
      <c r="L560" s="120" t="s">
        <v>3569</v>
      </c>
      <c r="M560" s="358" t="s">
        <v>3570</v>
      </c>
      <c r="N560" s="120"/>
      <c r="O560" s="142" t="s">
        <v>3301</v>
      </c>
      <c r="P560" s="120"/>
      <c r="Q560" s="392">
        <v>45394</v>
      </c>
      <c r="R560" s="392">
        <v>45393</v>
      </c>
      <c r="S560" s="4">
        <v>45394</v>
      </c>
      <c r="T560" t="s">
        <v>3571</v>
      </c>
      <c r="U560" s="141" t="s">
        <v>3572</v>
      </c>
      <c r="V560" s="141">
        <v>103795</v>
      </c>
      <c r="W560" s="8" t="s">
        <v>3566</v>
      </c>
      <c r="X560" s="88" t="s">
        <v>3573</v>
      </c>
      <c r="Y560" s="389" t="s">
        <v>3559</v>
      </c>
      <c r="Z560" t="s">
        <v>425</v>
      </c>
      <c r="AA560" s="8"/>
      <c r="AB560" s="3"/>
      <c r="AC560" s="5" t="s">
        <v>3161</v>
      </c>
      <c r="AD560" s="347" t="s">
        <v>3560</v>
      </c>
    </row>
    <row r="561" spans="1:30" ht="203">
      <c r="A561" s="5" t="s">
        <v>350</v>
      </c>
      <c r="B561" s="46" t="s">
        <v>2773</v>
      </c>
      <c r="C561" s="5"/>
      <c r="D561" s="4" t="s">
        <v>2650</v>
      </c>
      <c r="E561" s="58" t="s">
        <v>990</v>
      </c>
      <c r="F561" s="110" t="s">
        <v>3574</v>
      </c>
      <c r="G561" s="13" t="s">
        <v>43</v>
      </c>
      <c r="H561" s="13" t="str">
        <f>IFERROR(VLOOKUP(G561, Sheet2!$A:$B, 2, FALSE), A561)</f>
        <v>CHOW TAI FOOK JEWELLERY CO LTD</v>
      </c>
      <c r="I561" s="69" t="s">
        <v>3365</v>
      </c>
      <c r="J561" s="100">
        <v>726125834629</v>
      </c>
      <c r="K561" s="75" t="s">
        <v>3575</v>
      </c>
      <c r="L561" s="147"/>
      <c r="M561" s="4"/>
      <c r="N561" s="395"/>
      <c r="O561" s="15"/>
      <c r="P561" s="70" t="s">
        <v>489</v>
      </c>
      <c r="Q561" s="9">
        <v>45351</v>
      </c>
      <c r="R561" s="4">
        <v>45397</v>
      </c>
      <c r="S561" s="4">
        <v>45412</v>
      </c>
      <c r="T561" s="5" t="s">
        <v>3576</v>
      </c>
      <c r="U561" s="5" t="s">
        <v>3577</v>
      </c>
      <c r="V561" s="58">
        <v>102779</v>
      </c>
      <c r="W561" s="5" t="s">
        <v>3578</v>
      </c>
      <c r="X561" s="5"/>
      <c r="Y561" s="15" t="s">
        <v>3579</v>
      </c>
      <c r="Z561" s="5" t="s">
        <v>489</v>
      </c>
      <c r="AA561" s="5"/>
      <c r="AB561" s="5"/>
      <c r="AC561" s="5" t="s">
        <v>3161</v>
      </c>
      <c r="AD561" s="133" t="s">
        <v>3580</v>
      </c>
    </row>
    <row r="562" spans="1:30" ht="87">
      <c r="A562" s="5" t="s">
        <v>350</v>
      </c>
      <c r="B562" s="46" t="s">
        <v>933</v>
      </c>
      <c r="C562" s="5"/>
      <c r="D562" s="4" t="s">
        <v>3581</v>
      </c>
      <c r="E562" s="58" t="s">
        <v>3582</v>
      </c>
      <c r="F562" s="396" t="s">
        <v>3583</v>
      </c>
      <c r="G562" s="13" t="s">
        <v>220</v>
      </c>
      <c r="H562" s="13" t="str">
        <f>IFERROR(VLOOKUP(G562, Sheet2!$A:$B, 2, FALSE), A562)</f>
        <v>HONG KONG HOUSING SOCIETY</v>
      </c>
      <c r="I562" s="6" t="s">
        <v>393</v>
      </c>
      <c r="J562" s="19"/>
      <c r="K562" s="397"/>
      <c r="L562" s="147"/>
      <c r="M562" s="4"/>
      <c r="N562" s="395"/>
      <c r="O562" s="15" t="s">
        <v>3584</v>
      </c>
      <c r="P562" s="70"/>
      <c r="Q562" s="9">
        <v>45398</v>
      </c>
      <c r="R562" s="4">
        <v>45397</v>
      </c>
      <c r="S562" s="9">
        <v>45398</v>
      </c>
      <c r="T562" s="5" t="s">
        <v>3585</v>
      </c>
      <c r="U562" s="5" t="s">
        <v>3586</v>
      </c>
      <c r="V562" s="58">
        <v>103803</v>
      </c>
      <c r="W562" s="5" t="s">
        <v>3587</v>
      </c>
      <c r="X562" s="5"/>
      <c r="Y562" s="15" t="s">
        <v>3588</v>
      </c>
      <c r="Z562" s="5" t="s">
        <v>489</v>
      </c>
      <c r="AA562" s="5"/>
      <c r="AB562" s="5"/>
      <c r="AC562" s="5"/>
      <c r="AD562" s="398" t="s">
        <v>3589</v>
      </c>
    </row>
    <row r="563" spans="1:30" ht="58">
      <c r="A563" s="5" t="s">
        <v>350</v>
      </c>
      <c r="B563" s="46" t="s">
        <v>933</v>
      </c>
      <c r="C563" s="5"/>
      <c r="D563" s="4" t="s">
        <v>3590</v>
      </c>
      <c r="E563" s="58">
        <v>61142121</v>
      </c>
      <c r="F563" s="399" t="s">
        <v>3591</v>
      </c>
      <c r="G563" s="400" t="s">
        <v>199</v>
      </c>
      <c r="H563" s="13" t="str">
        <f>IFERROR(VLOOKUP(G563, Sheet2!$A:$B, 2, FALSE), A563)</f>
        <v>New World Corporate Services Limited</v>
      </c>
      <c r="I563" s="69" t="s">
        <v>3365</v>
      </c>
      <c r="J563" s="134" t="s">
        <v>3122</v>
      </c>
      <c r="K563" s="397"/>
      <c r="L563" s="147"/>
      <c r="M563" s="4"/>
      <c r="N563" s="395"/>
      <c r="O563" s="142" t="s">
        <v>3301</v>
      </c>
      <c r="P563" s="70"/>
      <c r="Q563" s="9">
        <v>45404</v>
      </c>
      <c r="R563" s="4">
        <v>45397</v>
      </c>
      <c r="S563" s="4" t="s">
        <v>3592</v>
      </c>
      <c r="T563" s="5" t="s">
        <v>3593</v>
      </c>
      <c r="U563" s="5" t="s">
        <v>3364</v>
      </c>
      <c r="V563" s="58">
        <v>103802</v>
      </c>
      <c r="W563" s="5" t="s">
        <v>3594</v>
      </c>
      <c r="X563" s="5"/>
      <c r="Y563" s="15" t="s">
        <v>3595</v>
      </c>
      <c r="Z563" s="5"/>
      <c r="AA563" s="5"/>
      <c r="AB563" s="5"/>
      <c r="AC563" s="5"/>
      <c r="AD563" s="133" t="s">
        <v>3596</v>
      </c>
    </row>
    <row r="564" spans="1:30" ht="101.5">
      <c r="A564" s="5" t="s">
        <v>350</v>
      </c>
      <c r="B564" s="46" t="s">
        <v>933</v>
      </c>
      <c r="C564" s="3"/>
      <c r="D564" s="4" t="s">
        <v>3597</v>
      </c>
      <c r="E564" s="58">
        <v>28838687</v>
      </c>
      <c r="F564" s="74" t="s">
        <v>3598</v>
      </c>
      <c r="G564" t="s">
        <v>222</v>
      </c>
      <c r="H564" s="13" t="str">
        <f>IFERROR(VLOOKUP(G564, Sheet2!$A:$B, 2, FALSE), A564)</f>
        <v>MIB_POC_HKT</v>
      </c>
      <c r="I564" s="6" t="s">
        <v>359</v>
      </c>
      <c r="J564" s="19" t="s">
        <v>3599</v>
      </c>
      <c r="K564" s="147" t="s">
        <v>3600</v>
      </c>
      <c r="L564" s="147" t="s">
        <v>222</v>
      </c>
      <c r="M564" s="402" t="s">
        <v>3598</v>
      </c>
      <c r="N564" s="395"/>
      <c r="O564" s="95" t="s">
        <v>3601</v>
      </c>
      <c r="P564" s="70"/>
      <c r="Q564" s="7">
        <v>45527</v>
      </c>
      <c r="R564" s="8">
        <v>45398</v>
      </c>
      <c r="S564" s="8">
        <v>45527</v>
      </c>
      <c r="T564" s="5" t="s">
        <v>3602</v>
      </c>
      <c r="U564" s="5" t="s">
        <v>3603</v>
      </c>
      <c r="V564" s="6">
        <v>103968</v>
      </c>
      <c r="W564" s="5" t="s">
        <v>3604</v>
      </c>
      <c r="X564" s="403" t="s">
        <v>3605</v>
      </c>
      <c r="Y564" s="11" t="s">
        <v>3606</v>
      </c>
      <c r="Z564" s="5" t="s">
        <v>365</v>
      </c>
      <c r="AA564" s="3" t="s">
        <v>365</v>
      </c>
      <c r="AB564" s="3" t="s">
        <v>944</v>
      </c>
      <c r="AC564" s="5" t="s">
        <v>945</v>
      </c>
      <c r="AD564" s="133" t="s">
        <v>3607</v>
      </c>
    </row>
    <row r="565" spans="1:30" ht="60">
      <c r="A565" s="5" t="s">
        <v>545</v>
      </c>
      <c r="B565" s="46" t="s">
        <v>3118</v>
      </c>
      <c r="C565" s="3"/>
      <c r="D565" s="4" t="s">
        <v>3608</v>
      </c>
      <c r="E565" s="58"/>
      <c r="F565" s="74" t="s">
        <v>3609</v>
      </c>
      <c r="G565" t="s">
        <v>175</v>
      </c>
      <c r="H565" s="13" t="str">
        <f>IFERROR(VLOOKUP(G565, Sheet2!$A:$B, 2, FALSE), A565)</f>
        <v>HOSPITAL AUTHORITY</v>
      </c>
      <c r="I565" s="69" t="s">
        <v>2836</v>
      </c>
      <c r="J565" s="19"/>
      <c r="K565" s="147" t="s">
        <v>3610</v>
      </c>
      <c r="L565" s="404" t="s">
        <v>3611</v>
      </c>
      <c r="M565" s="402" t="s">
        <v>3612</v>
      </c>
      <c r="N565" s="395"/>
      <c r="O565" s="144" t="s">
        <v>3613</v>
      </c>
      <c r="P565" s="405" t="s">
        <v>3614</v>
      </c>
      <c r="Q565" s="4">
        <v>45383</v>
      </c>
      <c r="R565" s="8">
        <v>45398</v>
      </c>
      <c r="S565" s="8">
        <v>45383</v>
      </c>
      <c r="T565" s="5" t="s">
        <v>3615</v>
      </c>
      <c r="U565" s="5" t="s">
        <v>3616</v>
      </c>
      <c r="V565" s="6">
        <v>103829</v>
      </c>
      <c r="W565" s="5" t="s">
        <v>3617</v>
      </c>
      <c r="X565" s="406" t="s">
        <v>3618</v>
      </c>
      <c r="Y565" s="407" t="s">
        <v>3619</v>
      </c>
      <c r="Z565" s="5"/>
      <c r="AA565" s="3"/>
      <c r="AB565" s="3"/>
      <c r="AC565" s="5" t="s">
        <v>3620</v>
      </c>
      <c r="AD565" s="133" t="s">
        <v>3488</v>
      </c>
    </row>
    <row r="566" spans="1:30" ht="15">
      <c r="A566" s="5" t="s">
        <v>350</v>
      </c>
      <c r="B566" s="46"/>
      <c r="C566" s="3"/>
      <c r="D566" s="408" t="s">
        <v>2471</v>
      </c>
      <c r="E566" s="243" t="s">
        <v>2472</v>
      </c>
      <c r="F566" t="s">
        <v>3621</v>
      </c>
      <c r="G566" s="401" t="s">
        <v>3622</v>
      </c>
      <c r="H566" s="13" t="str">
        <f>IFERROR(VLOOKUP(G566, Sheet2!$A:$B, 2, FALSE), A566)</f>
        <v>Luk Fook Holdings Co Ltd</v>
      </c>
      <c r="I566" s="6" t="s">
        <v>359</v>
      </c>
      <c r="J566" s="19"/>
      <c r="K566" s="109" t="s">
        <v>3623</v>
      </c>
      <c r="L566" s="120"/>
      <c r="M566" s="348"/>
      <c r="N566" s="120"/>
      <c r="O566" s="142" t="s">
        <v>3624</v>
      </c>
      <c r="P566" s="120"/>
      <c r="Q566" s="8">
        <v>45406</v>
      </c>
      <c r="R566" s="8">
        <v>45393</v>
      </c>
      <c r="S566" s="4">
        <v>45406</v>
      </c>
      <c r="T566" t="s">
        <v>3625</v>
      </c>
      <c r="U566" s="141" t="s">
        <v>3626</v>
      </c>
      <c r="V566" s="141">
        <v>103793</v>
      </c>
      <c r="W566" s="8" t="s">
        <v>3627</v>
      </c>
      <c r="Y566" s="7" t="s">
        <v>3628</v>
      </c>
      <c r="AA566" s="8"/>
      <c r="AB566" s="3"/>
      <c r="AC566" s="3" t="s">
        <v>945</v>
      </c>
      <c r="AD566" s="76" t="s">
        <v>3629</v>
      </c>
    </row>
    <row r="567" spans="1:30" ht="58">
      <c r="A567" s="5" t="s">
        <v>545</v>
      </c>
      <c r="B567" s="46" t="s">
        <v>933</v>
      </c>
      <c r="C567" s="3"/>
      <c r="D567" t="s">
        <v>3153</v>
      </c>
      <c r="E567" s="141" t="s">
        <v>3154</v>
      </c>
      <c r="F567" t="s">
        <v>3155</v>
      </c>
      <c r="G567" t="s">
        <v>208</v>
      </c>
      <c r="H567" s="13" t="str">
        <f>IFERROR(VLOOKUP(G567, Sheet2!$A:$B, 2, FALSE), A567)</f>
        <v>THE BANK OF EAST ASIA, LIMITED</v>
      </c>
      <c r="I567" s="6" t="s">
        <v>352</v>
      </c>
      <c r="J567" s="19">
        <v>410429265162</v>
      </c>
      <c r="K567" s="19" t="s">
        <v>3630</v>
      </c>
      <c r="L567" s="120" t="s">
        <v>3631</v>
      </c>
      <c r="M567" s="348"/>
      <c r="N567" s="120"/>
      <c r="O567" s="9" t="s">
        <v>3165</v>
      </c>
      <c r="P567" s="120"/>
      <c r="Q567" s="4">
        <v>45436</v>
      </c>
      <c r="R567" s="8">
        <v>45436</v>
      </c>
      <c r="S567" s="8">
        <v>45436</v>
      </c>
      <c r="T567" t="s">
        <v>3632</v>
      </c>
      <c r="U567" s="141" t="s">
        <v>3633</v>
      </c>
      <c r="V567" s="141"/>
      <c r="W567" s="8" t="s">
        <v>3634</v>
      </c>
      <c r="X567" s="394" t="s">
        <v>3635</v>
      </c>
      <c r="Y567" s="7" t="s">
        <v>3636</v>
      </c>
      <c r="Z567" t="s">
        <v>365</v>
      </c>
      <c r="AA567" s="8" t="s">
        <v>1264</v>
      </c>
      <c r="AB567" s="3"/>
      <c r="AC567" s="5" t="s">
        <v>3161</v>
      </c>
      <c r="AD567" s="76" t="s">
        <v>3637</v>
      </c>
    </row>
    <row r="568" spans="1:30" ht="29">
      <c r="A568" s="5" t="s">
        <v>545</v>
      </c>
      <c r="B568" s="46" t="s">
        <v>933</v>
      </c>
      <c r="C568" s="3"/>
      <c r="D568" t="s">
        <v>3153</v>
      </c>
      <c r="E568" s="141" t="s">
        <v>3154</v>
      </c>
      <c r="F568" t="s">
        <v>3155</v>
      </c>
      <c r="G568" t="s">
        <v>208</v>
      </c>
      <c r="H568" s="13" t="str">
        <f>IFERROR(VLOOKUP(G568, Sheet2!$A:$B, 2, FALSE), A568)</f>
        <v>THE BANK OF EAST ASIA, LIMITED</v>
      </c>
      <c r="I568" s="6" t="s">
        <v>352</v>
      </c>
      <c r="J568" s="19">
        <v>410429265162</v>
      </c>
      <c r="K568" s="19" t="s">
        <v>3638</v>
      </c>
      <c r="L568" s="120" t="s">
        <v>3639</v>
      </c>
      <c r="M568" s="348"/>
      <c r="N568" s="120"/>
      <c r="O568" s="9" t="s">
        <v>3165</v>
      </c>
      <c r="P568" s="120"/>
      <c r="Q568" s="4">
        <v>45436</v>
      </c>
      <c r="R568" s="8">
        <v>45436</v>
      </c>
      <c r="S568" s="8">
        <v>45436</v>
      </c>
      <c r="T568" t="s">
        <v>3640</v>
      </c>
      <c r="U568" s="141" t="s">
        <v>3641</v>
      </c>
      <c r="V568" s="141"/>
      <c r="W568" s="8" t="s">
        <v>3634</v>
      </c>
      <c r="X568" t="s">
        <v>3635</v>
      </c>
      <c r="Y568" s="9" t="s">
        <v>3642</v>
      </c>
      <c r="Z568" t="s">
        <v>365</v>
      </c>
      <c r="AA568" s="8" t="s">
        <v>1264</v>
      </c>
      <c r="AB568" s="3"/>
      <c r="AC568" s="5" t="s">
        <v>3161</v>
      </c>
      <c r="AD568" s="76" t="s">
        <v>3637</v>
      </c>
    </row>
    <row r="569" spans="1:30" ht="29">
      <c r="A569" s="5" t="s">
        <v>545</v>
      </c>
      <c r="B569" s="46" t="s">
        <v>933</v>
      </c>
      <c r="C569" s="3"/>
      <c r="D569" t="s">
        <v>3153</v>
      </c>
      <c r="E569" s="141" t="s">
        <v>3154</v>
      </c>
      <c r="F569" t="s">
        <v>3155</v>
      </c>
      <c r="G569" t="s">
        <v>208</v>
      </c>
      <c r="H569" s="13" t="str">
        <f>IFERROR(VLOOKUP(G569, Sheet2!$A:$B, 2, FALSE), A569)</f>
        <v>THE BANK OF EAST ASIA, LIMITED</v>
      </c>
      <c r="I569" s="6" t="s">
        <v>352</v>
      </c>
      <c r="J569" s="19">
        <v>410429265162</v>
      </c>
      <c r="K569" s="19" t="s">
        <v>3643</v>
      </c>
      <c r="L569" s="120" t="s">
        <v>3644</v>
      </c>
      <c r="M569" s="348"/>
      <c r="N569" s="120"/>
      <c r="O569" s="9" t="s">
        <v>3165</v>
      </c>
      <c r="P569" s="120"/>
      <c r="Q569" s="4">
        <v>45436</v>
      </c>
      <c r="R569" s="8">
        <v>45436</v>
      </c>
      <c r="S569" s="8">
        <v>45436</v>
      </c>
      <c r="T569" t="s">
        <v>3645</v>
      </c>
      <c r="U569" s="141" t="s">
        <v>3646</v>
      </c>
      <c r="V569" s="141"/>
      <c r="W569" s="8" t="s">
        <v>3634</v>
      </c>
      <c r="X569" t="s">
        <v>3635</v>
      </c>
      <c r="Y569" s="9" t="s">
        <v>3642</v>
      </c>
      <c r="Z569" t="s">
        <v>365</v>
      </c>
      <c r="AA569" s="8" t="s">
        <v>1264</v>
      </c>
      <c r="AB569" s="3"/>
      <c r="AC569" s="5" t="s">
        <v>3161</v>
      </c>
      <c r="AD569" s="76" t="s">
        <v>3647</v>
      </c>
    </row>
    <row r="570" spans="1:30" ht="29">
      <c r="A570" s="5" t="s">
        <v>545</v>
      </c>
      <c r="B570" s="46" t="s">
        <v>933</v>
      </c>
      <c r="C570" s="3"/>
      <c r="D570" t="s">
        <v>3153</v>
      </c>
      <c r="E570" s="141" t="s">
        <v>3154</v>
      </c>
      <c r="F570" t="s">
        <v>3155</v>
      </c>
      <c r="G570" t="s">
        <v>208</v>
      </c>
      <c r="H570" s="13" t="str">
        <f>IFERROR(VLOOKUP(G570, Sheet2!$A:$B, 2, FALSE), A570)</f>
        <v>THE BANK OF EAST ASIA, LIMITED</v>
      </c>
      <c r="I570" s="6" t="s">
        <v>352</v>
      </c>
      <c r="J570" s="19">
        <v>410429265162</v>
      </c>
      <c r="K570" s="19" t="s">
        <v>3648</v>
      </c>
      <c r="L570" s="120" t="s">
        <v>3649</v>
      </c>
      <c r="M570" s="348"/>
      <c r="N570" s="120"/>
      <c r="O570" s="9" t="s">
        <v>3165</v>
      </c>
      <c r="P570" s="120"/>
      <c r="Q570" s="4">
        <v>45436</v>
      </c>
      <c r="R570" s="8">
        <v>45436</v>
      </c>
      <c r="S570" s="8">
        <v>45436</v>
      </c>
      <c r="T570" t="s">
        <v>3650</v>
      </c>
      <c r="U570" s="141" t="s">
        <v>3651</v>
      </c>
      <c r="V570" s="141"/>
      <c r="W570" s="8" t="s">
        <v>3634</v>
      </c>
      <c r="X570" t="s">
        <v>3635</v>
      </c>
      <c r="Y570" s="9" t="s">
        <v>3642</v>
      </c>
      <c r="Z570" t="s">
        <v>365</v>
      </c>
      <c r="AA570" s="8" t="s">
        <v>1264</v>
      </c>
      <c r="AB570" s="3"/>
      <c r="AC570" s="5" t="s">
        <v>3161</v>
      </c>
      <c r="AD570" s="76" t="s">
        <v>3647</v>
      </c>
    </row>
    <row r="571" spans="1:30" ht="29">
      <c r="A571" s="5" t="s">
        <v>545</v>
      </c>
      <c r="B571" s="46" t="s">
        <v>933</v>
      </c>
      <c r="C571" s="3"/>
      <c r="D571" t="s">
        <v>3153</v>
      </c>
      <c r="E571" s="141" t="s">
        <v>3154</v>
      </c>
      <c r="F571" t="s">
        <v>3155</v>
      </c>
      <c r="G571" t="s">
        <v>208</v>
      </c>
      <c r="H571" s="13" t="str">
        <f>IFERROR(VLOOKUP(G571, Sheet2!$A:$B, 2, FALSE), A571)</f>
        <v>THE BANK OF EAST ASIA, LIMITED</v>
      </c>
      <c r="I571" s="6" t="s">
        <v>352</v>
      </c>
      <c r="J571" s="19">
        <v>410429265162</v>
      </c>
      <c r="K571" s="19" t="s">
        <v>3652</v>
      </c>
      <c r="L571" s="120" t="s">
        <v>3653</v>
      </c>
      <c r="M571" s="348"/>
      <c r="N571" s="120"/>
      <c r="O571" s="9" t="s">
        <v>3165</v>
      </c>
      <c r="P571" s="120"/>
      <c r="Q571" s="4">
        <v>45436</v>
      </c>
      <c r="R571" s="8">
        <v>45436</v>
      </c>
      <c r="S571" s="8">
        <v>45436</v>
      </c>
      <c r="T571" t="s">
        <v>3654</v>
      </c>
      <c r="U571" s="141" t="s">
        <v>3655</v>
      </c>
      <c r="V571" s="141"/>
      <c r="W571" s="8" t="s">
        <v>3634</v>
      </c>
      <c r="X571" t="s">
        <v>3635</v>
      </c>
      <c r="Y571" s="9" t="s">
        <v>3642</v>
      </c>
      <c r="Z571" t="s">
        <v>365</v>
      </c>
      <c r="AA571" s="8" t="s">
        <v>1264</v>
      </c>
      <c r="AB571" s="3"/>
      <c r="AC571" s="5" t="s">
        <v>3161</v>
      </c>
      <c r="AD571" s="76" t="s">
        <v>3637</v>
      </c>
    </row>
    <row r="572" spans="1:30" ht="29">
      <c r="A572" s="5" t="s">
        <v>545</v>
      </c>
      <c r="B572" s="46" t="s">
        <v>933</v>
      </c>
      <c r="C572" s="3"/>
      <c r="D572" t="s">
        <v>3153</v>
      </c>
      <c r="E572" s="141" t="s">
        <v>3154</v>
      </c>
      <c r="F572" t="s">
        <v>3155</v>
      </c>
      <c r="G572" t="s">
        <v>208</v>
      </c>
      <c r="H572" s="13" t="str">
        <f>IFERROR(VLOOKUP(G572, Sheet2!$A:$B, 2, FALSE), A572)</f>
        <v>THE BANK OF EAST ASIA, LIMITED</v>
      </c>
      <c r="I572" s="6" t="s">
        <v>352</v>
      </c>
      <c r="J572" s="19">
        <v>410429265162</v>
      </c>
      <c r="K572" s="19" t="s">
        <v>3656</v>
      </c>
      <c r="L572" s="120" t="s">
        <v>3657</v>
      </c>
      <c r="M572" s="348"/>
      <c r="N572" s="120"/>
      <c r="O572" s="9" t="s">
        <v>3165</v>
      </c>
      <c r="P572" s="120"/>
      <c r="Q572" s="4">
        <v>45436</v>
      </c>
      <c r="R572" s="8">
        <v>45436</v>
      </c>
      <c r="S572" s="8">
        <v>45436</v>
      </c>
      <c r="T572" t="s">
        <v>3658</v>
      </c>
      <c r="U572" s="141" t="s">
        <v>3659</v>
      </c>
      <c r="V572" s="141"/>
      <c r="W572" s="8" t="s">
        <v>3634</v>
      </c>
      <c r="X572" t="s">
        <v>3635</v>
      </c>
      <c r="Y572" s="9" t="s">
        <v>3642</v>
      </c>
      <c r="Z572" t="s">
        <v>365</v>
      </c>
      <c r="AA572" s="8" t="s">
        <v>1264</v>
      </c>
      <c r="AB572" s="3"/>
      <c r="AC572" s="5" t="s">
        <v>3161</v>
      </c>
      <c r="AD572" s="76" t="s">
        <v>3647</v>
      </c>
    </row>
    <row r="573" spans="1:30" ht="29">
      <c r="A573" s="5" t="s">
        <v>545</v>
      </c>
      <c r="B573" s="46" t="s">
        <v>933</v>
      </c>
      <c r="C573" s="3"/>
      <c r="D573" t="s">
        <v>3153</v>
      </c>
      <c r="E573" s="141" t="s">
        <v>3154</v>
      </c>
      <c r="F573" t="s">
        <v>3155</v>
      </c>
      <c r="G573" t="s">
        <v>208</v>
      </c>
      <c r="H573" s="13" t="str">
        <f>IFERROR(VLOOKUP(G573, Sheet2!$A:$B, 2, FALSE), A573)</f>
        <v>THE BANK OF EAST ASIA, LIMITED</v>
      </c>
      <c r="I573" s="6" t="s">
        <v>352</v>
      </c>
      <c r="J573" s="19">
        <v>410429265162</v>
      </c>
      <c r="K573" s="19" t="s">
        <v>3660</v>
      </c>
      <c r="L573" s="120" t="s">
        <v>3661</v>
      </c>
      <c r="M573" s="348"/>
      <c r="N573" s="120"/>
      <c r="O573" s="9" t="s">
        <v>3165</v>
      </c>
      <c r="P573" s="120"/>
      <c r="Q573" s="4">
        <v>45436</v>
      </c>
      <c r="R573" s="8">
        <v>45436</v>
      </c>
      <c r="S573" s="8">
        <v>45436</v>
      </c>
      <c r="T573" t="s">
        <v>3662</v>
      </c>
      <c r="U573" s="141" t="s">
        <v>3663</v>
      </c>
      <c r="V573" s="141"/>
      <c r="W573" s="8" t="s">
        <v>3634</v>
      </c>
      <c r="X573" t="s">
        <v>3635</v>
      </c>
      <c r="Y573" s="9" t="s">
        <v>3642</v>
      </c>
      <c r="Z573" t="s">
        <v>365</v>
      </c>
      <c r="AA573" s="8" t="s">
        <v>1264</v>
      </c>
      <c r="AB573" s="3"/>
      <c r="AC573" s="5" t="s">
        <v>3161</v>
      </c>
      <c r="AD573" s="76" t="s">
        <v>3647</v>
      </c>
    </row>
    <row r="574" spans="1:30" ht="29">
      <c r="A574" s="5" t="s">
        <v>545</v>
      </c>
      <c r="B574" s="46" t="s">
        <v>933</v>
      </c>
      <c r="C574" s="3"/>
      <c r="D574" t="s">
        <v>3153</v>
      </c>
      <c r="E574" s="141" t="s">
        <v>3154</v>
      </c>
      <c r="F574" t="s">
        <v>3155</v>
      </c>
      <c r="G574" t="s">
        <v>208</v>
      </c>
      <c r="H574" s="13" t="str">
        <f>IFERROR(VLOOKUP(G574, Sheet2!$A:$B, 2, FALSE), A574)</f>
        <v>THE BANK OF EAST ASIA, LIMITED</v>
      </c>
      <c r="I574" s="6" t="s">
        <v>352</v>
      </c>
      <c r="J574" s="19">
        <v>410429265162</v>
      </c>
      <c r="K574" s="19" t="s">
        <v>3664</v>
      </c>
      <c r="L574" s="120" t="s">
        <v>3665</v>
      </c>
      <c r="M574" s="348"/>
      <c r="N574" s="120"/>
      <c r="O574" s="9" t="s">
        <v>3165</v>
      </c>
      <c r="P574" s="120"/>
      <c r="Q574" s="4">
        <v>45436</v>
      </c>
      <c r="R574" s="8">
        <v>45436</v>
      </c>
      <c r="S574" s="8">
        <v>45436</v>
      </c>
      <c r="T574" t="s">
        <v>3666</v>
      </c>
      <c r="U574" s="141" t="s">
        <v>3667</v>
      </c>
      <c r="V574" s="141"/>
      <c r="W574" s="8" t="s">
        <v>3634</v>
      </c>
      <c r="X574" t="s">
        <v>3635</v>
      </c>
      <c r="Y574" s="9" t="s">
        <v>3642</v>
      </c>
      <c r="Z574" t="s">
        <v>365</v>
      </c>
      <c r="AA574" s="8" t="s">
        <v>1264</v>
      </c>
      <c r="AB574" s="3"/>
      <c r="AC574" s="5" t="s">
        <v>3161</v>
      </c>
      <c r="AD574" s="76" t="s">
        <v>3647</v>
      </c>
    </row>
    <row r="575" spans="1:30" ht="29">
      <c r="A575" s="5" t="s">
        <v>545</v>
      </c>
      <c r="B575" s="46" t="s">
        <v>933</v>
      </c>
      <c r="C575" s="3"/>
      <c r="D575" t="s">
        <v>3153</v>
      </c>
      <c r="E575" s="141" t="s">
        <v>3154</v>
      </c>
      <c r="F575" t="s">
        <v>3155</v>
      </c>
      <c r="G575" t="s">
        <v>208</v>
      </c>
      <c r="H575" s="13" t="str">
        <f>IFERROR(VLOOKUP(G575, Sheet2!$A:$B, 2, FALSE), A575)</f>
        <v>THE BANK OF EAST ASIA, LIMITED</v>
      </c>
      <c r="I575" s="6" t="s">
        <v>352</v>
      </c>
      <c r="J575" s="19">
        <v>410429265162</v>
      </c>
      <c r="K575" s="19" t="s">
        <v>3668</v>
      </c>
      <c r="L575" s="120" t="s">
        <v>3669</v>
      </c>
      <c r="M575" s="348"/>
      <c r="N575" s="120"/>
      <c r="O575" s="9" t="s">
        <v>3165</v>
      </c>
      <c r="P575" s="120"/>
      <c r="Q575" s="4">
        <v>45436</v>
      </c>
      <c r="R575" s="8">
        <v>45436</v>
      </c>
      <c r="S575" s="8">
        <v>45436</v>
      </c>
      <c r="T575" t="s">
        <v>3670</v>
      </c>
      <c r="U575" s="141" t="s">
        <v>3671</v>
      </c>
      <c r="V575" s="141"/>
      <c r="W575" s="8" t="s">
        <v>3634</v>
      </c>
      <c r="X575" t="s">
        <v>3635</v>
      </c>
      <c r="Y575" s="9" t="s">
        <v>3642</v>
      </c>
      <c r="Z575" t="s">
        <v>365</v>
      </c>
      <c r="AA575" s="8" t="s">
        <v>1264</v>
      </c>
      <c r="AB575" s="3"/>
      <c r="AC575" s="5" t="s">
        <v>3161</v>
      </c>
      <c r="AD575" s="76" t="s">
        <v>3647</v>
      </c>
    </row>
    <row r="576" spans="1:30" ht="29">
      <c r="A576" s="5" t="s">
        <v>545</v>
      </c>
      <c r="B576" s="46" t="s">
        <v>933</v>
      </c>
      <c r="C576" s="3"/>
      <c r="D576" t="s">
        <v>3153</v>
      </c>
      <c r="E576" s="141" t="s">
        <v>3154</v>
      </c>
      <c r="F576" t="s">
        <v>3155</v>
      </c>
      <c r="G576" t="s">
        <v>208</v>
      </c>
      <c r="H576" s="13" t="str">
        <f>IFERROR(VLOOKUP(G576, Sheet2!$A:$B, 2, FALSE), A576)</f>
        <v>THE BANK OF EAST ASIA, LIMITED</v>
      </c>
      <c r="I576" s="6" t="s">
        <v>352</v>
      </c>
      <c r="J576" s="19">
        <v>410429265162</v>
      </c>
      <c r="K576" s="19" t="s">
        <v>3672</v>
      </c>
      <c r="L576" s="120" t="s">
        <v>3673</v>
      </c>
      <c r="M576" s="348"/>
      <c r="N576" s="120"/>
      <c r="O576" s="9" t="s">
        <v>3165</v>
      </c>
      <c r="P576" s="120"/>
      <c r="Q576" s="4">
        <v>45436</v>
      </c>
      <c r="R576" s="8">
        <v>45436</v>
      </c>
      <c r="S576" s="8">
        <v>45436</v>
      </c>
      <c r="T576" t="s">
        <v>3674</v>
      </c>
      <c r="U576" s="141" t="s">
        <v>3675</v>
      </c>
      <c r="V576" s="141"/>
      <c r="W576" s="8" t="s">
        <v>3634</v>
      </c>
      <c r="X576" t="s">
        <v>3635</v>
      </c>
      <c r="Y576" s="9" t="s">
        <v>3642</v>
      </c>
      <c r="Z576" t="s">
        <v>365</v>
      </c>
      <c r="AA576" s="8" t="s">
        <v>1264</v>
      </c>
      <c r="AB576" s="3"/>
      <c r="AC576" s="5" t="s">
        <v>3161</v>
      </c>
      <c r="AD576" s="76" t="s">
        <v>3647</v>
      </c>
    </row>
    <row r="577" spans="1:30" ht="29">
      <c r="A577" s="5" t="s">
        <v>545</v>
      </c>
      <c r="B577" s="46" t="s">
        <v>933</v>
      </c>
      <c r="C577" s="3"/>
      <c r="D577" t="s">
        <v>3153</v>
      </c>
      <c r="E577" s="141" t="s">
        <v>3154</v>
      </c>
      <c r="F577" t="s">
        <v>3155</v>
      </c>
      <c r="G577" t="s">
        <v>208</v>
      </c>
      <c r="H577" s="13" t="str">
        <f>IFERROR(VLOOKUP(G577, Sheet2!$A:$B, 2, FALSE), A577)</f>
        <v>THE BANK OF EAST ASIA, LIMITED</v>
      </c>
      <c r="I577" s="6" t="s">
        <v>352</v>
      </c>
      <c r="J577" s="19">
        <v>410429265162</v>
      </c>
      <c r="K577" s="19" t="s">
        <v>3676</v>
      </c>
      <c r="L577" s="120" t="s">
        <v>3677</v>
      </c>
      <c r="M577" s="348"/>
      <c r="N577" s="120"/>
      <c r="O577" s="9" t="s">
        <v>3165</v>
      </c>
      <c r="P577" s="120"/>
      <c r="Q577" s="4">
        <v>45436</v>
      </c>
      <c r="R577" s="8">
        <v>45436</v>
      </c>
      <c r="S577" s="8">
        <v>45436</v>
      </c>
      <c r="T577" t="s">
        <v>3678</v>
      </c>
      <c r="U577" s="141" t="s">
        <v>3679</v>
      </c>
      <c r="V577" s="141"/>
      <c r="W577" s="8" t="s">
        <v>3634</v>
      </c>
      <c r="X577" t="s">
        <v>3635</v>
      </c>
      <c r="Y577" s="9" t="s">
        <v>3642</v>
      </c>
      <c r="Z577" t="s">
        <v>365</v>
      </c>
      <c r="AA577" s="8" t="s">
        <v>1264</v>
      </c>
      <c r="AB577" s="3"/>
      <c r="AC577" s="5" t="s">
        <v>3161</v>
      </c>
      <c r="AD577" s="76" t="s">
        <v>3647</v>
      </c>
    </row>
    <row r="578" spans="1:30" ht="29">
      <c r="A578" s="5" t="s">
        <v>545</v>
      </c>
      <c r="B578" s="46" t="s">
        <v>933</v>
      </c>
      <c r="C578" s="3"/>
      <c r="D578" t="s">
        <v>3153</v>
      </c>
      <c r="E578" s="141" t="s">
        <v>3154</v>
      </c>
      <c r="F578" t="s">
        <v>3155</v>
      </c>
      <c r="G578" t="s">
        <v>208</v>
      </c>
      <c r="H578" s="13" t="str">
        <f>IFERROR(VLOOKUP(G578, Sheet2!$A:$B, 2, FALSE), A578)</f>
        <v>THE BANK OF EAST ASIA, LIMITED</v>
      </c>
      <c r="I578" s="6" t="s">
        <v>352</v>
      </c>
      <c r="J578" s="19">
        <v>410429265162</v>
      </c>
      <c r="K578" s="19" t="s">
        <v>3680</v>
      </c>
      <c r="L578" s="120" t="s">
        <v>3681</v>
      </c>
      <c r="M578" s="348"/>
      <c r="N578" s="120"/>
      <c r="O578" s="9" t="s">
        <v>3165</v>
      </c>
      <c r="P578" s="120"/>
      <c r="Q578" s="4">
        <v>45436</v>
      </c>
      <c r="R578" s="8">
        <v>45436</v>
      </c>
      <c r="S578" s="8">
        <v>45436</v>
      </c>
      <c r="T578" t="s">
        <v>3682</v>
      </c>
      <c r="U578" s="141" t="s">
        <v>3683</v>
      </c>
      <c r="V578" s="141"/>
      <c r="W578" s="8" t="s">
        <v>3634</v>
      </c>
      <c r="X578" t="s">
        <v>3635</v>
      </c>
      <c r="Y578" s="9" t="s">
        <v>3684</v>
      </c>
      <c r="Z578" t="s">
        <v>365</v>
      </c>
      <c r="AA578" s="8" t="s">
        <v>1264</v>
      </c>
      <c r="AB578" s="3"/>
      <c r="AC578" s="5" t="s">
        <v>3161</v>
      </c>
      <c r="AD578" s="76" t="s">
        <v>3647</v>
      </c>
    </row>
    <row r="579" spans="1:30" ht="29">
      <c r="A579" s="5" t="s">
        <v>545</v>
      </c>
      <c r="B579" s="46" t="s">
        <v>933</v>
      </c>
      <c r="C579" s="3"/>
      <c r="D579" t="s">
        <v>3153</v>
      </c>
      <c r="E579" s="141" t="s">
        <v>3154</v>
      </c>
      <c r="F579" t="s">
        <v>3155</v>
      </c>
      <c r="G579" t="s">
        <v>208</v>
      </c>
      <c r="H579" s="13" t="str">
        <f>IFERROR(VLOOKUP(G579, Sheet2!$A:$B, 2, FALSE), A579)</f>
        <v>THE BANK OF EAST ASIA, LIMITED</v>
      </c>
      <c r="I579" s="6" t="s">
        <v>352</v>
      </c>
      <c r="J579" s="19">
        <v>410429265162</v>
      </c>
      <c r="K579" s="19" t="s">
        <v>3685</v>
      </c>
      <c r="L579" s="120" t="s">
        <v>3686</v>
      </c>
      <c r="M579" s="348"/>
      <c r="N579" s="120"/>
      <c r="O579" s="9" t="s">
        <v>3165</v>
      </c>
      <c r="P579" s="120"/>
      <c r="Q579" s="4">
        <v>45436</v>
      </c>
      <c r="R579" s="8">
        <v>45436</v>
      </c>
      <c r="S579" s="8">
        <v>45436</v>
      </c>
      <c r="T579" t="s">
        <v>3687</v>
      </c>
      <c r="U579" s="141" t="s">
        <v>3688</v>
      </c>
      <c r="V579" s="141"/>
      <c r="W579" s="8" t="s">
        <v>3634</v>
      </c>
      <c r="X579" t="s">
        <v>3635</v>
      </c>
      <c r="Y579" s="9" t="s">
        <v>3642</v>
      </c>
      <c r="Z579" t="s">
        <v>365</v>
      </c>
      <c r="AA579" s="8" t="s">
        <v>1264</v>
      </c>
      <c r="AB579" s="3"/>
      <c r="AC579" s="5" t="s">
        <v>3161</v>
      </c>
      <c r="AD579" s="76" t="s">
        <v>3647</v>
      </c>
    </row>
    <row r="580" spans="1:30" ht="29">
      <c r="A580" s="5" t="s">
        <v>545</v>
      </c>
      <c r="B580" s="46" t="s">
        <v>933</v>
      </c>
      <c r="C580" s="3"/>
      <c r="D580" t="s">
        <v>3153</v>
      </c>
      <c r="E580" s="141" t="s">
        <v>3154</v>
      </c>
      <c r="F580" t="s">
        <v>3155</v>
      </c>
      <c r="G580" t="s">
        <v>208</v>
      </c>
      <c r="H580" s="13" t="str">
        <f>IFERROR(VLOOKUP(G580, Sheet2!$A:$B, 2, FALSE), A580)</f>
        <v>THE BANK OF EAST ASIA, LIMITED</v>
      </c>
      <c r="I580" s="6" t="s">
        <v>352</v>
      </c>
      <c r="J580" s="19">
        <v>410429265162</v>
      </c>
      <c r="K580" s="19" t="s">
        <v>3689</v>
      </c>
      <c r="L580" s="120" t="s">
        <v>3690</v>
      </c>
      <c r="M580" s="348"/>
      <c r="N580" s="120"/>
      <c r="O580" s="9" t="s">
        <v>3165</v>
      </c>
      <c r="P580" s="120"/>
      <c r="Q580" s="4">
        <v>45436</v>
      </c>
      <c r="R580" s="8">
        <v>45436</v>
      </c>
      <c r="S580" s="8">
        <v>45436</v>
      </c>
      <c r="T580" t="s">
        <v>3691</v>
      </c>
      <c r="U580" s="141" t="s">
        <v>3692</v>
      </c>
      <c r="V580" s="141"/>
      <c r="W580" s="8" t="s">
        <v>3634</v>
      </c>
      <c r="X580" t="s">
        <v>3635</v>
      </c>
      <c r="Y580" s="9" t="s">
        <v>3642</v>
      </c>
      <c r="Z580" t="s">
        <v>365</v>
      </c>
      <c r="AA580" s="8" t="s">
        <v>1264</v>
      </c>
      <c r="AB580" s="3"/>
      <c r="AC580" s="5" t="s">
        <v>3161</v>
      </c>
      <c r="AD580" s="76" t="s">
        <v>3647</v>
      </c>
    </row>
    <row r="581" spans="1:30" ht="29">
      <c r="A581" s="5" t="s">
        <v>545</v>
      </c>
      <c r="B581" s="46" t="s">
        <v>933</v>
      </c>
      <c r="C581" s="3"/>
      <c r="D581" t="s">
        <v>3153</v>
      </c>
      <c r="E581" s="141" t="s">
        <v>3154</v>
      </c>
      <c r="F581" t="s">
        <v>3155</v>
      </c>
      <c r="G581" t="s">
        <v>208</v>
      </c>
      <c r="H581" s="13" t="str">
        <f>IFERROR(VLOOKUP(G581, Sheet2!$A:$B, 2, FALSE), A581)</f>
        <v>THE BANK OF EAST ASIA, LIMITED</v>
      </c>
      <c r="I581" s="6" t="s">
        <v>352</v>
      </c>
      <c r="J581" s="19">
        <v>410429265162</v>
      </c>
      <c r="K581" s="19" t="s">
        <v>3693</v>
      </c>
      <c r="L581" s="120" t="s">
        <v>3694</v>
      </c>
      <c r="M581" s="348"/>
      <c r="N581" s="120"/>
      <c r="O581" s="9" t="s">
        <v>3165</v>
      </c>
      <c r="P581" s="120"/>
      <c r="Q581" s="4">
        <v>45436</v>
      </c>
      <c r="R581" s="8">
        <v>45436</v>
      </c>
      <c r="S581" s="8">
        <v>45436</v>
      </c>
      <c r="T581" t="s">
        <v>985</v>
      </c>
      <c r="U581" s="141" t="s">
        <v>3695</v>
      </c>
      <c r="V581" s="141"/>
      <c r="W581" s="8" t="s">
        <v>3634</v>
      </c>
      <c r="X581" t="s">
        <v>3635</v>
      </c>
      <c r="Y581" s="9" t="s">
        <v>3642</v>
      </c>
      <c r="Z581" t="s">
        <v>365</v>
      </c>
      <c r="AA581" s="8" t="s">
        <v>1264</v>
      </c>
      <c r="AB581" s="3"/>
      <c r="AC581" s="5" t="s">
        <v>3161</v>
      </c>
      <c r="AD581" s="76" t="s">
        <v>3647</v>
      </c>
    </row>
    <row r="582" spans="1:30" ht="29">
      <c r="A582" s="5" t="s">
        <v>545</v>
      </c>
      <c r="B582" s="46" t="s">
        <v>933</v>
      </c>
      <c r="C582" s="3"/>
      <c r="D582" t="s">
        <v>3153</v>
      </c>
      <c r="E582" s="141" t="s">
        <v>3154</v>
      </c>
      <c r="F582" t="s">
        <v>3155</v>
      </c>
      <c r="G582" t="s">
        <v>208</v>
      </c>
      <c r="H582" s="13" t="str">
        <f>IFERROR(VLOOKUP(G582, Sheet2!$A:$B, 2, FALSE), A582)</f>
        <v>THE BANK OF EAST ASIA, LIMITED</v>
      </c>
      <c r="I582" s="6" t="s">
        <v>352</v>
      </c>
      <c r="J582" s="19">
        <v>410429265162</v>
      </c>
      <c r="K582" s="19" t="s">
        <v>3696</v>
      </c>
      <c r="L582" s="120" t="s">
        <v>3697</v>
      </c>
      <c r="M582" s="348"/>
      <c r="N582" s="120"/>
      <c r="O582" s="9" t="s">
        <v>3165</v>
      </c>
      <c r="P582" s="120"/>
      <c r="Q582" s="4">
        <v>45436</v>
      </c>
      <c r="R582" s="8">
        <v>45436</v>
      </c>
      <c r="S582" s="8">
        <v>45436</v>
      </c>
      <c r="T582" t="s">
        <v>3698</v>
      </c>
      <c r="U582" s="141" t="s">
        <v>3699</v>
      </c>
      <c r="V582" s="141"/>
      <c r="W582" s="8" t="s">
        <v>3634</v>
      </c>
      <c r="X582" t="s">
        <v>3635</v>
      </c>
      <c r="Y582" s="9" t="s">
        <v>3642</v>
      </c>
      <c r="Z582" t="s">
        <v>365</v>
      </c>
      <c r="AA582" s="8" t="s">
        <v>1264</v>
      </c>
      <c r="AB582" s="3"/>
      <c r="AC582" s="5" t="s">
        <v>3161</v>
      </c>
      <c r="AD582" s="76" t="s">
        <v>3647</v>
      </c>
    </row>
    <row r="583" spans="1:30" ht="29">
      <c r="A583" s="5" t="s">
        <v>545</v>
      </c>
      <c r="B583" s="46" t="s">
        <v>933</v>
      </c>
      <c r="C583" s="3"/>
      <c r="D583" t="s">
        <v>3153</v>
      </c>
      <c r="E583" s="141" t="s">
        <v>3154</v>
      </c>
      <c r="F583" t="s">
        <v>3155</v>
      </c>
      <c r="G583" t="s">
        <v>208</v>
      </c>
      <c r="H583" s="13" t="str">
        <f>IFERROR(VLOOKUP(G583, Sheet2!$A:$B, 2, FALSE), A583)</f>
        <v>THE BANK OF EAST ASIA, LIMITED</v>
      </c>
      <c r="I583" s="6" t="s">
        <v>352</v>
      </c>
      <c r="J583" s="19">
        <v>410429265162</v>
      </c>
      <c r="K583" s="19" t="s">
        <v>3700</v>
      </c>
      <c r="L583" s="120" t="s">
        <v>3701</v>
      </c>
      <c r="M583" s="348"/>
      <c r="N583" s="120"/>
      <c r="O583" s="9" t="s">
        <v>3165</v>
      </c>
      <c r="P583" s="120"/>
      <c r="Q583" s="4">
        <v>45436</v>
      </c>
      <c r="R583" s="8">
        <v>45436</v>
      </c>
      <c r="S583" s="8">
        <v>45436</v>
      </c>
      <c r="T583" t="s">
        <v>3702</v>
      </c>
      <c r="U583" s="141" t="s">
        <v>3703</v>
      </c>
      <c r="V583" s="141"/>
      <c r="W583" s="8" t="s">
        <v>3634</v>
      </c>
      <c r="X583" t="s">
        <v>3635</v>
      </c>
      <c r="Y583" s="9" t="s">
        <v>3642</v>
      </c>
      <c r="Z583" t="s">
        <v>365</v>
      </c>
      <c r="AA583" s="8" t="s">
        <v>1264</v>
      </c>
      <c r="AB583" s="3"/>
      <c r="AC583" s="5" t="s">
        <v>3161</v>
      </c>
      <c r="AD583" s="76" t="s">
        <v>3647</v>
      </c>
    </row>
    <row r="584" spans="1:30" ht="29">
      <c r="A584" s="5" t="s">
        <v>545</v>
      </c>
      <c r="B584" s="46" t="s">
        <v>933</v>
      </c>
      <c r="C584" s="3"/>
      <c r="D584" t="s">
        <v>3153</v>
      </c>
      <c r="E584" s="141" t="s">
        <v>3154</v>
      </c>
      <c r="F584" t="s">
        <v>3155</v>
      </c>
      <c r="G584" t="s">
        <v>208</v>
      </c>
      <c r="H584" s="13" t="str">
        <f>IFERROR(VLOOKUP(G584, Sheet2!$A:$B, 2, FALSE), A584)</f>
        <v>THE BANK OF EAST ASIA, LIMITED</v>
      </c>
      <c r="I584" s="6" t="s">
        <v>352</v>
      </c>
      <c r="J584" s="19">
        <v>410429265162</v>
      </c>
      <c r="K584" s="19" t="s">
        <v>3704</v>
      </c>
      <c r="L584" s="120" t="s">
        <v>3705</v>
      </c>
      <c r="M584" s="348"/>
      <c r="N584" s="120"/>
      <c r="O584" s="9" t="s">
        <v>3165</v>
      </c>
      <c r="P584" s="120"/>
      <c r="Q584" s="4">
        <v>45436</v>
      </c>
      <c r="R584" s="8">
        <v>45436</v>
      </c>
      <c r="S584" s="8">
        <v>45436</v>
      </c>
      <c r="T584" t="s">
        <v>3706</v>
      </c>
      <c r="U584" s="141" t="s">
        <v>3707</v>
      </c>
      <c r="V584" s="141"/>
      <c r="W584" s="8" t="s">
        <v>3634</v>
      </c>
      <c r="X584" t="s">
        <v>3635</v>
      </c>
      <c r="Y584" s="9" t="s">
        <v>3642</v>
      </c>
      <c r="Z584" t="s">
        <v>365</v>
      </c>
      <c r="AA584" s="8" t="s">
        <v>1264</v>
      </c>
      <c r="AB584" s="3"/>
      <c r="AC584" s="5" t="s">
        <v>3161</v>
      </c>
      <c r="AD584" s="76" t="s">
        <v>3647</v>
      </c>
    </row>
    <row r="585" spans="1:30" ht="29">
      <c r="A585" s="5" t="s">
        <v>545</v>
      </c>
      <c r="B585" s="46" t="s">
        <v>933</v>
      </c>
      <c r="C585" s="3"/>
      <c r="D585" t="s">
        <v>3153</v>
      </c>
      <c r="E585" s="141" t="s">
        <v>3154</v>
      </c>
      <c r="F585" t="s">
        <v>3155</v>
      </c>
      <c r="G585" t="s">
        <v>208</v>
      </c>
      <c r="H585" s="13" t="str">
        <f>IFERROR(VLOOKUP(G585, Sheet2!$A:$B, 2, FALSE), A585)</f>
        <v>THE BANK OF EAST ASIA, LIMITED</v>
      </c>
      <c r="I585" s="6" t="s">
        <v>352</v>
      </c>
      <c r="J585" s="19">
        <v>410429265162</v>
      </c>
      <c r="K585" s="19" t="s">
        <v>3708</v>
      </c>
      <c r="L585" s="120" t="s">
        <v>3709</v>
      </c>
      <c r="M585" s="348"/>
      <c r="N585" s="120"/>
      <c r="O585" s="9" t="s">
        <v>3165</v>
      </c>
      <c r="P585" s="120"/>
      <c r="Q585" s="4">
        <v>45436</v>
      </c>
      <c r="R585" s="8">
        <v>45436</v>
      </c>
      <c r="S585" s="8">
        <v>45436</v>
      </c>
      <c r="T585" t="s">
        <v>3710</v>
      </c>
      <c r="U585" s="141" t="s">
        <v>3711</v>
      </c>
      <c r="V585" s="141"/>
      <c r="W585" s="8" t="s">
        <v>3634</v>
      </c>
      <c r="X585" t="s">
        <v>3635</v>
      </c>
      <c r="Y585" s="9" t="s">
        <v>3642</v>
      </c>
      <c r="Z585" t="s">
        <v>365</v>
      </c>
      <c r="AA585" s="8" t="s">
        <v>1264</v>
      </c>
      <c r="AB585" s="3"/>
      <c r="AC585" s="5" t="s">
        <v>3161</v>
      </c>
      <c r="AD585" s="76" t="s">
        <v>3647</v>
      </c>
    </row>
    <row r="586" spans="1:30" ht="29">
      <c r="A586" s="5" t="s">
        <v>545</v>
      </c>
      <c r="B586" s="46" t="s">
        <v>933</v>
      </c>
      <c r="C586" s="3"/>
      <c r="D586" t="s">
        <v>3153</v>
      </c>
      <c r="E586" s="141" t="s">
        <v>3154</v>
      </c>
      <c r="F586" t="s">
        <v>3155</v>
      </c>
      <c r="G586" t="s">
        <v>208</v>
      </c>
      <c r="H586" s="13" t="str">
        <f>IFERROR(VLOOKUP(G586, Sheet2!$A:$B, 2, FALSE), A586)</f>
        <v>THE BANK OF EAST ASIA, LIMITED</v>
      </c>
      <c r="I586" s="6" t="s">
        <v>352</v>
      </c>
      <c r="J586" s="19">
        <v>410429265162</v>
      </c>
      <c r="K586" s="19" t="s">
        <v>3712</v>
      </c>
      <c r="L586" s="120" t="s">
        <v>3713</v>
      </c>
      <c r="M586" s="348"/>
      <c r="N586" s="120"/>
      <c r="O586" s="9" t="s">
        <v>3165</v>
      </c>
      <c r="P586" s="120"/>
      <c r="Q586" s="4">
        <v>45436</v>
      </c>
      <c r="R586" s="8">
        <v>45436</v>
      </c>
      <c r="S586" s="8">
        <v>45436</v>
      </c>
      <c r="T586" t="s">
        <v>3714</v>
      </c>
      <c r="U586" s="141" t="s">
        <v>3715</v>
      </c>
      <c r="V586" s="141"/>
      <c r="W586" s="8" t="s">
        <v>3634</v>
      </c>
      <c r="X586" t="s">
        <v>3635</v>
      </c>
      <c r="Y586" s="9" t="s">
        <v>3642</v>
      </c>
      <c r="Z586" t="s">
        <v>365</v>
      </c>
      <c r="AA586" s="8" t="s">
        <v>1264</v>
      </c>
      <c r="AB586" s="3"/>
      <c r="AC586" s="5" t="s">
        <v>3161</v>
      </c>
      <c r="AD586" s="76" t="s">
        <v>3647</v>
      </c>
    </row>
    <row r="587" spans="1:30" ht="29">
      <c r="A587" s="5" t="s">
        <v>545</v>
      </c>
      <c r="B587" s="46" t="s">
        <v>933</v>
      </c>
      <c r="C587" s="3"/>
      <c r="D587" t="s">
        <v>3153</v>
      </c>
      <c r="E587" s="141" t="s">
        <v>3154</v>
      </c>
      <c r="F587" t="s">
        <v>3155</v>
      </c>
      <c r="G587" t="s">
        <v>208</v>
      </c>
      <c r="H587" s="13" t="str">
        <f>IFERROR(VLOOKUP(G587, Sheet2!$A:$B, 2, FALSE), A587)</f>
        <v>THE BANK OF EAST ASIA, LIMITED</v>
      </c>
      <c r="I587" s="6" t="s">
        <v>352</v>
      </c>
      <c r="J587" s="19">
        <v>410429265162</v>
      </c>
      <c r="K587" s="19" t="s">
        <v>3716</v>
      </c>
      <c r="L587" s="120" t="s">
        <v>3717</v>
      </c>
      <c r="M587" s="348"/>
      <c r="N587" s="120"/>
      <c r="O587" s="9" t="s">
        <v>3165</v>
      </c>
      <c r="P587" s="120"/>
      <c r="Q587" s="4">
        <v>45436</v>
      </c>
      <c r="R587" s="8">
        <v>45436</v>
      </c>
      <c r="S587" s="8">
        <v>45436</v>
      </c>
      <c r="T587" t="s">
        <v>3718</v>
      </c>
      <c r="U587" s="141" t="s">
        <v>3719</v>
      </c>
      <c r="V587" s="141"/>
      <c r="W587" s="8" t="s">
        <v>3634</v>
      </c>
      <c r="X587" t="s">
        <v>3635</v>
      </c>
      <c r="Y587" s="9" t="s">
        <v>3642</v>
      </c>
      <c r="Z587" t="s">
        <v>365</v>
      </c>
      <c r="AA587" s="8" t="s">
        <v>1264</v>
      </c>
      <c r="AB587" s="3"/>
      <c r="AC587" s="5" t="s">
        <v>3161</v>
      </c>
      <c r="AD587" s="76" t="s">
        <v>3647</v>
      </c>
    </row>
    <row r="588" spans="1:30" ht="29">
      <c r="A588" s="5" t="s">
        <v>545</v>
      </c>
      <c r="B588" s="46" t="s">
        <v>933</v>
      </c>
      <c r="C588" s="3"/>
      <c r="D588" t="s">
        <v>3153</v>
      </c>
      <c r="E588" s="141" t="s">
        <v>3154</v>
      </c>
      <c r="F588" t="s">
        <v>3155</v>
      </c>
      <c r="G588" t="s">
        <v>208</v>
      </c>
      <c r="H588" s="13" t="str">
        <f>IFERROR(VLOOKUP(G588, Sheet2!$A:$B, 2, FALSE), A588)</f>
        <v>THE BANK OF EAST ASIA, LIMITED</v>
      </c>
      <c r="I588" s="6" t="s">
        <v>352</v>
      </c>
      <c r="J588" s="19">
        <v>410429265162</v>
      </c>
      <c r="K588" s="19" t="s">
        <v>3720</v>
      </c>
      <c r="L588" s="120" t="s">
        <v>3721</v>
      </c>
      <c r="M588" s="348"/>
      <c r="N588" s="120"/>
      <c r="O588" s="9" t="s">
        <v>3165</v>
      </c>
      <c r="P588" s="120"/>
      <c r="Q588" s="4">
        <v>45436</v>
      </c>
      <c r="R588" s="8">
        <v>45436</v>
      </c>
      <c r="S588" s="8">
        <v>45436</v>
      </c>
      <c r="T588" t="s">
        <v>3722</v>
      </c>
      <c r="U588" s="141" t="s">
        <v>3723</v>
      </c>
      <c r="V588" s="141"/>
      <c r="W588" s="8" t="s">
        <v>3634</v>
      </c>
      <c r="X588" t="s">
        <v>3635</v>
      </c>
      <c r="Y588" s="9" t="s">
        <v>3642</v>
      </c>
      <c r="Z588" t="s">
        <v>365</v>
      </c>
      <c r="AA588" s="8" t="s">
        <v>1264</v>
      </c>
      <c r="AB588" s="3"/>
      <c r="AC588" s="5" t="s">
        <v>3161</v>
      </c>
      <c r="AD588" s="76" t="s">
        <v>3647</v>
      </c>
    </row>
    <row r="589" spans="1:30" ht="29">
      <c r="A589" s="5" t="s">
        <v>545</v>
      </c>
      <c r="B589" s="46" t="s">
        <v>933</v>
      </c>
      <c r="C589" s="3"/>
      <c r="D589" t="s">
        <v>3153</v>
      </c>
      <c r="E589" s="141" t="s">
        <v>3154</v>
      </c>
      <c r="F589" t="s">
        <v>3155</v>
      </c>
      <c r="G589" t="s">
        <v>208</v>
      </c>
      <c r="H589" s="13" t="str">
        <f>IFERROR(VLOOKUP(G589, Sheet2!$A:$B, 2, FALSE), A589)</f>
        <v>THE BANK OF EAST ASIA, LIMITED</v>
      </c>
      <c r="I589" s="6" t="s">
        <v>352</v>
      </c>
      <c r="J589" s="19">
        <v>410429265162</v>
      </c>
      <c r="K589" s="19" t="s">
        <v>3724</v>
      </c>
      <c r="L589" s="120" t="s">
        <v>3725</v>
      </c>
      <c r="M589" s="348"/>
      <c r="N589" s="120"/>
      <c r="O589" s="9" t="s">
        <v>3165</v>
      </c>
      <c r="P589" s="120"/>
      <c r="Q589" s="4">
        <v>45436</v>
      </c>
      <c r="R589" s="8">
        <v>45436</v>
      </c>
      <c r="S589" s="8">
        <v>45436</v>
      </c>
      <c r="T589" t="s">
        <v>3726</v>
      </c>
      <c r="U589" s="141" t="s">
        <v>3727</v>
      </c>
      <c r="V589" s="141"/>
      <c r="W589" s="8" t="s">
        <v>3634</v>
      </c>
      <c r="X589" t="s">
        <v>3635</v>
      </c>
      <c r="Y589" s="9" t="s">
        <v>3642</v>
      </c>
      <c r="Z589" t="s">
        <v>365</v>
      </c>
      <c r="AA589" s="8" t="s">
        <v>1264</v>
      </c>
      <c r="AB589" s="3"/>
      <c r="AC589" s="5" t="s">
        <v>3161</v>
      </c>
      <c r="AD589" s="76" t="s">
        <v>3647</v>
      </c>
    </row>
    <row r="590" spans="1:30" ht="29">
      <c r="A590" s="5" t="s">
        <v>545</v>
      </c>
      <c r="B590" s="46" t="s">
        <v>933</v>
      </c>
      <c r="C590" s="3"/>
      <c r="D590" t="s">
        <v>3153</v>
      </c>
      <c r="E590" s="141" t="s">
        <v>3154</v>
      </c>
      <c r="F590" t="s">
        <v>3155</v>
      </c>
      <c r="G590" t="s">
        <v>208</v>
      </c>
      <c r="H590" s="13" t="str">
        <f>IFERROR(VLOOKUP(G590, Sheet2!$A:$B, 2, FALSE), A590)</f>
        <v>THE BANK OF EAST ASIA, LIMITED</v>
      </c>
      <c r="I590" s="6" t="s">
        <v>352</v>
      </c>
      <c r="J590" s="19">
        <v>410429265162</v>
      </c>
      <c r="K590" s="19" t="s">
        <v>3728</v>
      </c>
      <c r="L590" s="120" t="s">
        <v>3729</v>
      </c>
      <c r="M590" s="348"/>
      <c r="N590" s="120"/>
      <c r="O590" s="9" t="s">
        <v>3165</v>
      </c>
      <c r="P590" s="120"/>
      <c r="Q590" s="4">
        <v>45436</v>
      </c>
      <c r="R590" s="8">
        <v>45436</v>
      </c>
      <c r="S590" s="8">
        <v>45436</v>
      </c>
      <c r="T590" t="s">
        <v>3730</v>
      </c>
      <c r="U590" s="141" t="s">
        <v>3731</v>
      </c>
      <c r="V590" s="141"/>
      <c r="W590" s="8" t="s">
        <v>3634</v>
      </c>
      <c r="X590" t="s">
        <v>3635</v>
      </c>
      <c r="Y590" s="9" t="s">
        <v>3642</v>
      </c>
      <c r="Z590" t="s">
        <v>365</v>
      </c>
      <c r="AA590" s="8" t="s">
        <v>1264</v>
      </c>
      <c r="AB590" s="3"/>
      <c r="AC590" s="5" t="s">
        <v>3161</v>
      </c>
      <c r="AD590" s="76" t="s">
        <v>3647</v>
      </c>
    </row>
    <row r="591" spans="1:30" ht="29">
      <c r="A591" s="5" t="s">
        <v>545</v>
      </c>
      <c r="B591" s="46" t="s">
        <v>933</v>
      </c>
      <c r="C591" s="3"/>
      <c r="D591" t="s">
        <v>3153</v>
      </c>
      <c r="E591" s="141" t="s">
        <v>3154</v>
      </c>
      <c r="F591" t="s">
        <v>3155</v>
      </c>
      <c r="G591" t="s">
        <v>208</v>
      </c>
      <c r="H591" s="13" t="str">
        <f>IFERROR(VLOOKUP(G591, Sheet2!$A:$B, 2, FALSE), A591)</f>
        <v>THE BANK OF EAST ASIA, LIMITED</v>
      </c>
      <c r="I591" s="6" t="s">
        <v>352</v>
      </c>
      <c r="J591" s="19">
        <v>410429265162</v>
      </c>
      <c r="K591" s="19" t="s">
        <v>3732</v>
      </c>
      <c r="L591" s="120" t="s">
        <v>3733</v>
      </c>
      <c r="M591" s="348"/>
      <c r="N591" s="120"/>
      <c r="O591" s="9" t="s">
        <v>3165</v>
      </c>
      <c r="P591" s="120"/>
      <c r="Q591" s="4">
        <v>45436</v>
      </c>
      <c r="R591" s="8">
        <v>45436</v>
      </c>
      <c r="S591" s="8">
        <v>45436</v>
      </c>
      <c r="T591" t="s">
        <v>3734</v>
      </c>
      <c r="U591" s="141" t="s">
        <v>3735</v>
      </c>
      <c r="V591" s="141"/>
      <c r="W591" s="8" t="s">
        <v>3634</v>
      </c>
      <c r="X591" t="s">
        <v>3635</v>
      </c>
      <c r="Y591" s="9" t="s">
        <v>3642</v>
      </c>
      <c r="Z591" t="s">
        <v>365</v>
      </c>
      <c r="AA591" s="8" t="s">
        <v>1264</v>
      </c>
      <c r="AB591" s="3"/>
      <c r="AC591" s="5" t="s">
        <v>3161</v>
      </c>
      <c r="AD591" s="76" t="s">
        <v>3647</v>
      </c>
    </row>
    <row r="592" spans="1:30" ht="29">
      <c r="A592" s="5" t="s">
        <v>545</v>
      </c>
      <c r="B592" s="46" t="s">
        <v>933</v>
      </c>
      <c r="C592" s="3"/>
      <c r="D592" t="s">
        <v>3153</v>
      </c>
      <c r="E592" s="141" t="s">
        <v>3154</v>
      </c>
      <c r="F592" t="s">
        <v>3155</v>
      </c>
      <c r="G592" t="s">
        <v>208</v>
      </c>
      <c r="H592" s="13" t="str">
        <f>IFERROR(VLOOKUP(G592, Sheet2!$A:$B, 2, FALSE), A592)</f>
        <v>THE BANK OF EAST ASIA, LIMITED</v>
      </c>
      <c r="I592" s="6" t="s">
        <v>352</v>
      </c>
      <c r="J592" s="19">
        <v>410429265162</v>
      </c>
      <c r="K592" s="19" t="s">
        <v>3736</v>
      </c>
      <c r="L592" s="120" t="s">
        <v>3737</v>
      </c>
      <c r="M592" s="348"/>
      <c r="N592" s="120"/>
      <c r="O592" s="9" t="s">
        <v>3165</v>
      </c>
      <c r="P592" s="120"/>
      <c r="Q592" s="4">
        <v>45436</v>
      </c>
      <c r="R592" s="8">
        <v>45436</v>
      </c>
      <c r="S592" s="8">
        <v>45436</v>
      </c>
      <c r="T592" t="s">
        <v>3738</v>
      </c>
      <c r="U592" s="141" t="s">
        <v>3739</v>
      </c>
      <c r="V592" s="141"/>
      <c r="W592" s="8" t="s">
        <v>3634</v>
      </c>
      <c r="X592" t="s">
        <v>3635</v>
      </c>
      <c r="Y592" s="9" t="s">
        <v>3642</v>
      </c>
      <c r="Z592" t="s">
        <v>365</v>
      </c>
      <c r="AA592" s="8" t="s">
        <v>1264</v>
      </c>
      <c r="AB592" s="3"/>
      <c r="AC592" s="5" t="s">
        <v>3161</v>
      </c>
      <c r="AD592" s="76" t="s">
        <v>3647</v>
      </c>
    </row>
    <row r="593" spans="1:30" ht="29">
      <c r="A593" s="5" t="s">
        <v>545</v>
      </c>
      <c r="B593" s="46" t="s">
        <v>933</v>
      </c>
      <c r="C593" s="3"/>
      <c r="D593" t="s">
        <v>3153</v>
      </c>
      <c r="E593" s="141" t="s">
        <v>3154</v>
      </c>
      <c r="F593" t="s">
        <v>3155</v>
      </c>
      <c r="G593" t="s">
        <v>208</v>
      </c>
      <c r="H593" s="13" t="str">
        <f>IFERROR(VLOOKUP(G593, Sheet2!$A:$B, 2, FALSE), A593)</f>
        <v>THE BANK OF EAST ASIA, LIMITED</v>
      </c>
      <c r="I593" s="6" t="s">
        <v>352</v>
      </c>
      <c r="J593" s="19">
        <v>410429265162</v>
      </c>
      <c r="K593" s="19" t="s">
        <v>3740</v>
      </c>
      <c r="L593" s="120" t="s">
        <v>3741</v>
      </c>
      <c r="M593" s="348"/>
      <c r="N593" s="120"/>
      <c r="O593" s="9" t="s">
        <v>3165</v>
      </c>
      <c r="P593" s="120"/>
      <c r="Q593" s="4">
        <v>45436</v>
      </c>
      <c r="R593" s="8">
        <v>45436</v>
      </c>
      <c r="S593" s="8">
        <v>45436</v>
      </c>
      <c r="T593" t="s">
        <v>3742</v>
      </c>
      <c r="U593" s="141" t="s">
        <v>3743</v>
      </c>
      <c r="V593" s="141"/>
      <c r="W593" s="8" t="s">
        <v>3634</v>
      </c>
      <c r="X593" t="s">
        <v>3635</v>
      </c>
      <c r="Y593" s="9" t="s">
        <v>3642</v>
      </c>
      <c r="Z593" t="s">
        <v>365</v>
      </c>
      <c r="AA593" s="8" t="s">
        <v>1264</v>
      </c>
      <c r="AB593" s="3"/>
      <c r="AC593" s="5" t="s">
        <v>3161</v>
      </c>
      <c r="AD593" s="76" t="s">
        <v>3647</v>
      </c>
    </row>
    <row r="594" spans="1:30" ht="29">
      <c r="A594" s="5" t="s">
        <v>545</v>
      </c>
      <c r="B594" s="46" t="s">
        <v>933</v>
      </c>
      <c r="C594" s="3"/>
      <c r="D594" t="s">
        <v>3153</v>
      </c>
      <c r="E594" s="141" t="s">
        <v>3154</v>
      </c>
      <c r="F594" t="s">
        <v>3155</v>
      </c>
      <c r="G594" t="s">
        <v>208</v>
      </c>
      <c r="H594" s="13" t="str">
        <f>IFERROR(VLOOKUP(G594, Sheet2!$A:$B, 2, FALSE), A594)</f>
        <v>THE BANK OF EAST ASIA, LIMITED</v>
      </c>
      <c r="I594" s="6" t="s">
        <v>352</v>
      </c>
      <c r="J594" s="19">
        <v>410429265162</v>
      </c>
      <c r="K594" s="19" t="s">
        <v>3744</v>
      </c>
      <c r="L594" s="120" t="s">
        <v>3745</v>
      </c>
      <c r="M594" s="348"/>
      <c r="N594" s="120"/>
      <c r="O594" s="9" t="s">
        <v>3165</v>
      </c>
      <c r="P594" s="120"/>
      <c r="Q594" s="4">
        <v>45436</v>
      </c>
      <c r="R594" s="8">
        <v>45436</v>
      </c>
      <c r="S594" s="8">
        <v>45436</v>
      </c>
      <c r="T594" t="s">
        <v>3746</v>
      </c>
      <c r="U594" s="141" t="s">
        <v>3747</v>
      </c>
      <c r="V594" s="141"/>
      <c r="W594" s="8" t="s">
        <v>3634</v>
      </c>
      <c r="X594" t="s">
        <v>3635</v>
      </c>
      <c r="Y594" s="9" t="s">
        <v>3642</v>
      </c>
      <c r="Z594" t="s">
        <v>365</v>
      </c>
      <c r="AA594" s="8" t="s">
        <v>1264</v>
      </c>
      <c r="AB594" s="3"/>
      <c r="AC594" s="5" t="s">
        <v>3161</v>
      </c>
      <c r="AD594" s="76" t="s">
        <v>3647</v>
      </c>
    </row>
    <row r="595" spans="1:30" ht="29">
      <c r="A595" s="5" t="s">
        <v>545</v>
      </c>
      <c r="B595" s="46" t="s">
        <v>933</v>
      </c>
      <c r="C595" s="3"/>
      <c r="D595" t="s">
        <v>3153</v>
      </c>
      <c r="E595" s="141" t="s">
        <v>3154</v>
      </c>
      <c r="F595" t="s">
        <v>3155</v>
      </c>
      <c r="G595" t="s">
        <v>208</v>
      </c>
      <c r="H595" s="13" t="str">
        <f>IFERROR(VLOOKUP(G595, Sheet2!$A:$B, 2, FALSE), A595)</f>
        <v>THE BANK OF EAST ASIA, LIMITED</v>
      </c>
      <c r="I595" s="6" t="s">
        <v>352</v>
      </c>
      <c r="J595" s="19">
        <v>410429265162</v>
      </c>
      <c r="K595" s="19" t="s">
        <v>3748</v>
      </c>
      <c r="L595" s="120" t="s">
        <v>3749</v>
      </c>
      <c r="M595" s="348"/>
      <c r="N595" s="120"/>
      <c r="O595" s="9" t="s">
        <v>3165</v>
      </c>
      <c r="P595" s="120"/>
      <c r="Q595" s="4">
        <v>45436</v>
      </c>
      <c r="R595" s="8">
        <v>45436</v>
      </c>
      <c r="S595" s="8">
        <v>45436</v>
      </c>
      <c r="T595" t="s">
        <v>3750</v>
      </c>
      <c r="U595" s="141" t="s">
        <v>3751</v>
      </c>
      <c r="V595" s="141"/>
      <c r="W595" s="8" t="s">
        <v>3634</v>
      </c>
      <c r="X595" t="s">
        <v>3635</v>
      </c>
      <c r="Y595" s="9" t="s">
        <v>3642</v>
      </c>
      <c r="Z595" t="s">
        <v>365</v>
      </c>
      <c r="AA595" s="8" t="s">
        <v>1264</v>
      </c>
      <c r="AB595" s="3"/>
      <c r="AC595" s="5" t="s">
        <v>3161</v>
      </c>
      <c r="AD595" s="76" t="s">
        <v>3647</v>
      </c>
    </row>
    <row r="596" spans="1:30" ht="29">
      <c r="A596" s="5" t="s">
        <v>545</v>
      </c>
      <c r="B596" s="46" t="s">
        <v>933</v>
      </c>
      <c r="C596" s="3"/>
      <c r="D596" t="s">
        <v>3153</v>
      </c>
      <c r="E596" s="141" t="s">
        <v>3154</v>
      </c>
      <c r="F596" t="s">
        <v>3155</v>
      </c>
      <c r="G596" t="s">
        <v>208</v>
      </c>
      <c r="H596" s="13" t="str">
        <f>IFERROR(VLOOKUP(G596, Sheet2!$A:$B, 2, FALSE), A596)</f>
        <v>THE BANK OF EAST ASIA, LIMITED</v>
      </c>
      <c r="I596" s="6" t="s">
        <v>352</v>
      </c>
      <c r="J596" s="19">
        <v>410429265162</v>
      </c>
      <c r="K596" s="19" t="s">
        <v>3752</v>
      </c>
      <c r="L596" s="120" t="s">
        <v>3753</v>
      </c>
      <c r="M596" s="348"/>
      <c r="N596" s="120"/>
      <c r="O596" s="9" t="s">
        <v>3165</v>
      </c>
      <c r="P596" s="120"/>
      <c r="Q596" s="4">
        <v>45436</v>
      </c>
      <c r="R596" s="8">
        <v>45436</v>
      </c>
      <c r="S596" s="8">
        <v>45436</v>
      </c>
      <c r="T596" t="s">
        <v>3754</v>
      </c>
      <c r="U596" s="141" t="s">
        <v>3755</v>
      </c>
      <c r="V596" s="141"/>
      <c r="W596" s="8" t="s">
        <v>3634</v>
      </c>
      <c r="X596" t="s">
        <v>3635</v>
      </c>
      <c r="Y596" s="9" t="s">
        <v>3642</v>
      </c>
      <c r="Z596" t="s">
        <v>365</v>
      </c>
      <c r="AA596" s="8" t="s">
        <v>1264</v>
      </c>
      <c r="AB596" s="3"/>
      <c r="AC596" s="5" t="s">
        <v>3161</v>
      </c>
      <c r="AD596" s="76" t="s">
        <v>3647</v>
      </c>
    </row>
    <row r="597" spans="1:30" ht="29">
      <c r="A597" s="5" t="s">
        <v>545</v>
      </c>
      <c r="B597" s="46" t="s">
        <v>933</v>
      </c>
      <c r="C597" s="3"/>
      <c r="D597" t="s">
        <v>3153</v>
      </c>
      <c r="E597" s="141" t="s">
        <v>3154</v>
      </c>
      <c r="F597" t="s">
        <v>3155</v>
      </c>
      <c r="G597" t="s">
        <v>208</v>
      </c>
      <c r="H597" s="13" t="str">
        <f>IFERROR(VLOOKUP(G597, Sheet2!$A:$B, 2, FALSE), A597)</f>
        <v>THE BANK OF EAST ASIA, LIMITED</v>
      </c>
      <c r="I597" s="6" t="s">
        <v>352</v>
      </c>
      <c r="J597" s="19">
        <v>410429265162</v>
      </c>
      <c r="K597" s="19" t="s">
        <v>3756</v>
      </c>
      <c r="L597" s="120" t="s">
        <v>3757</v>
      </c>
      <c r="M597" s="348"/>
      <c r="N597" s="120"/>
      <c r="O597" s="9" t="s">
        <v>3165</v>
      </c>
      <c r="P597" s="120"/>
      <c r="Q597" s="4">
        <v>45436</v>
      </c>
      <c r="R597" s="8">
        <v>45436</v>
      </c>
      <c r="S597" s="8">
        <v>45436</v>
      </c>
      <c r="T597" t="s">
        <v>3758</v>
      </c>
      <c r="U597" s="141" t="s">
        <v>3759</v>
      </c>
      <c r="V597" s="141"/>
      <c r="W597" s="8" t="s">
        <v>3634</v>
      </c>
      <c r="X597" t="s">
        <v>3635</v>
      </c>
      <c r="Y597" s="9" t="s">
        <v>3642</v>
      </c>
      <c r="Z597" t="s">
        <v>365</v>
      </c>
      <c r="AA597" s="8" t="s">
        <v>1264</v>
      </c>
      <c r="AB597" s="3"/>
      <c r="AC597" s="5" t="s">
        <v>3161</v>
      </c>
      <c r="AD597" s="76" t="s">
        <v>3647</v>
      </c>
    </row>
    <row r="598" spans="1:30" ht="29">
      <c r="A598" s="5" t="s">
        <v>545</v>
      </c>
      <c r="B598" s="46" t="s">
        <v>933</v>
      </c>
      <c r="C598" s="3"/>
      <c r="D598" t="s">
        <v>3153</v>
      </c>
      <c r="E598" s="141" t="s">
        <v>3154</v>
      </c>
      <c r="F598" t="s">
        <v>3155</v>
      </c>
      <c r="G598" t="s">
        <v>208</v>
      </c>
      <c r="H598" s="13" t="str">
        <f>IFERROR(VLOOKUP(G598, Sheet2!$A:$B, 2, FALSE), A598)</f>
        <v>THE BANK OF EAST ASIA, LIMITED</v>
      </c>
      <c r="I598" s="6" t="s">
        <v>352</v>
      </c>
      <c r="J598" s="19">
        <v>410429265162</v>
      </c>
      <c r="K598" s="19" t="s">
        <v>3760</v>
      </c>
      <c r="L598" s="120" t="s">
        <v>3761</v>
      </c>
      <c r="M598" s="348"/>
      <c r="N598" s="120"/>
      <c r="O598" s="9" t="s">
        <v>3165</v>
      </c>
      <c r="P598" s="120"/>
      <c r="Q598" s="4">
        <v>45436</v>
      </c>
      <c r="R598" s="8">
        <v>45436</v>
      </c>
      <c r="S598" s="8">
        <v>45436</v>
      </c>
      <c r="T598" t="s">
        <v>3762</v>
      </c>
      <c r="U598" s="141" t="s">
        <v>3763</v>
      </c>
      <c r="V598" s="141"/>
      <c r="W598" s="8" t="s">
        <v>3634</v>
      </c>
      <c r="X598" t="s">
        <v>3635</v>
      </c>
      <c r="Y598" s="9" t="s">
        <v>3642</v>
      </c>
      <c r="Z598" t="s">
        <v>365</v>
      </c>
      <c r="AA598" s="8" t="s">
        <v>1264</v>
      </c>
      <c r="AB598" s="3"/>
      <c r="AC598" s="5" t="s">
        <v>3161</v>
      </c>
      <c r="AD598" s="76" t="s">
        <v>3647</v>
      </c>
    </row>
    <row r="599" spans="1:30" ht="29">
      <c r="A599" s="5" t="s">
        <v>545</v>
      </c>
      <c r="B599" s="46" t="s">
        <v>933</v>
      </c>
      <c r="C599" s="3"/>
      <c r="D599" t="s">
        <v>3153</v>
      </c>
      <c r="E599" s="141" t="s">
        <v>3154</v>
      </c>
      <c r="F599" t="s">
        <v>3155</v>
      </c>
      <c r="G599" t="s">
        <v>208</v>
      </c>
      <c r="H599" s="13" t="str">
        <f>IFERROR(VLOOKUP(G599, Sheet2!$A:$B, 2, FALSE), A599)</f>
        <v>THE BANK OF EAST ASIA, LIMITED</v>
      </c>
      <c r="I599" s="6" t="s">
        <v>352</v>
      </c>
      <c r="J599" s="19">
        <v>410429265162</v>
      </c>
      <c r="K599" s="19" t="s">
        <v>3764</v>
      </c>
      <c r="L599" s="120" t="s">
        <v>3765</v>
      </c>
      <c r="M599" s="348"/>
      <c r="N599" s="120"/>
      <c r="O599" s="9" t="s">
        <v>3165</v>
      </c>
      <c r="P599" s="120"/>
      <c r="Q599" s="4">
        <v>45436</v>
      </c>
      <c r="R599" s="8">
        <v>45436</v>
      </c>
      <c r="S599" s="8">
        <v>45436</v>
      </c>
      <c r="T599" t="s">
        <v>3766</v>
      </c>
      <c r="U599" s="141" t="s">
        <v>3767</v>
      </c>
      <c r="V599" s="141"/>
      <c r="W599" s="8" t="s">
        <v>3634</v>
      </c>
      <c r="X599" t="s">
        <v>3635</v>
      </c>
      <c r="Y599" s="9" t="s">
        <v>3642</v>
      </c>
      <c r="Z599" t="s">
        <v>365</v>
      </c>
      <c r="AA599" s="8" t="s">
        <v>1264</v>
      </c>
      <c r="AB599" s="3"/>
      <c r="AC599" s="5" t="s">
        <v>3161</v>
      </c>
      <c r="AD599" s="76" t="s">
        <v>3647</v>
      </c>
    </row>
    <row r="600" spans="1:30" ht="29">
      <c r="A600" s="5" t="s">
        <v>545</v>
      </c>
      <c r="B600" s="46" t="s">
        <v>933</v>
      </c>
      <c r="C600" s="3"/>
      <c r="D600" t="s">
        <v>3153</v>
      </c>
      <c r="E600" s="141" t="s">
        <v>3154</v>
      </c>
      <c r="F600" t="s">
        <v>3155</v>
      </c>
      <c r="G600" t="s">
        <v>208</v>
      </c>
      <c r="H600" s="13" t="str">
        <f>IFERROR(VLOOKUP(G600, Sheet2!$A:$B, 2, FALSE), A600)</f>
        <v>THE BANK OF EAST ASIA, LIMITED</v>
      </c>
      <c r="I600" s="6" t="s">
        <v>352</v>
      </c>
      <c r="J600" s="19">
        <v>410429265162</v>
      </c>
      <c r="K600" s="19" t="s">
        <v>3768</v>
      </c>
      <c r="L600" s="120" t="s">
        <v>3769</v>
      </c>
      <c r="M600" s="348"/>
      <c r="N600" s="120"/>
      <c r="O600" s="9" t="s">
        <v>3165</v>
      </c>
      <c r="P600" s="120"/>
      <c r="Q600" s="4">
        <v>45436</v>
      </c>
      <c r="R600" s="8">
        <v>45436</v>
      </c>
      <c r="S600" s="8">
        <v>45436</v>
      </c>
      <c r="T600" t="s">
        <v>3770</v>
      </c>
      <c r="U600" s="141" t="s">
        <v>3771</v>
      </c>
      <c r="V600" s="141"/>
      <c r="W600" s="8" t="s">
        <v>3634</v>
      </c>
      <c r="X600" t="s">
        <v>3635</v>
      </c>
      <c r="Y600" s="9" t="s">
        <v>3642</v>
      </c>
      <c r="Z600" t="s">
        <v>365</v>
      </c>
      <c r="AA600" s="8" t="s">
        <v>1264</v>
      </c>
      <c r="AB600" s="3"/>
      <c r="AC600" s="5" t="s">
        <v>3161</v>
      </c>
      <c r="AD600" s="76" t="s">
        <v>3647</v>
      </c>
    </row>
    <row r="601" spans="1:30" ht="29">
      <c r="A601" s="5" t="s">
        <v>545</v>
      </c>
      <c r="B601" s="46" t="s">
        <v>933</v>
      </c>
      <c r="C601" s="3"/>
      <c r="D601" t="s">
        <v>3153</v>
      </c>
      <c r="E601" s="141" t="s">
        <v>3154</v>
      </c>
      <c r="F601" t="s">
        <v>3155</v>
      </c>
      <c r="G601" t="s">
        <v>208</v>
      </c>
      <c r="H601" s="13" t="str">
        <f>IFERROR(VLOOKUP(G601, Sheet2!$A:$B, 2, FALSE), A601)</f>
        <v>THE BANK OF EAST ASIA, LIMITED</v>
      </c>
      <c r="I601" s="6" t="s">
        <v>352</v>
      </c>
      <c r="J601" s="19">
        <v>410429265162</v>
      </c>
      <c r="K601" s="19" t="s">
        <v>3772</v>
      </c>
      <c r="L601" s="120" t="s">
        <v>3773</v>
      </c>
      <c r="M601" s="348"/>
      <c r="N601" s="120"/>
      <c r="O601" s="9" t="s">
        <v>3165</v>
      </c>
      <c r="P601" s="120"/>
      <c r="Q601" s="4">
        <v>45436</v>
      </c>
      <c r="R601" s="8">
        <v>45436</v>
      </c>
      <c r="S601" s="8">
        <v>45436</v>
      </c>
      <c r="T601" t="s">
        <v>3774</v>
      </c>
      <c r="U601" s="141" t="s">
        <v>3775</v>
      </c>
      <c r="V601" s="141"/>
      <c r="W601" s="8" t="s">
        <v>3634</v>
      </c>
      <c r="X601" t="s">
        <v>3635</v>
      </c>
      <c r="Y601" s="9" t="s">
        <v>3642</v>
      </c>
      <c r="Z601" t="s">
        <v>365</v>
      </c>
      <c r="AA601" s="8" t="s">
        <v>1264</v>
      </c>
      <c r="AB601" s="3"/>
      <c r="AC601" s="5" t="s">
        <v>3161</v>
      </c>
      <c r="AD601" s="76" t="s">
        <v>3647</v>
      </c>
    </row>
    <row r="602" spans="1:30" ht="29">
      <c r="A602" s="5" t="s">
        <v>545</v>
      </c>
      <c r="B602" s="46" t="s">
        <v>933</v>
      </c>
      <c r="C602" s="3"/>
      <c r="D602" t="s">
        <v>3153</v>
      </c>
      <c r="E602" s="141" t="s">
        <v>3154</v>
      </c>
      <c r="F602" t="s">
        <v>3155</v>
      </c>
      <c r="G602" t="s">
        <v>208</v>
      </c>
      <c r="H602" s="13" t="str">
        <f>IFERROR(VLOOKUP(G602, Sheet2!$A:$B, 2, FALSE), A602)</f>
        <v>THE BANK OF EAST ASIA, LIMITED</v>
      </c>
      <c r="I602" s="6" t="s">
        <v>352</v>
      </c>
      <c r="J602" s="19">
        <v>410429265162</v>
      </c>
      <c r="K602" s="19" t="s">
        <v>3776</v>
      </c>
      <c r="L602" s="120" t="s">
        <v>3777</v>
      </c>
      <c r="M602" s="348"/>
      <c r="N602" s="120"/>
      <c r="O602" s="9" t="s">
        <v>3165</v>
      </c>
      <c r="P602" s="120"/>
      <c r="Q602" s="4">
        <v>45436</v>
      </c>
      <c r="R602" s="8">
        <v>45436</v>
      </c>
      <c r="S602" s="8">
        <v>45436</v>
      </c>
      <c r="T602" t="s">
        <v>3778</v>
      </c>
      <c r="U602" s="141" t="s">
        <v>3779</v>
      </c>
      <c r="V602" s="141"/>
      <c r="W602" s="8" t="s">
        <v>3634</v>
      </c>
      <c r="X602" t="s">
        <v>3635</v>
      </c>
      <c r="Y602" s="9" t="s">
        <v>3642</v>
      </c>
      <c r="Z602" t="s">
        <v>365</v>
      </c>
      <c r="AA602" s="8" t="s">
        <v>1264</v>
      </c>
      <c r="AB602" s="3"/>
      <c r="AC602" s="5" t="s">
        <v>3161</v>
      </c>
      <c r="AD602" s="76" t="s">
        <v>3647</v>
      </c>
    </row>
    <row r="603" spans="1:30" ht="29">
      <c r="A603" s="5" t="s">
        <v>545</v>
      </c>
      <c r="B603" s="46" t="s">
        <v>933</v>
      </c>
      <c r="C603" s="3"/>
      <c r="D603" t="s">
        <v>3153</v>
      </c>
      <c r="E603" s="141" t="s">
        <v>3154</v>
      </c>
      <c r="F603" t="s">
        <v>3155</v>
      </c>
      <c r="G603" t="s">
        <v>208</v>
      </c>
      <c r="H603" s="13" t="str">
        <f>IFERROR(VLOOKUP(G603, Sheet2!$A:$B, 2, FALSE), A603)</f>
        <v>THE BANK OF EAST ASIA, LIMITED</v>
      </c>
      <c r="I603" s="6" t="s">
        <v>352</v>
      </c>
      <c r="J603" s="19">
        <v>410429265162</v>
      </c>
      <c r="K603" s="19" t="s">
        <v>3780</v>
      </c>
      <c r="L603" s="120" t="s">
        <v>3781</v>
      </c>
      <c r="M603" s="348"/>
      <c r="N603" s="120"/>
      <c r="O603" s="9" t="s">
        <v>3165</v>
      </c>
      <c r="P603" s="120"/>
      <c r="Q603" s="4">
        <v>45436</v>
      </c>
      <c r="R603" s="8">
        <v>45436</v>
      </c>
      <c r="S603" s="8">
        <v>45436</v>
      </c>
      <c r="T603" t="s">
        <v>3782</v>
      </c>
      <c r="U603" s="141" t="s">
        <v>3783</v>
      </c>
      <c r="V603" s="141"/>
      <c r="W603" s="8" t="s">
        <v>3634</v>
      </c>
      <c r="X603" t="s">
        <v>3635</v>
      </c>
      <c r="Y603" s="9" t="s">
        <v>3642</v>
      </c>
      <c r="Z603" t="s">
        <v>365</v>
      </c>
      <c r="AA603" s="8" t="s">
        <v>1264</v>
      </c>
      <c r="AB603" s="3"/>
      <c r="AC603" s="5" t="s">
        <v>3161</v>
      </c>
      <c r="AD603" s="76" t="s">
        <v>3647</v>
      </c>
    </row>
    <row r="604" spans="1:30" ht="29">
      <c r="A604" s="5" t="s">
        <v>545</v>
      </c>
      <c r="B604" s="46" t="s">
        <v>933</v>
      </c>
      <c r="C604" s="3"/>
      <c r="D604" t="s">
        <v>3153</v>
      </c>
      <c r="E604" s="141" t="s">
        <v>3154</v>
      </c>
      <c r="F604" t="s">
        <v>3155</v>
      </c>
      <c r="G604" t="s">
        <v>208</v>
      </c>
      <c r="H604" s="13" t="str">
        <f>IFERROR(VLOOKUP(G604, Sheet2!$A:$B, 2, FALSE), A604)</f>
        <v>THE BANK OF EAST ASIA, LIMITED</v>
      </c>
      <c r="I604" s="6" t="s">
        <v>352</v>
      </c>
      <c r="J604" s="19">
        <v>410429265162</v>
      </c>
      <c r="K604" s="19" t="s">
        <v>3784</v>
      </c>
      <c r="L604" s="120" t="s">
        <v>3785</v>
      </c>
      <c r="M604" s="348"/>
      <c r="N604" s="120"/>
      <c r="O604" s="9" t="s">
        <v>3165</v>
      </c>
      <c r="P604" s="120"/>
      <c r="Q604" s="4">
        <v>45436</v>
      </c>
      <c r="R604" s="8">
        <v>45436</v>
      </c>
      <c r="S604" s="8">
        <v>45436</v>
      </c>
      <c r="T604" t="s">
        <v>3786</v>
      </c>
      <c r="U604" s="141" t="s">
        <v>3787</v>
      </c>
      <c r="V604" s="141"/>
      <c r="W604" s="8" t="s">
        <v>3634</v>
      </c>
      <c r="X604" t="s">
        <v>3635</v>
      </c>
      <c r="Y604" s="9" t="s">
        <v>3642</v>
      </c>
      <c r="Z604" t="s">
        <v>365</v>
      </c>
      <c r="AA604" s="8" t="s">
        <v>1264</v>
      </c>
      <c r="AB604" s="3"/>
      <c r="AC604" s="5" t="s">
        <v>3161</v>
      </c>
      <c r="AD604" s="76" t="s">
        <v>3647</v>
      </c>
    </row>
    <row r="605" spans="1:30" ht="58">
      <c r="A605" s="3" t="s">
        <v>350</v>
      </c>
      <c r="B605" s="46" t="s">
        <v>933</v>
      </c>
      <c r="C605" s="3"/>
      <c r="D605" t="s">
        <v>3153</v>
      </c>
      <c r="E605" s="141" t="s">
        <v>3154</v>
      </c>
      <c r="F605" t="s">
        <v>3155</v>
      </c>
      <c r="G605" t="s">
        <v>208</v>
      </c>
      <c r="H605" s="13" t="str">
        <f>IFERROR(VLOOKUP(G605, Sheet2!$A:$B, 2, FALSE), A605)</f>
        <v>THE BANK OF EAST ASIA, LIMITED</v>
      </c>
      <c r="I605" s="6" t="s">
        <v>352</v>
      </c>
      <c r="J605" s="19">
        <v>410429265162</v>
      </c>
      <c r="K605" s="19">
        <v>21574901866</v>
      </c>
      <c r="L605" s="120" t="s">
        <v>3788</v>
      </c>
      <c r="M605" s="348"/>
      <c r="N605" s="120"/>
      <c r="O605" s="9" t="s">
        <v>3165</v>
      </c>
      <c r="P605" s="120"/>
      <c r="Q605" s="4">
        <v>45436</v>
      </c>
      <c r="R605" s="8">
        <v>45436</v>
      </c>
      <c r="S605" s="8">
        <v>45436</v>
      </c>
      <c r="T605" t="s">
        <v>3789</v>
      </c>
      <c r="U605" s="141" t="s">
        <v>3790</v>
      </c>
      <c r="V605" s="141"/>
      <c r="W605" s="8" t="s">
        <v>3634</v>
      </c>
      <c r="X605" t="s">
        <v>3635</v>
      </c>
      <c r="Y605" s="9" t="s">
        <v>3791</v>
      </c>
      <c r="Z605" t="s">
        <v>365</v>
      </c>
      <c r="AA605" s="8" t="s">
        <v>1264</v>
      </c>
      <c r="AB605" s="3"/>
      <c r="AC605" s="5" t="s">
        <v>3161</v>
      </c>
      <c r="AD605" s="76" t="s">
        <v>3647</v>
      </c>
    </row>
    <row r="606" spans="1:30" ht="73">
      <c r="A606" s="5" t="s">
        <v>545</v>
      </c>
      <c r="B606" s="46"/>
      <c r="C606" s="3"/>
      <c r="E606" s="141"/>
      <c r="G606" t="s">
        <v>176</v>
      </c>
      <c r="H606" s="13" t="str">
        <f>IFERROR(VLOOKUP(G606, Sheet2!$A:$B, 2, FALSE), A606)</f>
        <v>HOSPITAL AUTHORITY</v>
      </c>
      <c r="I606" s="6" t="s">
        <v>675</v>
      </c>
      <c r="J606" s="19"/>
      <c r="K606" s="19" t="s">
        <v>3792</v>
      </c>
      <c r="L606" s="120" t="s">
        <v>3793</v>
      </c>
      <c r="M606" s="358" t="s">
        <v>3794</v>
      </c>
      <c r="N606" s="120"/>
      <c r="O606" s="142" t="s">
        <v>3795</v>
      </c>
      <c r="P606" s="388" t="s">
        <v>3796</v>
      </c>
      <c r="Q606" s="8">
        <v>45383</v>
      </c>
      <c r="R606" s="8">
        <v>45407</v>
      </c>
      <c r="S606" s="8">
        <v>45383</v>
      </c>
      <c r="T606" t="s">
        <v>3797</v>
      </c>
      <c r="U606" t="s">
        <v>3798</v>
      </c>
      <c r="V606" s="141">
        <v>103828</v>
      </c>
      <c r="W606" s="4" t="s">
        <v>3485</v>
      </c>
      <c r="X606" t="s">
        <v>3799</v>
      </c>
      <c r="Y606" s="407" t="s">
        <v>3800</v>
      </c>
      <c r="AA606" s="8"/>
      <c r="AB606" s="3"/>
      <c r="AC606" s="3" t="s">
        <v>1249</v>
      </c>
      <c r="AD606" s="76" t="s">
        <v>3488</v>
      </c>
    </row>
    <row r="607" spans="1:30" ht="58">
      <c r="A607" s="3" t="s">
        <v>350</v>
      </c>
      <c r="B607" s="46" t="s">
        <v>933</v>
      </c>
      <c r="C607" s="3"/>
      <c r="E607" s="141"/>
      <c r="G607" t="s">
        <v>175</v>
      </c>
      <c r="H607" s="13" t="str">
        <f>IFERROR(VLOOKUP(G607, Sheet2!$A:$B, 2, FALSE), A607)</f>
        <v>HOSPITAL AUTHORITY</v>
      </c>
      <c r="I607" s="6" t="s">
        <v>352</v>
      </c>
      <c r="J607" s="19">
        <v>524889937358</v>
      </c>
      <c r="K607" s="19" t="s">
        <v>3801</v>
      </c>
      <c r="L607" s="120" t="s">
        <v>3802</v>
      </c>
      <c r="M607" s="358" t="s">
        <v>3803</v>
      </c>
      <c r="N607" s="120"/>
      <c r="O607" s="142" t="s">
        <v>3804</v>
      </c>
      <c r="P607" s="58" t="s">
        <v>3805</v>
      </c>
      <c r="Q607" s="8">
        <v>45413</v>
      </c>
      <c r="R607" s="8">
        <v>45408</v>
      </c>
      <c r="S607" s="8">
        <v>45415</v>
      </c>
      <c r="T607" t="s">
        <v>3806</v>
      </c>
      <c r="U607" t="s">
        <v>3807</v>
      </c>
      <c r="V607" s="141">
        <v>103905</v>
      </c>
      <c r="W607" s="8" t="s">
        <v>3808</v>
      </c>
      <c r="X607" t="s">
        <v>3809</v>
      </c>
      <c r="Y607" s="9" t="s">
        <v>3810</v>
      </c>
      <c r="AA607" s="8" t="s">
        <v>1072</v>
      </c>
      <c r="AB607" s="3"/>
      <c r="AC607" s="3"/>
    </row>
    <row r="608" spans="1:30" ht="58">
      <c r="A608" s="3" t="s">
        <v>350</v>
      </c>
      <c r="B608" s="46" t="s">
        <v>933</v>
      </c>
      <c r="C608" s="3"/>
      <c r="D608" s="141"/>
      <c r="E608" s="141"/>
      <c r="G608" t="s">
        <v>176</v>
      </c>
      <c r="H608" s="13" t="str">
        <f>IFERROR(VLOOKUP(G608, Sheet2!$A:$B, 2, FALSE), A608)</f>
        <v>HOSPITAL AUTHORITY</v>
      </c>
      <c r="I608" s="6" t="s">
        <v>675</v>
      </c>
      <c r="J608" s="19"/>
      <c r="K608" s="19" t="s">
        <v>3811</v>
      </c>
      <c r="L608" s="120" t="s">
        <v>3812</v>
      </c>
      <c r="M608" s="358" t="s">
        <v>3813</v>
      </c>
      <c r="N608" s="120"/>
      <c r="O608" s="142" t="s">
        <v>3795</v>
      </c>
      <c r="P608" s="409" t="s">
        <v>3814</v>
      </c>
      <c r="Q608" s="8">
        <v>45413</v>
      </c>
      <c r="R608" s="8">
        <v>45414</v>
      </c>
      <c r="S608" s="8">
        <v>45415</v>
      </c>
      <c r="T608" t="s">
        <v>3815</v>
      </c>
      <c r="U608" s="141" t="s">
        <v>3816</v>
      </c>
      <c r="V608" s="141">
        <v>103904</v>
      </c>
      <c r="W608" s="8" t="s">
        <v>3808</v>
      </c>
      <c r="X608" t="s">
        <v>3817</v>
      </c>
      <c r="Y608" s="9" t="s">
        <v>3818</v>
      </c>
      <c r="AA608" s="8" t="s">
        <v>1072</v>
      </c>
      <c r="AB608" s="3"/>
      <c r="AC608" s="3" t="s">
        <v>3819</v>
      </c>
      <c r="AD608" s="76" t="s">
        <v>3820</v>
      </c>
    </row>
    <row r="609" spans="1:30" ht="46.5">
      <c r="A609" s="5" t="s">
        <v>350</v>
      </c>
      <c r="B609" s="46" t="s">
        <v>933</v>
      </c>
      <c r="C609" s="3"/>
      <c r="D609" s="141" t="s">
        <v>3821</v>
      </c>
      <c r="E609" s="141">
        <v>37218824</v>
      </c>
      <c r="F609" s="110" t="s">
        <v>3822</v>
      </c>
      <c r="G609" t="s">
        <v>223</v>
      </c>
      <c r="H609" s="13" t="str">
        <f>IFERROR(VLOOKUP(G609, Sheet2!$A:$B, 2, FALSE), A609)</f>
        <v>New World Facilities Management Co Ltd</v>
      </c>
      <c r="I609" s="6" t="s">
        <v>3365</v>
      </c>
      <c r="J609" s="19">
        <v>759168424209</v>
      </c>
      <c r="K609" s="97" t="s">
        <v>3823</v>
      </c>
      <c r="L609" s="120" t="s">
        <v>3824</v>
      </c>
      <c r="M609" s="358"/>
      <c r="N609" s="120"/>
      <c r="O609" s="142" t="s">
        <v>3825</v>
      </c>
      <c r="P609" s="409"/>
      <c r="Q609" s="8">
        <v>45429</v>
      </c>
      <c r="R609" s="8">
        <v>45428</v>
      </c>
      <c r="S609" s="8">
        <v>45429</v>
      </c>
      <c r="T609" t="s">
        <v>3826</v>
      </c>
      <c r="U609" s="141" t="s">
        <v>3827</v>
      </c>
      <c r="V609" s="141">
        <v>103833</v>
      </c>
      <c r="W609" s="4" t="s">
        <v>3828</v>
      </c>
      <c r="X609" t="s">
        <v>3829</v>
      </c>
      <c r="Y609" s="9" t="s">
        <v>3830</v>
      </c>
      <c r="AA609" s="8"/>
      <c r="AB609" s="3"/>
      <c r="AC609" s="5" t="s">
        <v>3161</v>
      </c>
      <c r="AD609" s="76" t="s">
        <v>3831</v>
      </c>
    </row>
    <row r="610" spans="1:30" ht="104.5">
      <c r="A610" s="5" t="s">
        <v>350</v>
      </c>
      <c r="B610" s="46" t="s">
        <v>3118</v>
      </c>
      <c r="C610" s="3"/>
      <c r="D610" s="141" t="s">
        <v>3832</v>
      </c>
      <c r="E610" s="141" t="s">
        <v>3833</v>
      </c>
      <c r="F610" s="110" t="s">
        <v>3834</v>
      </c>
      <c r="G610" t="s">
        <v>224</v>
      </c>
      <c r="H610" s="13" t="str">
        <f>IFERROR(VLOOKUP(G610, Sheet2!$A:$B, 2, FALSE), A610)</f>
        <v>FANO LABS LIMITED</v>
      </c>
      <c r="I610" s="6" t="s">
        <v>3365</v>
      </c>
      <c r="J610" s="97"/>
      <c r="K610" s="19" t="s">
        <v>3835</v>
      </c>
      <c r="L610" s="120" t="s">
        <v>3836</v>
      </c>
      <c r="M610" s="358" t="s">
        <v>3837</v>
      </c>
      <c r="N610" s="120"/>
      <c r="O610" s="142"/>
      <c r="P610" s="409"/>
      <c r="Q610" s="8">
        <v>45443</v>
      </c>
      <c r="R610" s="8">
        <v>45429</v>
      </c>
      <c r="S610" s="8">
        <v>45436</v>
      </c>
      <c r="T610" t="s">
        <v>3838</v>
      </c>
      <c r="U610" s="141" t="s">
        <v>3839</v>
      </c>
      <c r="V610" s="141">
        <v>103836</v>
      </c>
      <c r="W610" s="4" t="s">
        <v>3840</v>
      </c>
      <c r="X610" t="s">
        <v>3841</v>
      </c>
      <c r="Y610" s="9" t="s">
        <v>3842</v>
      </c>
      <c r="AA610" s="8" t="s">
        <v>3843</v>
      </c>
      <c r="AB610" s="3" t="s">
        <v>375</v>
      </c>
      <c r="AC610" s="5" t="s">
        <v>2680</v>
      </c>
      <c r="AD610" s="76" t="s">
        <v>3844</v>
      </c>
    </row>
    <row r="611" spans="1:30" ht="130.5">
      <c r="A611" s="5" t="s">
        <v>350</v>
      </c>
      <c r="B611" s="46" t="s">
        <v>933</v>
      </c>
      <c r="C611" s="3"/>
      <c r="D611" s="141" t="s">
        <v>3845</v>
      </c>
      <c r="E611" s="141" t="s">
        <v>3846</v>
      </c>
      <c r="F611" s="110" t="s">
        <v>3847</v>
      </c>
      <c r="G611" t="s">
        <v>132</v>
      </c>
      <c r="H611" s="13" t="str">
        <f>IFERROR(VLOOKUP(G611, Sheet2!$A:$B, 2, FALSE), A611)</f>
        <v>SHANGHAI COMMERCIAL BANK LTD</v>
      </c>
      <c r="I611" s="6" t="s">
        <v>3365</v>
      </c>
      <c r="J611" s="97"/>
      <c r="K611" s="19">
        <v>28254448425</v>
      </c>
      <c r="L611" s="120" t="s">
        <v>3848</v>
      </c>
      <c r="M611" s="358" t="s">
        <v>3849</v>
      </c>
      <c r="N611" s="120"/>
      <c r="O611" s="142"/>
      <c r="P611" s="409"/>
      <c r="Q611" s="8">
        <v>45474</v>
      </c>
      <c r="R611" s="8">
        <v>45432</v>
      </c>
      <c r="S611" s="8">
        <v>45474</v>
      </c>
      <c r="T611" t="s">
        <v>3850</v>
      </c>
      <c r="U611" s="141" t="s">
        <v>3851</v>
      </c>
      <c r="V611" s="141">
        <v>103838</v>
      </c>
      <c r="W611" s="4" t="s">
        <v>3852</v>
      </c>
      <c r="X611" t="s">
        <v>3853</v>
      </c>
      <c r="Y611" s="203" t="s">
        <v>3854</v>
      </c>
      <c r="AA611" s="8" t="s">
        <v>781</v>
      </c>
      <c r="AB611" s="3"/>
      <c r="AC611" s="5"/>
      <c r="AD611" s="76" t="s">
        <v>3855</v>
      </c>
    </row>
    <row r="612" spans="1:30" ht="43.5">
      <c r="A612" s="5" t="s">
        <v>350</v>
      </c>
      <c r="B612" s="46" t="s">
        <v>933</v>
      </c>
      <c r="C612" s="3"/>
      <c r="D612" s="141" t="s">
        <v>2685</v>
      </c>
      <c r="E612" s="141" t="s">
        <v>3856</v>
      </c>
      <c r="F612" s="110" t="s">
        <v>3574</v>
      </c>
      <c r="G612" t="s">
        <v>43</v>
      </c>
      <c r="H612" s="13" t="str">
        <f>IFERROR(VLOOKUP(G612, Sheet2!$A:$B, 2, FALSE), A612)</f>
        <v>CHOW TAI FOOK JEWELLERY CO LTD</v>
      </c>
      <c r="I612" s="6" t="s">
        <v>3365</v>
      </c>
      <c r="J612" s="100" t="s">
        <v>609</v>
      </c>
      <c r="K612" s="19" t="s">
        <v>3857</v>
      </c>
      <c r="L612" s="120" t="s">
        <v>3858</v>
      </c>
      <c r="M612" s="358"/>
      <c r="N612" s="120"/>
      <c r="O612" s="142"/>
      <c r="P612" s="409"/>
      <c r="Q612" s="8">
        <v>45412</v>
      </c>
      <c r="R612" s="8">
        <v>45433</v>
      </c>
      <c r="S612" s="8">
        <v>45412</v>
      </c>
      <c r="T612" t="s">
        <v>3859</v>
      </c>
      <c r="U612" s="141" t="s">
        <v>3860</v>
      </c>
      <c r="V612" s="141">
        <v>103844</v>
      </c>
      <c r="W612" s="4" t="s">
        <v>3861</v>
      </c>
      <c r="X612" t="s">
        <v>3862</v>
      </c>
      <c r="Y612" s="9" t="s">
        <v>3863</v>
      </c>
      <c r="AA612" s="8" t="s">
        <v>781</v>
      </c>
      <c r="AB612" s="3"/>
      <c r="AC612" s="5"/>
      <c r="AD612" s="76" t="s">
        <v>3864</v>
      </c>
    </row>
    <row r="613" spans="1:30" ht="43.5">
      <c r="A613" s="5" t="s">
        <v>350</v>
      </c>
      <c r="B613" s="46" t="s">
        <v>933</v>
      </c>
      <c r="C613" s="3"/>
      <c r="D613" s="141" t="s">
        <v>2685</v>
      </c>
      <c r="E613" s="141" t="s">
        <v>3856</v>
      </c>
      <c r="F613" s="110" t="s">
        <v>2951</v>
      </c>
      <c r="G613" t="s">
        <v>43</v>
      </c>
      <c r="H613" s="13" t="str">
        <f>IFERROR(VLOOKUP(G613, Sheet2!$A:$B, 2, FALSE), A613)</f>
        <v>CHOW TAI FOOK JEWELLERY CO LTD</v>
      </c>
      <c r="I613" s="6" t="s">
        <v>3365</v>
      </c>
      <c r="J613" s="100" t="s">
        <v>609</v>
      </c>
      <c r="K613" s="19" t="s">
        <v>3865</v>
      </c>
      <c r="L613" s="120" t="s">
        <v>3866</v>
      </c>
      <c r="M613" s="358"/>
      <c r="N613" s="120"/>
      <c r="O613" s="142"/>
      <c r="P613" s="409"/>
      <c r="Q613" s="8">
        <v>45412</v>
      </c>
      <c r="R613" s="8">
        <v>45433</v>
      </c>
      <c r="S613" s="8">
        <v>45412</v>
      </c>
      <c r="T613" t="s">
        <v>3867</v>
      </c>
      <c r="U613" s="141" t="s">
        <v>3868</v>
      </c>
      <c r="V613" s="141">
        <v>103839</v>
      </c>
      <c r="W613" s="4" t="s">
        <v>3861</v>
      </c>
      <c r="X613" t="s">
        <v>3869</v>
      </c>
      <c r="Y613" s="9" t="s">
        <v>3863</v>
      </c>
      <c r="AA613" s="8" t="s">
        <v>781</v>
      </c>
      <c r="AB613" s="3"/>
      <c r="AC613" s="5"/>
      <c r="AD613" s="76" t="s">
        <v>3864</v>
      </c>
    </row>
    <row r="614" spans="1:30" ht="43.5">
      <c r="A614" s="5" t="s">
        <v>350</v>
      </c>
      <c r="B614" s="46" t="s">
        <v>933</v>
      </c>
      <c r="C614" s="3"/>
      <c r="D614" s="141" t="s">
        <v>2685</v>
      </c>
      <c r="E614" s="141" t="s">
        <v>3856</v>
      </c>
      <c r="F614" s="110" t="s">
        <v>2951</v>
      </c>
      <c r="G614" t="s">
        <v>43</v>
      </c>
      <c r="H614" s="13" t="str">
        <f>IFERROR(VLOOKUP(G614, Sheet2!$A:$B, 2, FALSE), A614)</f>
        <v>CHOW TAI FOOK JEWELLERY CO LTD</v>
      </c>
      <c r="I614" s="6" t="s">
        <v>3365</v>
      </c>
      <c r="J614" s="100" t="s">
        <v>609</v>
      </c>
      <c r="K614" s="19" t="s">
        <v>3870</v>
      </c>
      <c r="L614" s="120" t="s">
        <v>3871</v>
      </c>
      <c r="M614" s="358"/>
      <c r="N614" s="120"/>
      <c r="O614" s="142"/>
      <c r="P614" s="409"/>
      <c r="Q614" s="8">
        <v>45412</v>
      </c>
      <c r="R614" s="8">
        <v>45433</v>
      </c>
      <c r="S614" s="8">
        <v>45412</v>
      </c>
      <c r="T614" t="s">
        <v>3872</v>
      </c>
      <c r="U614" s="141" t="s">
        <v>3873</v>
      </c>
      <c r="V614" s="141">
        <v>103845</v>
      </c>
      <c r="W614" s="4" t="s">
        <v>3861</v>
      </c>
      <c r="X614" t="s">
        <v>3874</v>
      </c>
      <c r="Y614" s="9" t="s">
        <v>3863</v>
      </c>
      <c r="AA614" s="8" t="s">
        <v>781</v>
      </c>
      <c r="AB614" s="3"/>
      <c r="AC614" s="5"/>
      <c r="AD614" s="76" t="s">
        <v>3864</v>
      </c>
    </row>
    <row r="615" spans="1:30" ht="43.5">
      <c r="A615" s="5" t="s">
        <v>350</v>
      </c>
      <c r="B615" s="46" t="s">
        <v>933</v>
      </c>
      <c r="C615" s="3"/>
      <c r="D615" s="141" t="s">
        <v>2685</v>
      </c>
      <c r="E615" s="141" t="s">
        <v>3856</v>
      </c>
      <c r="F615" s="110" t="s">
        <v>2951</v>
      </c>
      <c r="G615" t="s">
        <v>43</v>
      </c>
      <c r="H615" s="13" t="str">
        <f>IFERROR(VLOOKUP(G615, Sheet2!$A:$B, 2, FALSE), A615)</f>
        <v>CHOW TAI FOOK JEWELLERY CO LTD</v>
      </c>
      <c r="I615" s="6" t="s">
        <v>3365</v>
      </c>
      <c r="J615" s="100" t="s">
        <v>609</v>
      </c>
      <c r="K615" s="19" t="s">
        <v>3875</v>
      </c>
      <c r="L615" s="120" t="s">
        <v>3876</v>
      </c>
      <c r="M615" s="358"/>
      <c r="N615" s="120"/>
      <c r="O615" s="142"/>
      <c r="P615" s="409"/>
      <c r="Q615" s="8">
        <v>45412</v>
      </c>
      <c r="R615" s="8">
        <v>45433</v>
      </c>
      <c r="S615" s="8">
        <v>45412</v>
      </c>
      <c r="T615" t="s">
        <v>3877</v>
      </c>
      <c r="U615" s="141" t="s">
        <v>3878</v>
      </c>
      <c r="V615" s="141">
        <v>103843</v>
      </c>
      <c r="W615" s="4" t="s">
        <v>3861</v>
      </c>
      <c r="X615" t="s">
        <v>3879</v>
      </c>
      <c r="Y615" s="9" t="s">
        <v>3863</v>
      </c>
      <c r="AA615" s="8" t="s">
        <v>781</v>
      </c>
      <c r="AB615" s="3"/>
      <c r="AC615" s="5"/>
      <c r="AD615" s="76" t="s">
        <v>3864</v>
      </c>
    </row>
    <row r="616" spans="1:30" ht="43.5">
      <c r="A616" s="5" t="s">
        <v>350</v>
      </c>
      <c r="B616" s="46" t="s">
        <v>933</v>
      </c>
      <c r="C616" s="3"/>
      <c r="D616" s="141" t="s">
        <v>2707</v>
      </c>
      <c r="E616" s="141" t="s">
        <v>3856</v>
      </c>
      <c r="F616" s="110" t="s">
        <v>2951</v>
      </c>
      <c r="G616" t="s">
        <v>43</v>
      </c>
      <c r="H616" s="13" t="str">
        <f>IFERROR(VLOOKUP(G616, Sheet2!$A:$B, 2, FALSE), A616)</f>
        <v>CHOW TAI FOOK JEWELLERY CO LTD</v>
      </c>
      <c r="I616" s="6" t="s">
        <v>3365</v>
      </c>
      <c r="J616" s="100" t="s">
        <v>609</v>
      </c>
      <c r="K616" s="19">
        <v>58264092250</v>
      </c>
      <c r="L616" s="120" t="s">
        <v>3880</v>
      </c>
      <c r="M616" s="358"/>
      <c r="N616" s="120"/>
      <c r="O616" s="142"/>
      <c r="P616" s="409"/>
      <c r="Q616" s="8">
        <v>45412</v>
      </c>
      <c r="R616" s="8">
        <v>45433</v>
      </c>
      <c r="S616" s="8">
        <v>45412</v>
      </c>
      <c r="T616" t="s">
        <v>3881</v>
      </c>
      <c r="U616" s="141" t="s">
        <v>3882</v>
      </c>
      <c r="V616" s="141">
        <v>103842</v>
      </c>
      <c r="W616" s="4" t="s">
        <v>3861</v>
      </c>
      <c r="X616" t="s">
        <v>3883</v>
      </c>
      <c r="Y616" s="9" t="s">
        <v>3863</v>
      </c>
      <c r="AA616" s="8" t="s">
        <v>781</v>
      </c>
      <c r="AB616" s="3"/>
      <c r="AC616" s="5"/>
      <c r="AD616" s="76" t="s">
        <v>3864</v>
      </c>
    </row>
    <row r="617" spans="1:30" ht="123">
      <c r="A617" s="5" t="s">
        <v>545</v>
      </c>
      <c r="B617" s="46" t="s">
        <v>933</v>
      </c>
      <c r="C617" s="3"/>
      <c r="D617" s="141" t="s">
        <v>3884</v>
      </c>
      <c r="E617" s="141" t="s">
        <v>3885</v>
      </c>
      <c r="F617" s="110" t="s">
        <v>3886</v>
      </c>
      <c r="G617" t="s">
        <v>226</v>
      </c>
      <c r="H617" s="13" t="str">
        <f>IFERROR(VLOOKUP(G617, Sheet2!$A:$B, 2, FALSE), A617)</f>
        <v>CAM 8 – AWS ACCOUNT FOR HKT EMS TEAM</v>
      </c>
      <c r="I617" s="6" t="s">
        <v>3365</v>
      </c>
      <c r="J617" s="97"/>
      <c r="K617" s="19" t="s">
        <v>3887</v>
      </c>
      <c r="L617" s="120" t="s">
        <v>3888</v>
      </c>
      <c r="M617" s="358"/>
      <c r="N617" s="120"/>
      <c r="O617" s="142" t="s">
        <v>3889</v>
      </c>
      <c r="P617" s="409"/>
      <c r="Q617" s="8">
        <v>45436</v>
      </c>
      <c r="R617" s="8">
        <v>45435</v>
      </c>
      <c r="S617" s="8">
        <v>45436</v>
      </c>
      <c r="T617" t="s">
        <v>3890</v>
      </c>
      <c r="U617" s="141" t="s">
        <v>3891</v>
      </c>
      <c r="V617" s="141">
        <v>101848</v>
      </c>
      <c r="W617" s="4" t="s">
        <v>3892</v>
      </c>
      <c r="X617" t="s">
        <v>3893</v>
      </c>
      <c r="Y617" s="56" t="s">
        <v>3894</v>
      </c>
      <c r="AA617" s="8"/>
      <c r="AB617" s="3"/>
      <c r="AC617" s="5" t="s">
        <v>2680</v>
      </c>
      <c r="AD617" s="76" t="s">
        <v>3895</v>
      </c>
    </row>
    <row r="618" spans="1:30" ht="105">
      <c r="A618" s="5" t="s">
        <v>545</v>
      </c>
      <c r="B618" s="46" t="s">
        <v>933</v>
      </c>
      <c r="C618" s="5"/>
      <c r="D618" s="410" t="s">
        <v>3896</v>
      </c>
      <c r="E618" s="410" t="s">
        <v>3897</v>
      </c>
      <c r="F618" s="396" t="s">
        <v>3898</v>
      </c>
      <c r="G618" s="22" t="s">
        <v>228</v>
      </c>
      <c r="H618" s="13" t="str">
        <f>IFERROR(VLOOKUP(G618, Sheet2!$A:$B, 2, FALSE), A618)</f>
        <v>GAMMON CONSTRUCTION LTD</v>
      </c>
      <c r="I618" s="6" t="s">
        <v>410</v>
      </c>
      <c r="J618" s="19"/>
      <c r="K618" s="48" t="s">
        <v>3899</v>
      </c>
      <c r="L618" s="120" t="s">
        <v>3900</v>
      </c>
      <c r="M618" s="358" t="s">
        <v>3901</v>
      </c>
      <c r="N618" s="120"/>
      <c r="O618" s="411" t="s">
        <v>3902</v>
      </c>
      <c r="P618" s="120"/>
      <c r="Q618" s="392">
        <v>45450</v>
      </c>
      <c r="R618" s="4">
        <v>45443</v>
      </c>
      <c r="S618" s="4">
        <v>45450</v>
      </c>
      <c r="T618" t="s">
        <v>3903</v>
      </c>
      <c r="U618" s="141" t="s">
        <v>3904</v>
      </c>
      <c r="V618" s="141">
        <v>103898</v>
      </c>
      <c r="W618" s="4" t="s">
        <v>3905</v>
      </c>
      <c r="X618" t="s">
        <v>3906</v>
      </c>
      <c r="Y618" s="412" t="s">
        <v>3907</v>
      </c>
      <c r="AA618" s="4" t="s">
        <v>3843</v>
      </c>
      <c r="AB618" s="5" t="s">
        <v>375</v>
      </c>
      <c r="AC618" s="5" t="s">
        <v>2851</v>
      </c>
      <c r="AD618" s="354" t="s">
        <v>3908</v>
      </c>
    </row>
    <row r="619" spans="1:30" ht="72.5">
      <c r="A619" s="5" t="s">
        <v>350</v>
      </c>
      <c r="B619" s="46" t="s">
        <v>933</v>
      </c>
      <c r="C619" s="3"/>
      <c r="D619" s="141" t="s">
        <v>3130</v>
      </c>
      <c r="E619" s="413">
        <v>67594210</v>
      </c>
      <c r="F619" t="s">
        <v>3909</v>
      </c>
      <c r="G619" t="s">
        <v>199</v>
      </c>
      <c r="H619" s="13" t="str">
        <f>IFERROR(VLOOKUP(G619, Sheet2!$A:$B, 2, FALSE), A619)</f>
        <v>New World Corporate Services Limited</v>
      </c>
      <c r="I619" s="6" t="s">
        <v>352</v>
      </c>
      <c r="J619" s="19">
        <v>759168424209</v>
      </c>
      <c r="K619" s="109" t="s">
        <v>3910</v>
      </c>
      <c r="L619" s="120" t="s">
        <v>3911</v>
      </c>
      <c r="M619" s="414" t="s">
        <v>3912</v>
      </c>
      <c r="N619" s="120"/>
      <c r="O619" s="142" t="s">
        <v>3309</v>
      </c>
      <c r="P619" s="120"/>
      <c r="Q619" s="8">
        <v>45457</v>
      </c>
      <c r="R619" s="8">
        <v>45446</v>
      </c>
      <c r="S619" s="8">
        <v>45457</v>
      </c>
      <c r="T619" t="s">
        <v>3913</v>
      </c>
      <c r="U619" s="141" t="s">
        <v>3914</v>
      </c>
      <c r="V619" s="141">
        <v>103915</v>
      </c>
      <c r="W619" s="8" t="s">
        <v>3915</v>
      </c>
      <c r="X619" t="s">
        <v>3916</v>
      </c>
      <c r="Y619" s="9" t="s">
        <v>3917</v>
      </c>
      <c r="Z619" t="s">
        <v>365</v>
      </c>
      <c r="AA619" s="8"/>
      <c r="AB619" s="3"/>
      <c r="AC619" s="5" t="s">
        <v>945</v>
      </c>
      <c r="AD619" s="76" t="s">
        <v>3918</v>
      </c>
    </row>
    <row r="620" spans="1:30" ht="29">
      <c r="A620" s="3" t="s">
        <v>350</v>
      </c>
      <c r="B620" s="46" t="s">
        <v>933</v>
      </c>
      <c r="C620" s="3"/>
      <c r="D620" s="141" t="s">
        <v>2922</v>
      </c>
      <c r="E620" s="141" t="s">
        <v>3919</v>
      </c>
      <c r="F620" t="s">
        <v>3920</v>
      </c>
      <c r="G620" t="s">
        <v>176</v>
      </c>
      <c r="H620" s="13" t="str">
        <f>IFERROR(VLOOKUP(G620, Sheet2!$A:$B, 2, FALSE), A620)</f>
        <v>HOSPITAL AUTHORITY</v>
      </c>
      <c r="I620" s="6" t="s">
        <v>352</v>
      </c>
      <c r="J620" s="19">
        <v>524889937358</v>
      </c>
      <c r="K620" s="109">
        <v>58264142691</v>
      </c>
      <c r="L620" s="120" t="s">
        <v>3921</v>
      </c>
      <c r="M620" s="358" t="s">
        <v>3922</v>
      </c>
      <c r="N620" s="120"/>
      <c r="O620" s="142" t="s">
        <v>3795</v>
      </c>
      <c r="P620" s="120"/>
      <c r="Q620" s="8">
        <v>45383</v>
      </c>
      <c r="R620" s="8">
        <v>45446</v>
      </c>
      <c r="S620" s="8">
        <v>45383</v>
      </c>
      <c r="T620" t="s">
        <v>3923</v>
      </c>
      <c r="U620" s="141" t="s">
        <v>3924</v>
      </c>
      <c r="V620" s="141">
        <v>103899</v>
      </c>
      <c r="W620" s="8" t="s">
        <v>3925</v>
      </c>
      <c r="X620" t="s">
        <v>3926</v>
      </c>
      <c r="Y620" s="7" t="s">
        <v>3927</v>
      </c>
      <c r="Z620" t="s">
        <v>365</v>
      </c>
      <c r="AA620" s="8" t="s">
        <v>1264</v>
      </c>
      <c r="AB620" s="3" t="s">
        <v>944</v>
      </c>
      <c r="AC620" s="3" t="s">
        <v>945</v>
      </c>
      <c r="AD620" t="s">
        <v>3928</v>
      </c>
    </row>
    <row r="621" spans="1:30" ht="72.5">
      <c r="A621" s="3" t="s">
        <v>350</v>
      </c>
      <c r="B621" s="46" t="s">
        <v>933</v>
      </c>
      <c r="C621" s="3"/>
      <c r="D621" s="141"/>
      <c r="E621" s="141"/>
      <c r="G621" t="s">
        <v>176</v>
      </c>
      <c r="H621" s="13" t="str">
        <f>IFERROR(VLOOKUP(G621, Sheet2!$A:$B, 2, FALSE), A621)</f>
        <v>HOSPITAL AUTHORITY</v>
      </c>
      <c r="I621" s="6" t="s">
        <v>352</v>
      </c>
      <c r="J621" s="19">
        <v>524889937358</v>
      </c>
      <c r="K621" s="19" t="s">
        <v>3929</v>
      </c>
      <c r="L621" s="415" t="s">
        <v>3930</v>
      </c>
      <c r="M621" s="416" t="s">
        <v>3931</v>
      </c>
      <c r="N621" s="120"/>
      <c r="O621" s="142" t="s">
        <v>3932</v>
      </c>
      <c r="P621" s="93" t="s">
        <v>3933</v>
      </c>
      <c r="Q621" s="8">
        <v>45413</v>
      </c>
      <c r="R621" s="8">
        <v>45408</v>
      </c>
      <c r="S621" s="8">
        <v>45415</v>
      </c>
      <c r="T621" t="s">
        <v>3934</v>
      </c>
      <c r="U621" s="141" t="s">
        <v>3935</v>
      </c>
      <c r="V621" s="141">
        <v>103906</v>
      </c>
      <c r="W621" s="8" t="s">
        <v>3808</v>
      </c>
      <c r="X621" t="s">
        <v>3936</v>
      </c>
      <c r="Y621" s="7" t="s">
        <v>3937</v>
      </c>
      <c r="Z621" t="s">
        <v>365</v>
      </c>
      <c r="AA621" s="8" t="s">
        <v>1072</v>
      </c>
      <c r="AB621" s="3" t="s">
        <v>944</v>
      </c>
      <c r="AC621" s="3"/>
      <c r="AD621" s="76" t="s">
        <v>3820</v>
      </c>
    </row>
    <row r="622" spans="1:30" ht="72.5">
      <c r="A622" s="417" t="s">
        <v>350</v>
      </c>
      <c r="B622" s="418"/>
      <c r="C622" s="3"/>
      <c r="D622" s="419" t="s">
        <v>2615</v>
      </c>
      <c r="E622" s="419"/>
      <c r="F622" s="420" t="s">
        <v>3938</v>
      </c>
      <c r="G622" s="421" t="s">
        <v>175</v>
      </c>
      <c r="H622" s="13" t="str">
        <f>IFERROR(VLOOKUP(G622, Sheet2!$A:$B, 2, FALSE), A622)</f>
        <v>HOSPITAL AUTHORITY</v>
      </c>
      <c r="I622" s="422" t="s">
        <v>675</v>
      </c>
      <c r="J622" s="423"/>
      <c r="K622" s="423"/>
      <c r="L622" s="424" t="s">
        <v>3939</v>
      </c>
      <c r="M622" s="425" t="s">
        <v>3940</v>
      </c>
      <c r="N622" s="120"/>
      <c r="O622" s="142" t="s">
        <v>3941</v>
      </c>
      <c r="P622" s="93" t="s">
        <v>3942</v>
      </c>
      <c r="Q622" s="8">
        <v>45474</v>
      </c>
      <c r="R622" s="8">
        <v>45448</v>
      </c>
      <c r="S622" s="8">
        <v>45474</v>
      </c>
      <c r="T622" s="421" t="s">
        <v>3943</v>
      </c>
      <c r="U622" s="419" t="s">
        <v>3944</v>
      </c>
      <c r="V622" s="419">
        <v>103954</v>
      </c>
      <c r="W622" s="426" t="s">
        <v>3945</v>
      </c>
      <c r="X622" s="421" t="s">
        <v>3946</v>
      </c>
      <c r="Y622" s="427" t="s">
        <v>3947</v>
      </c>
      <c r="Z622" s="421" t="s">
        <v>365</v>
      </c>
      <c r="AA622" s="426" t="s">
        <v>1264</v>
      </c>
      <c r="AB622" s="417" t="s">
        <v>944</v>
      </c>
      <c r="AC622" s="417"/>
      <c r="AD622" s="428" t="s">
        <v>3948</v>
      </c>
    </row>
    <row r="623" spans="1:30" ht="58">
      <c r="A623" s="5" t="s">
        <v>350</v>
      </c>
      <c r="B623" s="46" t="s">
        <v>933</v>
      </c>
      <c r="C623" s="5"/>
      <c r="D623" s="141"/>
      <c r="E623" s="141"/>
      <c r="F623" s="110"/>
      <c r="G623" t="s">
        <v>175</v>
      </c>
      <c r="H623" s="13" t="str">
        <f>IFERROR(VLOOKUP(G623, Sheet2!$A:$B, 2, FALSE), A623)</f>
        <v>HOSPITAL AUTHORITY</v>
      </c>
      <c r="I623" s="6" t="s">
        <v>675</v>
      </c>
      <c r="J623" s="19"/>
      <c r="K623" s="19" t="s">
        <v>3949</v>
      </c>
      <c r="L623" s="120" t="s">
        <v>3950</v>
      </c>
      <c r="M623" s="358" t="s">
        <v>2624</v>
      </c>
      <c r="N623" s="120"/>
      <c r="O623" s="142" t="s">
        <v>3951</v>
      </c>
      <c r="P623" s="409" t="s">
        <v>3952</v>
      </c>
      <c r="Q623" s="4">
        <v>45444</v>
      </c>
      <c r="R623" s="4">
        <v>45449</v>
      </c>
      <c r="S623" s="4">
        <v>45444</v>
      </c>
      <c r="T623" t="s">
        <v>3953</v>
      </c>
      <c r="U623" s="141" t="s">
        <v>3954</v>
      </c>
      <c r="V623" s="141">
        <v>103940</v>
      </c>
      <c r="W623" s="4" t="s">
        <v>3955</v>
      </c>
      <c r="X623" t="s">
        <v>3956</v>
      </c>
      <c r="Y623" s="9" t="s">
        <v>3957</v>
      </c>
      <c r="Z623" t="s">
        <v>365</v>
      </c>
      <c r="AA623" s="4"/>
      <c r="AB623" s="3" t="s">
        <v>944</v>
      </c>
      <c r="AC623" s="5" t="s">
        <v>1249</v>
      </c>
      <c r="AD623" s="76" t="s">
        <v>3958</v>
      </c>
    </row>
    <row r="624" spans="1:30" ht="304.5">
      <c r="A624" s="5" t="s">
        <v>350</v>
      </c>
      <c r="B624" s="46" t="s">
        <v>933</v>
      </c>
      <c r="C624" s="429"/>
      <c r="D624" s="430" t="s">
        <v>3959</v>
      </c>
      <c r="E624" s="430" t="s">
        <v>3960</v>
      </c>
      <c r="F624" s="431" t="s">
        <v>3063</v>
      </c>
      <c r="G624" s="2" t="s">
        <v>51</v>
      </c>
      <c r="H624" s="13" t="str">
        <f>IFERROR(VLOOKUP(G624, Sheet2!$A:$B, 2, FALSE), A624)</f>
        <v>AIRPORT AUTHORITY</v>
      </c>
      <c r="I624" s="120" t="s">
        <v>352</v>
      </c>
      <c r="J624" s="432">
        <v>838776425275</v>
      </c>
      <c r="K624" s="432" t="s">
        <v>3961</v>
      </c>
      <c r="L624" s="120" t="s">
        <v>3962</v>
      </c>
      <c r="M624" s="348"/>
      <c r="N624" s="120"/>
      <c r="O624" s="142"/>
      <c r="P624" s="120" t="s">
        <v>3963</v>
      </c>
      <c r="Q624" s="433">
        <v>45457</v>
      </c>
      <c r="R624" s="433">
        <v>45449</v>
      </c>
      <c r="S624" s="433">
        <v>45457</v>
      </c>
      <c r="T624" s="2" t="s">
        <v>3964</v>
      </c>
      <c r="U624" s="430" t="s">
        <v>3965</v>
      </c>
      <c r="V624" s="430">
        <v>103903</v>
      </c>
      <c r="W624" s="433" t="s">
        <v>3966</v>
      </c>
      <c r="X624" t="s">
        <v>3967</v>
      </c>
      <c r="Y624" s="10" t="s">
        <v>3968</v>
      </c>
      <c r="Z624" s="2" t="s">
        <v>365</v>
      </c>
      <c r="AA624" s="433" t="s">
        <v>1079</v>
      </c>
      <c r="AB624" s="429" t="s">
        <v>944</v>
      </c>
      <c r="AC624" s="429" t="s">
        <v>945</v>
      </c>
      <c r="AD624" s="434" t="s">
        <v>3969</v>
      </c>
    </row>
    <row r="625" spans="1:30" ht="72.5">
      <c r="A625" s="3" t="s">
        <v>350</v>
      </c>
      <c r="B625" s="46"/>
      <c r="C625" s="3"/>
      <c r="D625" s="430"/>
      <c r="E625" s="430"/>
      <c r="F625" s="434"/>
      <c r="G625" s="2" t="s">
        <v>51</v>
      </c>
      <c r="H625" s="13" t="str">
        <f>IFERROR(VLOOKUP(G625, Sheet2!$A:$B, 2, FALSE), A625)</f>
        <v>AIRPORT AUTHORITY</v>
      </c>
      <c r="I625" s="120" t="s">
        <v>352</v>
      </c>
      <c r="J625" s="432">
        <v>838776425275</v>
      </c>
      <c r="K625" s="52"/>
      <c r="L625" s="120"/>
      <c r="M625" s="348"/>
      <c r="N625" s="120"/>
      <c r="O625" s="142"/>
      <c r="P625" s="120"/>
      <c r="Q625" s="433">
        <v>45478</v>
      </c>
      <c r="R625" s="433">
        <v>45516</v>
      </c>
      <c r="S625" s="433">
        <v>45478</v>
      </c>
      <c r="T625" s="2" t="s">
        <v>3964</v>
      </c>
      <c r="U625" s="430" t="s">
        <v>3970</v>
      </c>
      <c r="V625" s="430">
        <v>103903</v>
      </c>
      <c r="W625" s="435" t="s">
        <v>3971</v>
      </c>
      <c r="X625" t="s">
        <v>3972</v>
      </c>
      <c r="Y625" s="10" t="s">
        <v>3973</v>
      </c>
      <c r="Z625" s="2" t="s">
        <v>886</v>
      </c>
      <c r="AA625" s="433" t="s">
        <v>1079</v>
      </c>
      <c r="AB625" s="3" t="s">
        <v>944</v>
      </c>
      <c r="AC625" s="3" t="s">
        <v>1249</v>
      </c>
      <c r="AD625" s="76" t="s">
        <v>3974</v>
      </c>
    </row>
    <row r="626" spans="1:30" ht="261">
      <c r="A626" s="3" t="s">
        <v>924</v>
      </c>
      <c r="B626" s="46" t="s">
        <v>933</v>
      </c>
      <c r="C626" s="3"/>
      <c r="D626" s="141" t="s">
        <v>3975</v>
      </c>
      <c r="E626" s="141" t="s">
        <v>3976</v>
      </c>
      <c r="F626" s="110" t="s">
        <v>3977</v>
      </c>
      <c r="G626" t="s">
        <v>51</v>
      </c>
      <c r="H626" s="13" t="str">
        <f>IFERROR(VLOOKUP(G626, Sheet2!$A:$B, 2, FALSE), A626)</f>
        <v>AIRPORT AUTHORITY</v>
      </c>
      <c r="I626" s="6" t="s">
        <v>352</v>
      </c>
      <c r="J626" s="19"/>
      <c r="K626" s="19"/>
      <c r="L626" s="120"/>
      <c r="M626" s="348"/>
      <c r="N626" s="120"/>
      <c r="O626" s="142" t="s">
        <v>3978</v>
      </c>
      <c r="P626" s="120" t="s">
        <v>3979</v>
      </c>
      <c r="Q626" s="8">
        <v>45451</v>
      </c>
      <c r="R626" s="8">
        <v>45454</v>
      </c>
      <c r="S626" s="8"/>
      <c r="T626" t="s">
        <v>3980</v>
      </c>
      <c r="U626" s="141" t="s">
        <v>3981</v>
      </c>
      <c r="V626" s="141">
        <v>103910</v>
      </c>
      <c r="W626" s="8" t="s">
        <v>3982</v>
      </c>
      <c r="X626" t="s">
        <v>3983</v>
      </c>
      <c r="Y626" s="203" t="s">
        <v>3984</v>
      </c>
      <c r="Z626" t="s">
        <v>365</v>
      </c>
      <c r="AA626" s="8" t="s">
        <v>1079</v>
      </c>
      <c r="AB626" s="3" t="s">
        <v>944</v>
      </c>
      <c r="AC626" s="3" t="s">
        <v>1249</v>
      </c>
      <c r="AD626" s="76" t="s">
        <v>3985</v>
      </c>
    </row>
    <row r="627" spans="1:30" ht="116">
      <c r="A627" s="3" t="s">
        <v>350</v>
      </c>
      <c r="B627" s="46" t="s">
        <v>933</v>
      </c>
      <c r="C627" s="3"/>
      <c r="D627" s="141" t="s">
        <v>3986</v>
      </c>
      <c r="E627" s="141" t="s">
        <v>3987</v>
      </c>
      <c r="F627" s="110" t="s">
        <v>3988</v>
      </c>
      <c r="G627" t="s">
        <v>230</v>
      </c>
      <c r="H627" s="13" t="str">
        <f>IFERROR(VLOOKUP(G627, Sheet2!$A:$B, 2, FALSE), A627)</f>
        <v>PROSPEROUS SUCCESS (HK) LIMITED</v>
      </c>
      <c r="I627" s="6" t="s">
        <v>352</v>
      </c>
      <c r="J627" s="19"/>
      <c r="K627" s="19" t="s">
        <v>3989</v>
      </c>
      <c r="L627" s="120"/>
      <c r="M627" s="358" t="s">
        <v>3988</v>
      </c>
      <c r="N627" s="120"/>
      <c r="O627" s="142" t="s">
        <v>3990</v>
      </c>
      <c r="P627" s="120"/>
      <c r="Q627" s="8">
        <v>45462</v>
      </c>
      <c r="R627" s="8">
        <v>45455</v>
      </c>
      <c r="S627" s="8">
        <v>45462</v>
      </c>
      <c r="T627" t="s">
        <v>3991</v>
      </c>
      <c r="U627" s="141" t="s">
        <v>3992</v>
      </c>
      <c r="V627" s="141">
        <v>103912</v>
      </c>
      <c r="W627" s="4" t="s">
        <v>3993</v>
      </c>
      <c r="X627" s="10" t="s">
        <v>3994</v>
      </c>
      <c r="Y627" s="203" t="s">
        <v>3995</v>
      </c>
      <c r="Z627" t="s">
        <v>365</v>
      </c>
      <c r="AA627" s="8"/>
      <c r="AB627" s="5" t="s">
        <v>944</v>
      </c>
      <c r="AC627" s="5" t="s">
        <v>945</v>
      </c>
      <c r="AD627" s="76" t="s">
        <v>3996</v>
      </c>
    </row>
    <row r="628" spans="1:30" ht="72.5">
      <c r="A628" s="5" t="s">
        <v>350</v>
      </c>
      <c r="B628" s="46" t="s">
        <v>933</v>
      </c>
      <c r="C628" s="3"/>
      <c r="D628" s="141" t="s">
        <v>3130</v>
      </c>
      <c r="E628" s="413">
        <v>67594210</v>
      </c>
      <c r="F628" t="s">
        <v>3909</v>
      </c>
      <c r="G628" t="s">
        <v>2888</v>
      </c>
      <c r="H628" s="13" t="str">
        <f>IFERROR(VLOOKUP(G628, Sheet2!$A:$B, 2, FALSE), A628)</f>
        <v>New World Corporate Services Limited</v>
      </c>
      <c r="I628" s="6" t="s">
        <v>352</v>
      </c>
      <c r="J628" s="19">
        <v>759168424209</v>
      </c>
      <c r="K628" s="48" t="s">
        <v>3997</v>
      </c>
      <c r="L628" s="120" t="s">
        <v>3998</v>
      </c>
      <c r="M628" s="348" t="s">
        <v>3999</v>
      </c>
      <c r="N628" s="120"/>
      <c r="O628" s="142" t="s">
        <v>3309</v>
      </c>
      <c r="P628" s="120"/>
      <c r="Q628" s="8">
        <v>45457</v>
      </c>
      <c r="R628" s="8">
        <v>45453</v>
      </c>
      <c r="S628" s="8">
        <v>45457</v>
      </c>
      <c r="T628" t="s">
        <v>4000</v>
      </c>
      <c r="U628" s="141" t="s">
        <v>4001</v>
      </c>
      <c r="V628" s="141">
        <v>103914</v>
      </c>
      <c r="W628" s="8" t="s">
        <v>3915</v>
      </c>
      <c r="X628" s="10" t="s">
        <v>4002</v>
      </c>
      <c r="Y628" s="9" t="s">
        <v>4003</v>
      </c>
      <c r="Z628" t="s">
        <v>365</v>
      </c>
      <c r="AA628" s="8"/>
      <c r="AB628" s="5" t="s">
        <v>944</v>
      </c>
      <c r="AC628" s="5" t="s">
        <v>945</v>
      </c>
      <c r="AD628" t="s">
        <v>3918</v>
      </c>
    </row>
    <row r="629" spans="1:30" ht="58">
      <c r="A629" s="5" t="s">
        <v>350</v>
      </c>
      <c r="B629" s="46" t="s">
        <v>933</v>
      </c>
      <c r="C629" s="5"/>
      <c r="D629" s="141"/>
      <c r="E629" s="141"/>
      <c r="G629" t="s">
        <v>175</v>
      </c>
      <c r="H629" s="13" t="str">
        <f>IFERROR(VLOOKUP(G629, Sheet2!$A:$B, 2, FALSE), A629)</f>
        <v>HOSPITAL AUTHORITY</v>
      </c>
      <c r="I629" s="6" t="s">
        <v>675</v>
      </c>
      <c r="J629" s="19"/>
      <c r="K629" s="19" t="s">
        <v>4004</v>
      </c>
      <c r="L629" s="120" t="s">
        <v>4005</v>
      </c>
      <c r="M629" s="436" t="s">
        <v>4006</v>
      </c>
      <c r="N629" s="120"/>
      <c r="O629" s="142" t="s">
        <v>4007</v>
      </c>
      <c r="P629" s="120" t="s">
        <v>4008</v>
      </c>
      <c r="Q629" s="4">
        <v>45444</v>
      </c>
      <c r="R629" s="4">
        <v>45460</v>
      </c>
      <c r="S629" s="4">
        <v>45444</v>
      </c>
      <c r="T629" t="s">
        <v>4009</v>
      </c>
      <c r="U629" s="141" t="s">
        <v>4010</v>
      </c>
      <c r="V629" s="141">
        <v>103939</v>
      </c>
      <c r="W629" s="4" t="s">
        <v>4011</v>
      </c>
      <c r="X629" t="s">
        <v>4012</v>
      </c>
      <c r="Y629" s="9" t="s">
        <v>4013</v>
      </c>
      <c r="Z629" t="s">
        <v>365</v>
      </c>
      <c r="AA629" s="4"/>
      <c r="AB629" s="3" t="s">
        <v>944</v>
      </c>
      <c r="AC629" s="5" t="s">
        <v>1249</v>
      </c>
      <c r="AD629" s="76" t="s">
        <v>4014</v>
      </c>
    </row>
    <row r="630" spans="1:30" ht="58">
      <c r="A630" s="3" t="s">
        <v>350</v>
      </c>
      <c r="B630" s="46" t="s">
        <v>933</v>
      </c>
      <c r="C630" s="3"/>
      <c r="D630" s="141" t="s">
        <v>4015</v>
      </c>
      <c r="E630" s="141" t="s">
        <v>4016</v>
      </c>
      <c r="F630" s="76" t="s">
        <v>2951</v>
      </c>
      <c r="G630" t="s">
        <v>44</v>
      </c>
      <c r="H630" s="13" t="str">
        <f>IFERROR(VLOOKUP(G630, Sheet2!$A:$B, 2, FALSE), A630)</f>
        <v>CHOW TAI FOOK JEWELLERY CO LTD</v>
      </c>
      <c r="I630" s="6" t="s">
        <v>352</v>
      </c>
      <c r="J630" s="100">
        <v>726125834629</v>
      </c>
      <c r="K630" s="19"/>
      <c r="L630" s="120"/>
      <c r="M630" s="436"/>
      <c r="N630" s="120"/>
      <c r="O630" s="142" t="s">
        <v>4017</v>
      </c>
      <c r="P630" s="120"/>
      <c r="Q630" s="4">
        <v>45475</v>
      </c>
      <c r="R630" s="4">
        <v>45463</v>
      </c>
      <c r="S630" s="4">
        <v>45475</v>
      </c>
      <c r="T630" t="s">
        <v>4018</v>
      </c>
      <c r="U630" s="141" t="s">
        <v>4019</v>
      </c>
      <c r="V630" s="141">
        <v>103922</v>
      </c>
      <c r="W630" s="4" t="s">
        <v>4020</v>
      </c>
      <c r="X630" t="s">
        <v>4021</v>
      </c>
      <c r="Y630" s="203" t="s">
        <v>4022</v>
      </c>
      <c r="Z630" t="s">
        <v>886</v>
      </c>
      <c r="AA630" s="8"/>
      <c r="AB630" s="3" t="s">
        <v>944</v>
      </c>
      <c r="AC630" s="3" t="s">
        <v>1249</v>
      </c>
      <c r="AD630" s="76" t="s">
        <v>4023</v>
      </c>
    </row>
    <row r="631" spans="1:30" ht="58.5">
      <c r="A631" s="5" t="s">
        <v>350</v>
      </c>
      <c r="B631" s="46" t="s">
        <v>933</v>
      </c>
      <c r="C631" s="3"/>
      <c r="D631" s="141"/>
      <c r="E631" s="141"/>
      <c r="F631" s="76"/>
      <c r="G631" t="s">
        <v>175</v>
      </c>
      <c r="H631" s="13" t="str">
        <f>IFERROR(VLOOKUP(G631, Sheet2!$A:$B, 2, FALSE), A631)</f>
        <v>HOSPITAL AUTHORITY</v>
      </c>
      <c r="I631" s="6" t="s">
        <v>675</v>
      </c>
      <c r="J631" s="19"/>
      <c r="K631" s="19" t="s">
        <v>4024</v>
      </c>
      <c r="L631" s="120" t="s">
        <v>4025</v>
      </c>
      <c r="M631" s="358" t="s">
        <v>4026</v>
      </c>
      <c r="N631" s="120"/>
      <c r="O631" s="142" t="s">
        <v>4027</v>
      </c>
      <c r="P631" s="437" t="s">
        <v>4028</v>
      </c>
      <c r="Q631" s="4">
        <v>45444</v>
      </c>
      <c r="R631" s="8">
        <v>45463</v>
      </c>
      <c r="S631" s="4">
        <v>45444</v>
      </c>
      <c r="T631" t="s">
        <v>4029</v>
      </c>
      <c r="U631" s="141" t="s">
        <v>4030</v>
      </c>
      <c r="V631" s="141">
        <v>103938</v>
      </c>
      <c r="W631" s="8" t="s">
        <v>3955</v>
      </c>
      <c r="X631" t="s">
        <v>4031</v>
      </c>
      <c r="Y631" s="9" t="s">
        <v>4032</v>
      </c>
      <c r="AA631" s="8"/>
      <c r="AB631" s="3"/>
      <c r="AC631" s="3" t="s">
        <v>1249</v>
      </c>
      <c r="AD631" s="76" t="s">
        <v>4014</v>
      </c>
    </row>
    <row r="632" spans="1:30" ht="29">
      <c r="A632" s="5" t="s">
        <v>350</v>
      </c>
      <c r="B632" s="46" t="s">
        <v>933</v>
      </c>
      <c r="C632" s="5"/>
      <c r="D632" s="141" t="s">
        <v>4033</v>
      </c>
      <c r="E632" s="141">
        <v>67770673</v>
      </c>
      <c r="F632" t="s">
        <v>4034</v>
      </c>
      <c r="G632" t="s">
        <v>199</v>
      </c>
      <c r="H632" s="13" t="str">
        <f>IFERROR(VLOOKUP(G632, Sheet2!$A:$B, 2, FALSE), A632)</f>
        <v>New World Corporate Services Limited</v>
      </c>
      <c r="I632" s="6" t="s">
        <v>352</v>
      </c>
      <c r="J632" s="19">
        <v>759168424209</v>
      </c>
      <c r="K632" s="19">
        <v>58713215920</v>
      </c>
      <c r="L632" s="438" t="s">
        <v>4035</v>
      </c>
      <c r="M632" s="358" t="s">
        <v>4036</v>
      </c>
      <c r="N632" s="120"/>
      <c r="O632" s="142" t="s">
        <v>4037</v>
      </c>
      <c r="P632" s="120"/>
      <c r="Q632" s="4">
        <v>45465</v>
      </c>
      <c r="R632" s="4">
        <v>45465</v>
      </c>
      <c r="S632" s="4">
        <v>45465</v>
      </c>
      <c r="T632" t="s">
        <v>4038</v>
      </c>
      <c r="U632" s="141" t="s">
        <v>4039</v>
      </c>
      <c r="V632" s="141"/>
      <c r="W632" s="4" t="s">
        <v>4040</v>
      </c>
      <c r="Y632" s="9" t="s">
        <v>4041</v>
      </c>
      <c r="Z632" t="s">
        <v>365</v>
      </c>
      <c r="AA632" s="4"/>
      <c r="AB632" s="3" t="s">
        <v>944</v>
      </c>
      <c r="AC632" s="5" t="s">
        <v>945</v>
      </c>
      <c r="AD632" s="76" t="s">
        <v>4042</v>
      </c>
    </row>
    <row r="633" spans="1:30" ht="174">
      <c r="A633" s="3" t="s">
        <v>350</v>
      </c>
      <c r="B633" s="46" t="s">
        <v>933</v>
      </c>
      <c r="C633" s="3"/>
      <c r="D633" s="141"/>
      <c r="E633" s="141"/>
      <c r="F633" s="110"/>
      <c r="G633" t="s">
        <v>176</v>
      </c>
      <c r="H633" s="13" t="str">
        <f>IFERROR(VLOOKUP(G633, Sheet2!$A:$B, 2, FALSE), A633)</f>
        <v>HOSPITAL AUTHORITY</v>
      </c>
      <c r="I633" s="6" t="s">
        <v>675</v>
      </c>
      <c r="J633" s="19"/>
      <c r="K633" s="19" t="s">
        <v>4043</v>
      </c>
      <c r="L633" s="120" t="s">
        <v>4044</v>
      </c>
      <c r="M633" s="358" t="s">
        <v>4045</v>
      </c>
      <c r="N633" s="120"/>
      <c r="O633" s="142" t="s">
        <v>4046</v>
      </c>
      <c r="P633" s="439" t="s">
        <v>4047</v>
      </c>
      <c r="Q633" s="8">
        <v>45474</v>
      </c>
      <c r="R633" s="8">
        <v>45467</v>
      </c>
      <c r="S633" s="8">
        <v>45474</v>
      </c>
      <c r="T633" t="s">
        <v>4048</v>
      </c>
      <c r="U633" s="141" t="s">
        <v>4049</v>
      </c>
      <c r="V633" s="141">
        <v>103955</v>
      </c>
      <c r="W633" s="4" t="s">
        <v>3945</v>
      </c>
      <c r="X633" t="s">
        <v>4050</v>
      </c>
      <c r="Y633" s="9" t="s">
        <v>4051</v>
      </c>
      <c r="Z633" t="s">
        <v>365</v>
      </c>
      <c r="AA633" s="8" t="s">
        <v>1264</v>
      </c>
      <c r="AB633" s="5" t="s">
        <v>944</v>
      </c>
      <c r="AC633" s="5" t="s">
        <v>1249</v>
      </c>
      <c r="AD633" s="76" t="s">
        <v>3948</v>
      </c>
    </row>
    <row r="634" spans="1:30" ht="101.5">
      <c r="A634" s="3" t="s">
        <v>350</v>
      </c>
      <c r="B634" s="46" t="s">
        <v>2773</v>
      </c>
      <c r="C634" s="3"/>
      <c r="D634" s="141" t="s">
        <v>4052</v>
      </c>
      <c r="E634" s="141">
        <v>26108769</v>
      </c>
      <c r="F634" t="s">
        <v>2951</v>
      </c>
      <c r="G634" t="s">
        <v>44</v>
      </c>
      <c r="H634" s="13" t="str">
        <f>IFERROR(VLOOKUP(G634, Sheet2!$A:$B, 2, FALSE), A634)</f>
        <v>CHOW TAI FOOK JEWELLERY CO LTD</v>
      </c>
      <c r="I634" s="6" t="s">
        <v>352</v>
      </c>
      <c r="J634" s="19">
        <v>726125834629</v>
      </c>
      <c r="K634" s="19"/>
      <c r="L634" s="120"/>
      <c r="M634" s="348"/>
      <c r="N634" s="120"/>
      <c r="O634" s="142" t="s">
        <v>3229</v>
      </c>
      <c r="P634" s="120"/>
      <c r="Q634" s="8">
        <v>45443</v>
      </c>
      <c r="R634" s="8">
        <v>45467</v>
      </c>
      <c r="S634" s="8">
        <v>45443</v>
      </c>
      <c r="T634" t="s">
        <v>1196</v>
      </c>
      <c r="U634" s="141" t="s">
        <v>4053</v>
      </c>
      <c r="V634" s="141"/>
      <c r="W634" s="4" t="s">
        <v>4054</v>
      </c>
      <c r="X634" t="s">
        <v>4055</v>
      </c>
      <c r="Y634" s="9" t="s">
        <v>4056</v>
      </c>
      <c r="Z634" t="s">
        <v>365</v>
      </c>
      <c r="AA634" s="8"/>
      <c r="AB634" s="3"/>
      <c r="AC634" s="5" t="s">
        <v>945</v>
      </c>
      <c r="AD634" s="76" t="s">
        <v>4057</v>
      </c>
    </row>
    <row r="635" spans="1:30" ht="146">
      <c r="A635" s="3" t="s">
        <v>350</v>
      </c>
      <c r="B635" s="46" t="s">
        <v>933</v>
      </c>
      <c r="C635" s="3"/>
      <c r="D635" s="141" t="s">
        <v>4058</v>
      </c>
      <c r="E635" s="141">
        <v>28883472</v>
      </c>
      <c r="F635" s="76" t="s">
        <v>4059</v>
      </c>
      <c r="G635" t="s">
        <v>232</v>
      </c>
      <c r="H635" s="13" t="str">
        <f>IFERROR(VLOOKUP(G635, Sheet2!$A:$B, 2, FALSE), A635)</f>
        <v>CAM8 619241 Managed Private Cloud</v>
      </c>
      <c r="I635" s="6" t="s">
        <v>393</v>
      </c>
      <c r="J635" s="19"/>
      <c r="K635" s="19"/>
      <c r="L635" s="120"/>
      <c r="M635" s="440" t="s">
        <v>4060</v>
      </c>
      <c r="N635" s="120"/>
      <c r="O635" s="142" t="s">
        <v>4061</v>
      </c>
      <c r="P635" s="120"/>
      <c r="Q635" s="8">
        <v>45478</v>
      </c>
      <c r="R635" s="8">
        <v>45468</v>
      </c>
      <c r="S635" s="8">
        <v>45478</v>
      </c>
      <c r="T635" t="s">
        <v>4062</v>
      </c>
      <c r="U635" s="141" t="s">
        <v>4063</v>
      </c>
      <c r="V635" s="141">
        <v>103926</v>
      </c>
      <c r="W635" s="8" t="s">
        <v>4064</v>
      </c>
      <c r="X635" t="s">
        <v>4065</v>
      </c>
      <c r="Y635" s="9" t="s">
        <v>4066</v>
      </c>
      <c r="Z635" t="s">
        <v>365</v>
      </c>
      <c r="AA635" s="8"/>
      <c r="AB635" s="3" t="s">
        <v>375</v>
      </c>
      <c r="AC635" s="3" t="s">
        <v>945</v>
      </c>
      <c r="AD635" s="76" t="s">
        <v>4067</v>
      </c>
    </row>
    <row r="636" spans="1:30" ht="43.5">
      <c r="A636" s="5" t="s">
        <v>350</v>
      </c>
      <c r="B636" s="46" t="s">
        <v>933</v>
      </c>
      <c r="C636" s="3"/>
      <c r="D636" s="141" t="s">
        <v>4068</v>
      </c>
      <c r="E636" s="141">
        <v>21887371</v>
      </c>
      <c r="F636" t="s">
        <v>4069</v>
      </c>
      <c r="G636" t="s">
        <v>51</v>
      </c>
      <c r="H636" s="13" t="str">
        <f>IFERROR(VLOOKUP(G636, Sheet2!$A:$B, 2, FALSE), A636)</f>
        <v>AIRPORT AUTHORITY</v>
      </c>
      <c r="I636" s="58" t="s">
        <v>393</v>
      </c>
      <c r="J636" s="52"/>
      <c r="K636" s="52"/>
      <c r="L636" s="120"/>
      <c r="M636" s="348"/>
      <c r="N636" s="120"/>
      <c r="O636" s="142" t="s">
        <v>4070</v>
      </c>
      <c r="P636" s="120"/>
      <c r="Q636" s="8">
        <v>45481</v>
      </c>
      <c r="R636" s="8">
        <v>45476</v>
      </c>
      <c r="S636" s="8">
        <v>45481</v>
      </c>
      <c r="T636" t="s">
        <v>4071</v>
      </c>
      <c r="U636" s="141" t="s">
        <v>4072</v>
      </c>
      <c r="V636" s="141">
        <v>103930</v>
      </c>
      <c r="W636" s="4" t="s">
        <v>4073</v>
      </c>
      <c r="X636" t="s">
        <v>4074</v>
      </c>
      <c r="Y636" s="203" t="s">
        <v>4075</v>
      </c>
      <c r="Z636" t="s">
        <v>365</v>
      </c>
      <c r="AA636" s="4" t="s">
        <v>1079</v>
      </c>
      <c r="AB636" s="5" t="s">
        <v>944</v>
      </c>
      <c r="AC636" s="5" t="s">
        <v>945</v>
      </c>
      <c r="AD636" s="76" t="s">
        <v>4076</v>
      </c>
    </row>
    <row r="637" spans="1:30" ht="72.5">
      <c r="A637" s="5" t="s">
        <v>350</v>
      </c>
      <c r="B637" s="46"/>
      <c r="C637" s="3"/>
      <c r="D637" s="141" t="s">
        <v>4068</v>
      </c>
      <c r="E637" s="141">
        <v>21887371</v>
      </c>
      <c r="F637" t="s">
        <v>4069</v>
      </c>
      <c r="G637" t="s">
        <v>51</v>
      </c>
      <c r="H637" s="13" t="str">
        <f>IFERROR(VLOOKUP(G637, Sheet2!$A:$B, 2, FALSE), A637)</f>
        <v>AIRPORT AUTHORITY</v>
      </c>
      <c r="I637" s="58" t="s">
        <v>393</v>
      </c>
      <c r="J637" s="52"/>
      <c r="K637" s="52"/>
      <c r="L637" s="120"/>
      <c r="M637" s="348"/>
      <c r="N637" s="120"/>
      <c r="O637" s="142" t="s">
        <v>4070</v>
      </c>
      <c r="P637" s="120" t="s">
        <v>4077</v>
      </c>
      <c r="Q637" s="8">
        <v>45523</v>
      </c>
      <c r="R637" s="8">
        <v>45513</v>
      </c>
      <c r="S637" s="8">
        <v>45523</v>
      </c>
      <c r="T637" t="s">
        <v>4071</v>
      </c>
      <c r="U637" s="141" t="s">
        <v>4078</v>
      </c>
      <c r="V637" s="141">
        <v>103930</v>
      </c>
      <c r="W637" s="8" t="s">
        <v>4079</v>
      </c>
      <c r="X637" t="s">
        <v>4080</v>
      </c>
      <c r="Y637" s="7" t="s">
        <v>4081</v>
      </c>
      <c r="Z637" t="s">
        <v>365</v>
      </c>
      <c r="AA637" s="8" t="s">
        <v>1079</v>
      </c>
      <c r="AB637" s="5" t="s">
        <v>944</v>
      </c>
      <c r="AC637" s="3" t="s">
        <v>1249</v>
      </c>
      <c r="AD637" s="76" t="s">
        <v>4082</v>
      </c>
    </row>
    <row r="638" spans="1:30" ht="58">
      <c r="A638" s="5" t="s">
        <v>350</v>
      </c>
      <c r="B638" s="46" t="s">
        <v>933</v>
      </c>
      <c r="C638" s="3"/>
      <c r="D638" s="141" t="s">
        <v>4083</v>
      </c>
      <c r="E638" s="141" t="s">
        <v>4084</v>
      </c>
      <c r="F638" s="110" t="s">
        <v>4085</v>
      </c>
      <c r="G638" t="s">
        <v>132</v>
      </c>
      <c r="H638" s="13" t="str">
        <f>IFERROR(VLOOKUP(G638, Sheet2!$A:$B, 2, FALSE), A638)</f>
        <v>SHANGHAI COMMERCIAL BANK LTD</v>
      </c>
      <c r="I638" s="58" t="s">
        <v>352</v>
      </c>
      <c r="J638" s="52">
        <v>28254448425</v>
      </c>
      <c r="K638" s="52" t="s">
        <v>4086</v>
      </c>
      <c r="L638" s="120" t="s">
        <v>4087</v>
      </c>
      <c r="M638" s="348"/>
      <c r="N638" s="120"/>
      <c r="O638" s="142" t="s">
        <v>4088</v>
      </c>
      <c r="P638" s="120"/>
      <c r="Q638" s="8">
        <v>45474</v>
      </c>
      <c r="R638" s="8">
        <v>45537</v>
      </c>
      <c r="S638" s="8">
        <v>45474</v>
      </c>
      <c r="T638" t="s">
        <v>4089</v>
      </c>
      <c r="U638" s="141" t="s">
        <v>4090</v>
      </c>
      <c r="V638" s="141">
        <v>103985</v>
      </c>
      <c r="W638" s="8" t="s">
        <v>4091</v>
      </c>
      <c r="X638" t="s">
        <v>3853</v>
      </c>
      <c r="Y638" s="9" t="s">
        <v>4092</v>
      </c>
      <c r="Z638" t="s">
        <v>365</v>
      </c>
      <c r="AA638" s="8" t="s">
        <v>4093</v>
      </c>
      <c r="AB638" s="5" t="s">
        <v>944</v>
      </c>
      <c r="AC638" s="3" t="s">
        <v>945</v>
      </c>
      <c r="AD638" s="76" t="s">
        <v>4094</v>
      </c>
    </row>
    <row r="639" spans="1:30" ht="58">
      <c r="A639" s="5" t="s">
        <v>350</v>
      </c>
      <c r="B639" s="46" t="s">
        <v>933</v>
      </c>
      <c r="C639" s="3"/>
      <c r="D639" s="141" t="s">
        <v>4083</v>
      </c>
      <c r="E639" s="141" t="s">
        <v>4084</v>
      </c>
      <c r="F639" s="110" t="s">
        <v>4085</v>
      </c>
      <c r="G639" t="s">
        <v>132</v>
      </c>
      <c r="H639" s="13" t="str">
        <f>IFERROR(VLOOKUP(G639, Sheet2!$A:$B, 2, FALSE), A639)</f>
        <v>SHANGHAI COMMERCIAL BANK LTD</v>
      </c>
      <c r="I639" s="58" t="s">
        <v>352</v>
      </c>
      <c r="J639" s="52">
        <v>28254448425</v>
      </c>
      <c r="K639" s="52" t="s">
        <v>4095</v>
      </c>
      <c r="L639" s="120" t="s">
        <v>4096</v>
      </c>
      <c r="M639" s="348"/>
      <c r="N639" s="120"/>
      <c r="O639" s="142" t="s">
        <v>4088</v>
      </c>
      <c r="P639" s="120"/>
      <c r="Q639" s="8">
        <v>45474</v>
      </c>
      <c r="R639" s="8">
        <v>45537</v>
      </c>
      <c r="S639" s="8">
        <v>45474</v>
      </c>
      <c r="T639" t="s">
        <v>4097</v>
      </c>
      <c r="U639" s="141" t="s">
        <v>4098</v>
      </c>
      <c r="V639" s="141">
        <v>103984</v>
      </c>
      <c r="W639" s="8" t="s">
        <v>4091</v>
      </c>
      <c r="X639" t="s">
        <v>3853</v>
      </c>
      <c r="Y639" s="9" t="s">
        <v>4092</v>
      </c>
      <c r="Z639" t="s">
        <v>365</v>
      </c>
      <c r="AA639" s="8" t="s">
        <v>4093</v>
      </c>
      <c r="AB639" s="5" t="s">
        <v>944</v>
      </c>
      <c r="AC639" s="3" t="s">
        <v>945</v>
      </c>
      <c r="AD639" s="76" t="s">
        <v>4094</v>
      </c>
    </row>
    <row r="640" spans="1:30" ht="58">
      <c r="A640" s="5" t="s">
        <v>350</v>
      </c>
      <c r="B640" s="46" t="s">
        <v>933</v>
      </c>
      <c r="C640" s="3"/>
      <c r="D640" s="141" t="s">
        <v>4083</v>
      </c>
      <c r="E640" s="141" t="s">
        <v>4084</v>
      </c>
      <c r="F640" s="110" t="s">
        <v>4085</v>
      </c>
      <c r="G640" t="s">
        <v>132</v>
      </c>
      <c r="H640" s="13" t="str">
        <f>IFERROR(VLOOKUP(G640, Sheet2!$A:$B, 2, FALSE), A640)</f>
        <v>SHANGHAI COMMERCIAL BANK LTD</v>
      </c>
      <c r="I640" s="58" t="s">
        <v>352</v>
      </c>
      <c r="J640" s="52">
        <v>28254448425</v>
      </c>
      <c r="K640" s="52" t="s">
        <v>4099</v>
      </c>
      <c r="L640" s="120" t="s">
        <v>4100</v>
      </c>
      <c r="M640" s="348"/>
      <c r="N640" s="120"/>
      <c r="O640" s="142" t="s">
        <v>4088</v>
      </c>
      <c r="P640" s="120"/>
      <c r="Q640" s="8">
        <v>45474</v>
      </c>
      <c r="R640" s="8">
        <v>45537</v>
      </c>
      <c r="S640" s="8">
        <v>45474</v>
      </c>
      <c r="T640" t="s">
        <v>4101</v>
      </c>
      <c r="U640" s="141" t="s">
        <v>4102</v>
      </c>
      <c r="V640" s="141">
        <v>103983</v>
      </c>
      <c r="W640" s="8" t="s">
        <v>4091</v>
      </c>
      <c r="X640" t="s">
        <v>3853</v>
      </c>
      <c r="Y640" s="9" t="s">
        <v>4092</v>
      </c>
      <c r="Z640" t="s">
        <v>365</v>
      </c>
      <c r="AA640" s="8" t="s">
        <v>4093</v>
      </c>
      <c r="AB640" s="5" t="s">
        <v>944</v>
      </c>
      <c r="AC640" s="3" t="s">
        <v>945</v>
      </c>
      <c r="AD640" s="76" t="s">
        <v>4094</v>
      </c>
    </row>
    <row r="641" spans="1:30" ht="58">
      <c r="A641" s="5" t="s">
        <v>350</v>
      </c>
      <c r="B641" s="46" t="s">
        <v>933</v>
      </c>
      <c r="C641" s="3"/>
      <c r="D641" s="141" t="s">
        <v>4083</v>
      </c>
      <c r="E641" s="141" t="s">
        <v>4084</v>
      </c>
      <c r="F641" s="110" t="s">
        <v>4085</v>
      </c>
      <c r="G641" t="s">
        <v>132</v>
      </c>
      <c r="H641" s="13" t="str">
        <f>IFERROR(VLOOKUP(G641, Sheet2!$A:$B, 2, FALSE), A641)</f>
        <v>SHANGHAI COMMERCIAL BANK LTD</v>
      </c>
      <c r="I641" s="58" t="s">
        <v>352</v>
      </c>
      <c r="J641" s="52">
        <v>28254448425</v>
      </c>
      <c r="K641" s="52" t="s">
        <v>4103</v>
      </c>
      <c r="L641" s="120" t="s">
        <v>4104</v>
      </c>
      <c r="M641" s="348"/>
      <c r="N641" s="120"/>
      <c r="O641" s="142" t="s">
        <v>4088</v>
      </c>
      <c r="P641" s="120"/>
      <c r="Q641" s="8">
        <v>45474</v>
      </c>
      <c r="R641" s="8">
        <v>45537</v>
      </c>
      <c r="S641" s="8">
        <v>45474</v>
      </c>
      <c r="T641" t="s">
        <v>4105</v>
      </c>
      <c r="U641" s="141" t="s">
        <v>4106</v>
      </c>
      <c r="V641" s="141">
        <v>103982</v>
      </c>
      <c r="W641" s="8" t="s">
        <v>4091</v>
      </c>
      <c r="X641" t="s">
        <v>3853</v>
      </c>
      <c r="Y641" s="9" t="s">
        <v>4092</v>
      </c>
      <c r="Z641" t="s">
        <v>365</v>
      </c>
      <c r="AA641" s="8" t="s">
        <v>4093</v>
      </c>
      <c r="AB641" s="5" t="s">
        <v>944</v>
      </c>
      <c r="AC641" s="3" t="s">
        <v>945</v>
      </c>
      <c r="AD641" s="76" t="s">
        <v>4094</v>
      </c>
    </row>
    <row r="642" spans="1:30" ht="58">
      <c r="A642" s="5" t="s">
        <v>350</v>
      </c>
      <c r="B642" s="46" t="s">
        <v>933</v>
      </c>
      <c r="C642" s="3"/>
      <c r="D642" s="141" t="s">
        <v>4083</v>
      </c>
      <c r="E642" s="141" t="s">
        <v>4084</v>
      </c>
      <c r="F642" s="110" t="s">
        <v>4085</v>
      </c>
      <c r="G642" t="s">
        <v>132</v>
      </c>
      <c r="H642" s="13" t="str">
        <f>IFERROR(VLOOKUP(G642, Sheet2!$A:$B, 2, FALSE), A642)</f>
        <v>SHANGHAI COMMERCIAL BANK LTD</v>
      </c>
      <c r="I642" s="58" t="s">
        <v>352</v>
      </c>
      <c r="J642" s="52">
        <v>28254448425</v>
      </c>
      <c r="K642" s="52" t="s">
        <v>4107</v>
      </c>
      <c r="L642" s="120" t="s">
        <v>4108</v>
      </c>
      <c r="M642" s="348"/>
      <c r="N642" s="120"/>
      <c r="O642" s="142" t="s">
        <v>4088</v>
      </c>
      <c r="P642" s="120"/>
      <c r="Q642" s="8">
        <v>45474</v>
      </c>
      <c r="R642" s="8">
        <v>45537</v>
      </c>
      <c r="S642" s="8">
        <v>45474</v>
      </c>
      <c r="T642" t="s">
        <v>4109</v>
      </c>
      <c r="U642" s="141" t="s">
        <v>4110</v>
      </c>
      <c r="V642" s="141">
        <v>103981</v>
      </c>
      <c r="W642" s="8" t="s">
        <v>4091</v>
      </c>
      <c r="X642" t="s">
        <v>3853</v>
      </c>
      <c r="Y642" s="9" t="s">
        <v>4092</v>
      </c>
      <c r="Z642" t="s">
        <v>365</v>
      </c>
      <c r="AA642" s="8" t="s">
        <v>4093</v>
      </c>
      <c r="AB642" s="5" t="s">
        <v>944</v>
      </c>
      <c r="AC642" s="3" t="s">
        <v>945</v>
      </c>
      <c r="AD642" s="76" t="s">
        <v>4094</v>
      </c>
    </row>
    <row r="643" spans="1:30" ht="58">
      <c r="A643" s="5" t="s">
        <v>350</v>
      </c>
      <c r="B643" s="46" t="s">
        <v>933</v>
      </c>
      <c r="C643" s="3"/>
      <c r="D643" s="141" t="s">
        <v>4083</v>
      </c>
      <c r="E643" s="141" t="s">
        <v>4084</v>
      </c>
      <c r="F643" s="110" t="s">
        <v>4085</v>
      </c>
      <c r="G643" t="s">
        <v>132</v>
      </c>
      <c r="H643" s="13" t="str">
        <f>IFERROR(VLOOKUP(G643, Sheet2!$A:$B, 2, FALSE), A643)</f>
        <v>SHANGHAI COMMERCIAL BANK LTD</v>
      </c>
      <c r="I643" s="58" t="s">
        <v>352</v>
      </c>
      <c r="J643" s="52">
        <v>28254448425</v>
      </c>
      <c r="K643" s="52" t="s">
        <v>4111</v>
      </c>
      <c r="L643" s="120" t="s">
        <v>4112</v>
      </c>
      <c r="M643" s="348"/>
      <c r="N643" s="120"/>
      <c r="O643" s="142" t="s">
        <v>4088</v>
      </c>
      <c r="P643" s="120"/>
      <c r="Q643" s="8">
        <v>45474</v>
      </c>
      <c r="R643" s="8">
        <v>45537</v>
      </c>
      <c r="S643" s="8">
        <v>45474</v>
      </c>
      <c r="T643" t="s">
        <v>4113</v>
      </c>
      <c r="U643" s="141" t="s">
        <v>4114</v>
      </c>
      <c r="V643" s="141">
        <v>103980</v>
      </c>
      <c r="W643" s="8" t="s">
        <v>4091</v>
      </c>
      <c r="X643" t="s">
        <v>4115</v>
      </c>
      <c r="Y643" s="9" t="s">
        <v>4092</v>
      </c>
      <c r="Z643" t="s">
        <v>365</v>
      </c>
      <c r="AA643" s="8" t="s">
        <v>4093</v>
      </c>
      <c r="AB643" s="5" t="s">
        <v>944</v>
      </c>
      <c r="AC643" s="3" t="s">
        <v>945</v>
      </c>
      <c r="AD643" s="76" t="s">
        <v>4094</v>
      </c>
    </row>
    <row r="644" spans="1:30" ht="87">
      <c r="A644" s="400" t="s">
        <v>350</v>
      </c>
      <c r="B644" s="441" t="s">
        <v>933</v>
      </c>
      <c r="C644" s="400" t="s">
        <v>44</v>
      </c>
      <c r="D644" s="141" t="s">
        <v>2650</v>
      </c>
      <c r="E644" s="141">
        <v>26108769</v>
      </c>
      <c r="F644" t="s">
        <v>2951</v>
      </c>
      <c r="G644" s="329" t="s">
        <v>44</v>
      </c>
      <c r="H644" s="13" t="str">
        <f>IFERROR(VLOOKUP(G644, Sheet2!$A:$B, 2, FALSE), A644)</f>
        <v>CHOW TAI FOOK JEWELLERY CO LTD</v>
      </c>
      <c r="I644" s="58" t="s">
        <v>352</v>
      </c>
      <c r="J644" s="242" t="s">
        <v>609</v>
      </c>
      <c r="K644" s="242" t="s">
        <v>4116</v>
      </c>
      <c r="L644" s="400" t="s">
        <v>4117</v>
      </c>
      <c r="M644" s="329"/>
      <c r="N644" s="442"/>
      <c r="O644" s="400"/>
      <c r="P644" s="400"/>
      <c r="Q644" s="91">
        <v>45473</v>
      </c>
      <c r="R644" s="443">
        <v>45496</v>
      </c>
      <c r="S644" s="91">
        <v>45473</v>
      </c>
      <c r="T644" s="329" t="s">
        <v>4118</v>
      </c>
      <c r="U644" s="329" t="s">
        <v>4119</v>
      </c>
      <c r="V644" s="329">
        <v>103943</v>
      </c>
      <c r="W644" s="400" t="s">
        <v>4120</v>
      </c>
      <c r="X644" s="399" t="s">
        <v>4121</v>
      </c>
      <c r="Y644" s="444" t="s">
        <v>4122</v>
      </c>
      <c r="Z644" s="400" t="s">
        <v>365</v>
      </c>
      <c r="AA644" s="400" t="s">
        <v>1079</v>
      </c>
      <c r="AB644" s="5" t="s">
        <v>944</v>
      </c>
      <c r="AC644" s="400" t="s">
        <v>1249</v>
      </c>
      <c r="AD644" s="76" t="s">
        <v>4123</v>
      </c>
    </row>
    <row r="645" spans="1:30" ht="87.5">
      <c r="A645" s="400" t="s">
        <v>350</v>
      </c>
      <c r="B645" s="441" t="s">
        <v>933</v>
      </c>
      <c r="C645" s="400" t="s">
        <v>44</v>
      </c>
      <c r="D645" s="141" t="s">
        <v>2650</v>
      </c>
      <c r="E645" s="141">
        <v>26108769</v>
      </c>
      <c r="F645" t="s">
        <v>2951</v>
      </c>
      <c r="G645" s="329" t="s">
        <v>44</v>
      </c>
      <c r="H645" s="13" t="str">
        <f>IFERROR(VLOOKUP(G645, Sheet2!$A:$B, 2, FALSE), A645)</f>
        <v>CHOW TAI FOOK JEWELLERY CO LTD</v>
      </c>
      <c r="I645" s="58" t="s">
        <v>352</v>
      </c>
      <c r="J645" s="242" t="s">
        <v>609</v>
      </c>
      <c r="K645" s="242" t="s">
        <v>4124</v>
      </c>
      <c r="L645" s="400" t="s">
        <v>4125</v>
      </c>
      <c r="M645" s="329"/>
      <c r="N645" s="442"/>
      <c r="O645" s="400"/>
      <c r="P645" s="400"/>
      <c r="Q645" s="91">
        <v>45473</v>
      </c>
      <c r="R645" s="443">
        <v>45496</v>
      </c>
      <c r="S645" s="91">
        <v>45473</v>
      </c>
      <c r="T645" s="329" t="s">
        <v>4126</v>
      </c>
      <c r="U645" s="329" t="s">
        <v>4127</v>
      </c>
      <c r="V645" s="329">
        <v>103942</v>
      </c>
      <c r="W645" s="400" t="s">
        <v>4128</v>
      </c>
      <c r="X645" s="445" t="s">
        <v>4129</v>
      </c>
      <c r="Y645" s="444" t="s">
        <v>4122</v>
      </c>
      <c r="Z645" s="400" t="s">
        <v>365</v>
      </c>
      <c r="AA645" s="400" t="s">
        <v>1079</v>
      </c>
      <c r="AB645" s="400" t="s">
        <v>944</v>
      </c>
      <c r="AC645" s="400" t="s">
        <v>1249</v>
      </c>
      <c r="AD645" s="76" t="s">
        <v>4130</v>
      </c>
    </row>
    <row r="646" spans="1:30" ht="29">
      <c r="A646" s="400" t="s">
        <v>4131</v>
      </c>
      <c r="B646" s="441" t="s">
        <v>933</v>
      </c>
      <c r="C646" s="3"/>
      <c r="D646" s="141"/>
      <c r="E646" s="141"/>
      <c r="G646" t="s">
        <v>51</v>
      </c>
      <c r="H646" s="13" t="str">
        <f>IFERROR(VLOOKUP(G646, Sheet2!$A:$B, 2, FALSE), A646)</f>
        <v>AIRPORT AUTHORITY</v>
      </c>
      <c r="I646" s="58" t="s">
        <v>352</v>
      </c>
      <c r="J646" s="52" t="s">
        <v>655</v>
      </c>
      <c r="K646" s="52" t="s">
        <v>4132</v>
      </c>
      <c r="L646" s="120" t="s">
        <v>4133</v>
      </c>
      <c r="M646" s="348" t="s">
        <v>4134</v>
      </c>
      <c r="N646" s="120"/>
      <c r="O646" s="142"/>
      <c r="P646" s="120"/>
      <c r="Q646" s="8"/>
      <c r="R646" s="8"/>
      <c r="S646" s="8"/>
      <c r="U646" s="141"/>
      <c r="V646" s="141"/>
      <c r="W646" s="8"/>
      <c r="Y646" s="9" t="s">
        <v>4135</v>
      </c>
      <c r="AA646" s="8"/>
      <c r="AB646" s="3"/>
      <c r="AC646" s="3"/>
    </row>
    <row r="647" spans="1:30" ht="29">
      <c r="A647" s="400" t="s">
        <v>4131</v>
      </c>
      <c r="B647" s="441" t="s">
        <v>933</v>
      </c>
      <c r="C647" s="3"/>
      <c r="D647" s="141"/>
      <c r="E647" s="141"/>
      <c r="G647" t="s">
        <v>51</v>
      </c>
      <c r="H647" s="13" t="str">
        <f>IFERROR(VLOOKUP(G647, Sheet2!$A:$B, 2, FALSE), A647)</f>
        <v>AIRPORT AUTHORITY</v>
      </c>
      <c r="I647" s="58" t="s">
        <v>352</v>
      </c>
      <c r="J647" s="52" t="s">
        <v>655</v>
      </c>
      <c r="K647" s="52" t="s">
        <v>4136</v>
      </c>
      <c r="L647" s="120" t="s">
        <v>4137</v>
      </c>
      <c r="M647" s="110" t="s">
        <v>4138</v>
      </c>
      <c r="N647" s="120"/>
      <c r="O647" s="142"/>
      <c r="P647" s="120"/>
      <c r="Q647" s="8"/>
      <c r="R647" s="8"/>
      <c r="S647" s="8"/>
      <c r="U647" s="141"/>
      <c r="V647" s="141"/>
      <c r="W647" s="8"/>
      <c r="Y647" s="9" t="s">
        <v>4135</v>
      </c>
      <c r="AA647" s="8"/>
      <c r="AB647" s="3"/>
      <c r="AC647" s="3"/>
    </row>
    <row r="648" spans="1:30" ht="58">
      <c r="A648" s="3" t="s">
        <v>350</v>
      </c>
      <c r="B648" s="441" t="s">
        <v>933</v>
      </c>
      <c r="C648" s="3"/>
      <c r="D648" s="141" t="s">
        <v>4139</v>
      </c>
      <c r="E648" s="141" t="s">
        <v>4140</v>
      </c>
      <c r="F648" s="76" t="s">
        <v>4141</v>
      </c>
      <c r="G648" t="s">
        <v>225</v>
      </c>
      <c r="H648" s="13" t="str">
        <f>IFERROR(VLOOKUP(G648, Sheet2!$A:$B, 2, FALSE), A648)</f>
        <v>FANO LABS LIMITED</v>
      </c>
      <c r="I648" s="58" t="s">
        <v>352</v>
      </c>
      <c r="J648" s="52" t="s">
        <v>4142</v>
      </c>
      <c r="K648" s="52" t="s">
        <v>4143</v>
      </c>
      <c r="L648" s="120" t="s">
        <v>4144</v>
      </c>
      <c r="M648" s="367" t="s">
        <v>4144</v>
      </c>
      <c r="N648" s="120"/>
      <c r="O648" s="446" t="s">
        <v>4145</v>
      </c>
      <c r="P648" s="120"/>
      <c r="Q648" s="8">
        <v>45491</v>
      </c>
      <c r="R648" s="8">
        <v>45488</v>
      </c>
      <c r="S648" s="8">
        <v>45491</v>
      </c>
      <c r="T648" t="s">
        <v>4146</v>
      </c>
      <c r="U648" s="141" t="s">
        <v>4147</v>
      </c>
      <c r="V648" s="141">
        <v>103936</v>
      </c>
      <c r="W648" s="8" t="s">
        <v>4148</v>
      </c>
      <c r="X648" t="s">
        <v>4149</v>
      </c>
      <c r="Y648" s="9" t="s">
        <v>4150</v>
      </c>
      <c r="Z648" t="s">
        <v>365</v>
      </c>
      <c r="AA648" s="8"/>
      <c r="AB648" s="3" t="s">
        <v>375</v>
      </c>
      <c r="AC648" s="3"/>
      <c r="AD648" s="76" t="s">
        <v>4151</v>
      </c>
    </row>
    <row r="649" spans="1:30" ht="116">
      <c r="A649" s="5" t="s">
        <v>350</v>
      </c>
      <c r="B649" s="46" t="s">
        <v>3118</v>
      </c>
      <c r="C649" s="3"/>
      <c r="D649" s="141" t="s">
        <v>4152</v>
      </c>
      <c r="E649" s="346">
        <v>29487508</v>
      </c>
      <c r="F649" s="110" t="s">
        <v>4153</v>
      </c>
      <c r="G649" t="s">
        <v>233</v>
      </c>
      <c r="H649" s="13" t="str">
        <f>IFERROR(VLOOKUP(G649, Sheet2!$A:$B, 2, FALSE), A649)</f>
        <v>THE EDUCATION OF HONG KONG</v>
      </c>
      <c r="I649" s="58" t="s">
        <v>2836</v>
      </c>
      <c r="J649" s="52"/>
      <c r="K649" s="52" t="s">
        <v>4154</v>
      </c>
      <c r="L649" s="120" t="s">
        <v>4155</v>
      </c>
      <c r="M649" s="348" t="s">
        <v>4156</v>
      </c>
      <c r="N649" s="120"/>
      <c r="O649" s="142" t="s">
        <v>4157</v>
      </c>
      <c r="P649" s="120"/>
      <c r="Q649" s="8">
        <v>45504</v>
      </c>
      <c r="R649" s="8">
        <v>45504</v>
      </c>
      <c r="S649" s="8">
        <v>45504</v>
      </c>
      <c r="T649" t="s">
        <v>4158</v>
      </c>
      <c r="U649" s="141" t="s">
        <v>4159</v>
      </c>
      <c r="V649" s="141">
        <v>103948</v>
      </c>
      <c r="W649" s="8" t="s">
        <v>4160</v>
      </c>
      <c r="X649" t="s">
        <v>4161</v>
      </c>
      <c r="Y649" s="9" t="s">
        <v>4162</v>
      </c>
      <c r="Z649" t="s">
        <v>365</v>
      </c>
      <c r="AA649" s="8"/>
      <c r="AB649" s="5" t="s">
        <v>375</v>
      </c>
      <c r="AC649" s="3" t="s">
        <v>2995</v>
      </c>
      <c r="AD649" t="s">
        <v>4163</v>
      </c>
    </row>
    <row r="650" spans="1:30" ht="87">
      <c r="A650" s="5" t="s">
        <v>350</v>
      </c>
      <c r="B650" s="46" t="s">
        <v>933</v>
      </c>
      <c r="C650" s="3"/>
      <c r="D650" s="447"/>
      <c r="E650" s="141"/>
      <c r="F650" s="366"/>
      <c r="G650" t="s">
        <v>176</v>
      </c>
      <c r="H650" s="13" t="str">
        <f>IFERROR(VLOOKUP(G650, Sheet2!$A:$B, 2, FALSE), A650)</f>
        <v>HOSPITAL AUTHORITY</v>
      </c>
      <c r="I650" s="58" t="s">
        <v>675</v>
      </c>
      <c r="J650" s="52"/>
      <c r="K650" s="52" t="s">
        <v>4164</v>
      </c>
      <c r="L650" s="120" t="s">
        <v>4165</v>
      </c>
      <c r="M650" s="448" t="s">
        <v>4166</v>
      </c>
      <c r="N650" s="120"/>
      <c r="O650" s="142" t="s">
        <v>3804</v>
      </c>
      <c r="P650" s="449" t="s">
        <v>4167</v>
      </c>
      <c r="Q650" s="8">
        <v>45510</v>
      </c>
      <c r="R650" s="8">
        <v>45509</v>
      </c>
      <c r="S650" s="8">
        <v>45510</v>
      </c>
      <c r="T650" t="s">
        <v>4168</v>
      </c>
      <c r="U650" s="141" t="s">
        <v>4169</v>
      </c>
      <c r="V650" s="141">
        <v>103995</v>
      </c>
      <c r="W650" s="8" t="s">
        <v>4170</v>
      </c>
      <c r="X650" t="s">
        <v>4171</v>
      </c>
      <c r="Y650" s="9" t="s">
        <v>4172</v>
      </c>
      <c r="Z650" t="s">
        <v>365</v>
      </c>
      <c r="AA650" s="8" t="s">
        <v>1264</v>
      </c>
      <c r="AB650" s="3"/>
      <c r="AC650" s="3" t="s">
        <v>1249</v>
      </c>
      <c r="AD650" s="76" t="s">
        <v>4173</v>
      </c>
    </row>
    <row r="651" spans="1:30" ht="101.5">
      <c r="A651" s="5" t="s">
        <v>350</v>
      </c>
      <c r="B651" s="46" t="s">
        <v>933</v>
      </c>
      <c r="C651" s="5"/>
      <c r="D651" s="141"/>
      <c r="E651" s="141"/>
      <c r="F651" s="366"/>
      <c r="G651" t="s">
        <v>176</v>
      </c>
      <c r="H651" s="13" t="str">
        <f>IFERROR(VLOOKUP(G651, Sheet2!$A:$B, 2, FALSE), A651)</f>
        <v>HOSPITAL AUTHORITY</v>
      </c>
      <c r="I651" s="58" t="s">
        <v>675</v>
      </c>
      <c r="J651" s="52"/>
      <c r="K651" s="52" t="s">
        <v>4174</v>
      </c>
      <c r="L651" s="120" t="s">
        <v>4175</v>
      </c>
      <c r="M651" s="450" t="s">
        <v>4176</v>
      </c>
      <c r="N651" s="120"/>
      <c r="O651" s="142" t="s">
        <v>4177</v>
      </c>
      <c r="P651" s="409" t="s">
        <v>4178</v>
      </c>
      <c r="Q651" s="4">
        <v>45510</v>
      </c>
      <c r="R651" s="4">
        <v>45512</v>
      </c>
      <c r="S651" s="4">
        <v>45510</v>
      </c>
      <c r="T651" t="s">
        <v>4179</v>
      </c>
      <c r="U651" s="141" t="s">
        <v>4180</v>
      </c>
      <c r="V651" s="141">
        <v>103998</v>
      </c>
      <c r="W651" s="4" t="s">
        <v>4170</v>
      </c>
      <c r="X651" t="s">
        <v>4181</v>
      </c>
      <c r="Y651" s="9" t="s">
        <v>4182</v>
      </c>
      <c r="Z651" t="s">
        <v>365</v>
      </c>
      <c r="AA651" s="4" t="s">
        <v>1264</v>
      </c>
      <c r="AB651" s="5"/>
      <c r="AC651" s="5" t="s">
        <v>1249</v>
      </c>
      <c r="AD651" s="76" t="s">
        <v>4173</v>
      </c>
    </row>
    <row r="652" spans="1:30" ht="145">
      <c r="A652" s="3" t="s">
        <v>350</v>
      </c>
      <c r="B652" s="46" t="s">
        <v>933</v>
      </c>
      <c r="C652" s="3"/>
      <c r="D652" s="141" t="s">
        <v>4183</v>
      </c>
      <c r="E652" s="141"/>
      <c r="F652" s="110" t="s">
        <v>4184</v>
      </c>
      <c r="G652" t="s">
        <v>176</v>
      </c>
      <c r="H652" s="13" t="str">
        <f>IFERROR(VLOOKUP(G652, Sheet2!$A:$B, 2, FALSE), A652)</f>
        <v>HOSPITAL AUTHORITY</v>
      </c>
      <c r="I652" s="6" t="s">
        <v>393</v>
      </c>
      <c r="J652" s="109"/>
      <c r="K652" s="77" t="s">
        <v>4185</v>
      </c>
      <c r="L652" s="142" t="s">
        <v>4186</v>
      </c>
      <c r="M652" s="358" t="s">
        <v>4187</v>
      </c>
      <c r="N652" s="120"/>
      <c r="O652" s="451" t="s">
        <v>4188</v>
      </c>
      <c r="P652" s="120" t="s">
        <v>4189</v>
      </c>
      <c r="Q652" s="8">
        <v>45597</v>
      </c>
      <c r="R652" s="8">
        <v>45517</v>
      </c>
      <c r="S652" s="8">
        <v>45597</v>
      </c>
      <c r="T652" s="4" t="s">
        <v>4190</v>
      </c>
      <c r="U652" s="4" t="s">
        <v>4191</v>
      </c>
      <c r="V652" s="4">
        <v>104084</v>
      </c>
      <c r="W652" s="4" t="s">
        <v>4192</v>
      </c>
      <c r="X652" t="s">
        <v>4193</v>
      </c>
      <c r="Y652" s="7" t="s">
        <v>4194</v>
      </c>
      <c r="Z652" t="s">
        <v>365</v>
      </c>
      <c r="AA652" s="4" t="s">
        <v>1264</v>
      </c>
      <c r="AB652" s="3" t="s">
        <v>944</v>
      </c>
      <c r="AC652" s="3" t="s">
        <v>1249</v>
      </c>
      <c r="AD652" s="110" t="s">
        <v>4195</v>
      </c>
    </row>
    <row r="653" spans="1:30" ht="145">
      <c r="A653" s="3" t="s">
        <v>350</v>
      </c>
      <c r="B653" s="46" t="s">
        <v>933</v>
      </c>
      <c r="C653" s="3"/>
      <c r="D653" s="141" t="s">
        <v>4196</v>
      </c>
      <c r="E653" s="141"/>
      <c r="F653" s="110" t="s">
        <v>4184</v>
      </c>
      <c r="G653" t="s">
        <v>176</v>
      </c>
      <c r="H653" s="13" t="str">
        <f>IFERROR(VLOOKUP(G653, Sheet2!$A:$B, 2, FALSE), A653)</f>
        <v>HOSPITAL AUTHORITY</v>
      </c>
      <c r="I653" s="6" t="s">
        <v>393</v>
      </c>
      <c r="J653" s="109"/>
      <c r="K653" s="77" t="s">
        <v>4197</v>
      </c>
      <c r="L653" s="120" t="s">
        <v>4198</v>
      </c>
      <c r="M653" s="436" t="s">
        <v>4199</v>
      </c>
      <c r="N653" s="120"/>
      <c r="O653" s="451" t="s">
        <v>4188</v>
      </c>
      <c r="P653" s="120" t="s">
        <v>4200</v>
      </c>
      <c r="Q653" s="8">
        <v>45597</v>
      </c>
      <c r="R653" s="8">
        <v>45517</v>
      </c>
      <c r="S653" s="8">
        <v>45597</v>
      </c>
      <c r="T653" s="4" t="s">
        <v>4201</v>
      </c>
      <c r="U653" s="4" t="s">
        <v>4202</v>
      </c>
      <c r="V653" s="4">
        <v>104085</v>
      </c>
      <c r="W653" s="4" t="s">
        <v>4192</v>
      </c>
      <c r="X653" t="s">
        <v>4193</v>
      </c>
      <c r="Y653" s="7" t="s">
        <v>4194</v>
      </c>
      <c r="Z653" t="s">
        <v>365</v>
      </c>
      <c r="AA653" s="4" t="s">
        <v>1264</v>
      </c>
      <c r="AB653" s="3" t="s">
        <v>944</v>
      </c>
      <c r="AC653" s="5" t="s">
        <v>1249</v>
      </c>
      <c r="AD653" s="110" t="s">
        <v>4195</v>
      </c>
    </row>
    <row r="654" spans="1:30" ht="58">
      <c r="A654" s="5" t="s">
        <v>350</v>
      </c>
      <c r="B654" s="46"/>
      <c r="C654" s="5"/>
      <c r="D654" s="183" t="s">
        <v>4203</v>
      </c>
      <c r="E654" s="141"/>
      <c r="F654" t="s">
        <v>4204</v>
      </c>
      <c r="G654" t="s">
        <v>51</v>
      </c>
      <c r="H654" s="13" t="str">
        <f>IFERROR(VLOOKUP(G654, Sheet2!$A:$B, 2, FALSE), A654)</f>
        <v>AIRPORT AUTHORITY</v>
      </c>
      <c r="I654" s="58" t="s">
        <v>4205</v>
      </c>
      <c r="J654" s="52"/>
      <c r="K654" s="52"/>
      <c r="L654" s="120"/>
      <c r="M654" s="450"/>
      <c r="N654" s="120"/>
      <c r="O654" s="142" t="s">
        <v>3978</v>
      </c>
      <c r="P654" s="409" t="s">
        <v>4206</v>
      </c>
      <c r="Q654" s="4" t="s">
        <v>4207</v>
      </c>
      <c r="R654" s="4">
        <v>45518</v>
      </c>
      <c r="S654" s="4">
        <v>45519</v>
      </c>
      <c r="T654" t="s">
        <v>4208</v>
      </c>
      <c r="U654" s="141" t="s">
        <v>4209</v>
      </c>
      <c r="V654" s="141">
        <v>103964</v>
      </c>
      <c r="W654" s="4" t="s">
        <v>4210</v>
      </c>
      <c r="X654" t="s">
        <v>4211</v>
      </c>
      <c r="Y654" s="9" t="s">
        <v>4212</v>
      </c>
      <c r="Z654" t="s">
        <v>886</v>
      </c>
      <c r="AA654" s="4" t="s">
        <v>1079</v>
      </c>
      <c r="AB654" s="3" t="s">
        <v>944</v>
      </c>
      <c r="AC654" s="5" t="s">
        <v>1249</v>
      </c>
      <c r="AD654" s="76" t="s">
        <v>4213</v>
      </c>
    </row>
    <row r="655" spans="1:30" ht="72.5">
      <c r="A655" s="305" t="s">
        <v>4214</v>
      </c>
      <c r="B655" s="294"/>
      <c r="C655" s="305"/>
      <c r="D655" s="352"/>
      <c r="E655" s="352"/>
      <c r="F655" s="351"/>
      <c r="G655" s="351"/>
      <c r="H655" s="13" t="str">
        <f>IFERROR(VLOOKUP(G655, Sheet2!$A:$B, 2, FALSE), A655)</f>
        <v>Pending for other parties</v>
      </c>
      <c r="I655" s="270"/>
      <c r="J655" s="295"/>
      <c r="K655" s="295"/>
      <c r="L655" s="452"/>
      <c r="M655" s="453"/>
      <c r="N655" s="452"/>
      <c r="O655" s="454"/>
      <c r="P655" s="452"/>
      <c r="Q655" s="293"/>
      <c r="R655" s="293"/>
      <c r="S655" s="293"/>
      <c r="T655" s="351" t="s">
        <v>4208</v>
      </c>
      <c r="U655" s="352"/>
      <c r="V655" s="352"/>
      <c r="W655" s="293"/>
      <c r="X655" s="351" t="s">
        <v>4215</v>
      </c>
      <c r="Y655" s="301" t="s">
        <v>4216</v>
      </c>
      <c r="Z655" t="s">
        <v>886</v>
      </c>
      <c r="AA655" s="8" t="s">
        <v>1079</v>
      </c>
      <c r="AB655" s="3" t="s">
        <v>944</v>
      </c>
      <c r="AC655" s="3" t="s">
        <v>1249</v>
      </c>
      <c r="AD655" s="76"/>
    </row>
    <row r="656" spans="1:30" ht="130.5">
      <c r="A656" s="5" t="s">
        <v>350</v>
      </c>
      <c r="B656" s="46"/>
      <c r="C656" t="s">
        <v>51</v>
      </c>
      <c r="D656" s="183" t="s">
        <v>4068</v>
      </c>
      <c r="E656" s="183" t="s">
        <v>4217</v>
      </c>
      <c r="F656" s="455" t="s">
        <v>4069</v>
      </c>
      <c r="G656" t="s">
        <v>51</v>
      </c>
      <c r="H656" s="13" t="str">
        <f>IFERROR(VLOOKUP(G656, Sheet2!$A:$B, 2, FALSE), A656)</f>
        <v>AIRPORT AUTHORITY</v>
      </c>
      <c r="I656" s="58" t="s">
        <v>393</v>
      </c>
      <c r="J656" s="52"/>
      <c r="K656" s="52"/>
      <c r="L656" s="120"/>
      <c r="M656" s="450"/>
      <c r="N656" s="120"/>
      <c r="O656" s="142" t="s">
        <v>3978</v>
      </c>
      <c r="P656" s="456"/>
      <c r="Q656" s="4" t="s">
        <v>4218</v>
      </c>
      <c r="R656" s="4">
        <v>45518</v>
      </c>
      <c r="S656" s="4">
        <v>45488</v>
      </c>
      <c r="T656" t="s">
        <v>4219</v>
      </c>
      <c r="U656" s="141" t="s">
        <v>4220</v>
      </c>
      <c r="V656" s="141">
        <v>103963</v>
      </c>
      <c r="W656" s="4" t="s">
        <v>4221</v>
      </c>
      <c r="X656" t="s">
        <v>4222</v>
      </c>
      <c r="Y656" s="7" t="s">
        <v>4223</v>
      </c>
      <c r="Z656" t="s">
        <v>886</v>
      </c>
      <c r="AA656" s="4" t="s">
        <v>1079</v>
      </c>
      <c r="AB656" s="3" t="s">
        <v>944</v>
      </c>
      <c r="AC656" s="5" t="s">
        <v>1249</v>
      </c>
      <c r="AD656" s="76" t="s">
        <v>4224</v>
      </c>
    </row>
    <row r="657" spans="1:30" ht="89">
      <c r="A657" s="3" t="s">
        <v>924</v>
      </c>
      <c r="B657" s="92"/>
      <c r="C657" s="85"/>
      <c r="D657" s="393"/>
      <c r="E657" s="393"/>
      <c r="F657" s="334"/>
      <c r="G657" s="334" t="s">
        <v>51</v>
      </c>
      <c r="H657" s="13" t="str">
        <f>IFERROR(VLOOKUP(G657, Sheet2!$A:$B, 2, FALSE), A657)</f>
        <v>AIRPORT AUTHORITY</v>
      </c>
      <c r="I657" s="93" t="s">
        <v>393</v>
      </c>
      <c r="J657" s="97"/>
      <c r="K657" s="97"/>
      <c r="L657" s="135"/>
      <c r="M657" s="457"/>
      <c r="N657" s="135"/>
      <c r="O657" s="135" t="s">
        <v>3978</v>
      </c>
      <c r="P657" s="456" t="s">
        <v>4225</v>
      </c>
      <c r="Q657" s="69"/>
      <c r="R657" s="69"/>
      <c r="S657" s="69"/>
      <c r="T657" s="334" t="s">
        <v>4219</v>
      </c>
      <c r="U657" s="393"/>
      <c r="V657" s="393"/>
      <c r="W657" s="69"/>
      <c r="X657" s="334" t="s">
        <v>4226</v>
      </c>
      <c r="Y657" s="56" t="s">
        <v>4227</v>
      </c>
      <c r="Z657" s="334" t="s">
        <v>886</v>
      </c>
      <c r="AA657" s="69" t="s">
        <v>1079</v>
      </c>
      <c r="AB657" s="85" t="s">
        <v>944</v>
      </c>
      <c r="AC657" s="85" t="s">
        <v>1249</v>
      </c>
      <c r="AD657" s="76"/>
    </row>
    <row r="658" spans="1:30" ht="74">
      <c r="A658" s="5" t="s">
        <v>350</v>
      </c>
      <c r="B658" s="46" t="s">
        <v>933</v>
      </c>
      <c r="C658" s="5"/>
      <c r="D658" s="141" t="s">
        <v>3130</v>
      </c>
      <c r="E658" s="458">
        <v>67594210</v>
      </c>
      <c r="F658" s="459" t="s">
        <v>3909</v>
      </c>
      <c r="G658" s="460" t="s">
        <v>199</v>
      </c>
      <c r="H658" s="13" t="str">
        <f>IFERROR(VLOOKUP(G658, Sheet2!$A:$B, 2, FALSE), A658)</f>
        <v>New World Corporate Services Limited</v>
      </c>
      <c r="I658" s="58" t="s">
        <v>352</v>
      </c>
      <c r="J658" s="52" t="s">
        <v>3122</v>
      </c>
      <c r="K658" s="52" t="s">
        <v>4228</v>
      </c>
      <c r="L658" s="120" t="s">
        <v>4229</v>
      </c>
      <c r="M658" s="358" t="s">
        <v>4230</v>
      </c>
      <c r="N658" s="120"/>
      <c r="O658" s="460" t="s">
        <v>4231</v>
      </c>
      <c r="P658" s="135"/>
      <c r="Q658" s="4">
        <v>45536</v>
      </c>
      <c r="R658" s="8">
        <v>45555</v>
      </c>
      <c r="S658" s="461">
        <v>45536</v>
      </c>
      <c r="T658" t="s">
        <v>4232</v>
      </c>
      <c r="U658" s="141" t="s">
        <v>4233</v>
      </c>
      <c r="V658" s="141">
        <v>104003</v>
      </c>
      <c r="W658" s="8" t="s">
        <v>4234</v>
      </c>
      <c r="X658" t="s">
        <v>4235</v>
      </c>
      <c r="Y658" s="9" t="s">
        <v>4236</v>
      </c>
      <c r="Z658" t="s">
        <v>365</v>
      </c>
      <c r="AA658" s="4"/>
      <c r="AB658" s="3" t="s">
        <v>944</v>
      </c>
      <c r="AC658" s="5" t="s">
        <v>945</v>
      </c>
      <c r="AD658" s="76" t="s">
        <v>4237</v>
      </c>
    </row>
    <row r="659" spans="1:30" ht="101.5">
      <c r="A659" s="5" t="s">
        <v>545</v>
      </c>
      <c r="B659" s="46" t="s">
        <v>933</v>
      </c>
      <c r="C659" s="3"/>
      <c r="D659" s="141" t="s">
        <v>4238</v>
      </c>
      <c r="E659" s="141" t="s">
        <v>4239</v>
      </c>
      <c r="F659" s="110" t="s">
        <v>4240</v>
      </c>
      <c r="G659" t="s">
        <v>51</v>
      </c>
      <c r="H659" s="13" t="str">
        <f>IFERROR(VLOOKUP(G659, Sheet2!$A:$B, 2, FALSE), A659)</f>
        <v>AIRPORT AUTHORITY</v>
      </c>
      <c r="I659" s="58" t="s">
        <v>393</v>
      </c>
      <c r="J659" s="52"/>
      <c r="K659" s="52"/>
      <c r="L659" s="120" t="s">
        <v>4241</v>
      </c>
      <c r="M659" s="348"/>
      <c r="N659" s="120"/>
      <c r="O659" s="142" t="s">
        <v>3978</v>
      </c>
      <c r="P659" s="456"/>
      <c r="Q659" s="4">
        <v>45562</v>
      </c>
      <c r="R659" s="4">
        <v>45524</v>
      </c>
      <c r="S659" s="4">
        <v>45533</v>
      </c>
      <c r="T659" t="s">
        <v>4242</v>
      </c>
      <c r="U659" t="s">
        <v>4243</v>
      </c>
      <c r="V659" s="141">
        <v>103970</v>
      </c>
      <c r="W659" t="s">
        <v>4244</v>
      </c>
      <c r="X659" t="s">
        <v>4245</v>
      </c>
      <c r="Y659" s="9" t="s">
        <v>4246</v>
      </c>
      <c r="Z659" t="s">
        <v>886</v>
      </c>
      <c r="AA659" s="8" t="s">
        <v>1079</v>
      </c>
      <c r="AB659" s="3" t="s">
        <v>944</v>
      </c>
      <c r="AC659" s="5" t="s">
        <v>1249</v>
      </c>
      <c r="AD659" s="76" t="s">
        <v>4247</v>
      </c>
    </row>
    <row r="660" spans="1:30" ht="45">
      <c r="A660" s="3" t="s">
        <v>350</v>
      </c>
      <c r="B660" s="46" t="s">
        <v>2773</v>
      </c>
      <c r="C660" s="3"/>
      <c r="D660" s="141" t="s">
        <v>2650</v>
      </c>
      <c r="E660" s="141">
        <v>90323685</v>
      </c>
      <c r="F660" s="110" t="s">
        <v>2951</v>
      </c>
      <c r="G660" t="s">
        <v>44</v>
      </c>
      <c r="H660" s="13" t="str">
        <f>IFERROR(VLOOKUP(G660, Sheet2!$A:$B, 2, FALSE), A660)</f>
        <v>CHOW TAI FOOK JEWELLERY CO LTD</v>
      </c>
      <c r="I660" s="58" t="s">
        <v>352</v>
      </c>
      <c r="J660" s="100" t="s">
        <v>609</v>
      </c>
      <c r="K660" s="52" t="s">
        <v>1193</v>
      </c>
      <c r="L660" s="120" t="s">
        <v>4248</v>
      </c>
      <c r="M660" s="348"/>
      <c r="N660" s="120"/>
      <c r="O660" s="142" t="s">
        <v>3229</v>
      </c>
      <c r="P660" s="135"/>
      <c r="Q660" s="91">
        <v>45473</v>
      </c>
      <c r="R660" s="8">
        <v>45531</v>
      </c>
      <c r="S660" s="91">
        <v>45473</v>
      </c>
      <c r="T660" t="s">
        <v>1196</v>
      </c>
      <c r="U660" s="141" t="s">
        <v>4249</v>
      </c>
      <c r="V660" s="141">
        <v>102928</v>
      </c>
      <c r="W660" s="8" t="s">
        <v>4250</v>
      </c>
      <c r="X660" t="s">
        <v>4251</v>
      </c>
      <c r="Y660" s="462" t="s">
        <v>4252</v>
      </c>
      <c r="Z660" t="s">
        <v>886</v>
      </c>
      <c r="AA660" s="8"/>
      <c r="AB660" s="3" t="s">
        <v>944</v>
      </c>
      <c r="AC660" s="3" t="s">
        <v>1249</v>
      </c>
      <c r="AD660" s="76" t="s">
        <v>4253</v>
      </c>
    </row>
    <row r="661" spans="1:30" ht="74">
      <c r="A661" s="3" t="s">
        <v>350</v>
      </c>
      <c r="B661" s="46" t="s">
        <v>2773</v>
      </c>
      <c r="C661" s="3"/>
      <c r="D661" s="141" t="s">
        <v>2650</v>
      </c>
      <c r="E661" s="141">
        <v>90323685</v>
      </c>
      <c r="F661" s="110" t="s">
        <v>2951</v>
      </c>
      <c r="G661" t="s">
        <v>44</v>
      </c>
      <c r="H661" s="13" t="str">
        <f>IFERROR(VLOOKUP(G661, Sheet2!$A:$B, 2, FALSE), A661)</f>
        <v>CHOW TAI FOOK JEWELLERY CO LTD</v>
      </c>
      <c r="I661" s="58" t="s">
        <v>352</v>
      </c>
      <c r="J661" s="100" t="s">
        <v>609</v>
      </c>
      <c r="K661" s="52" t="s">
        <v>1120</v>
      </c>
      <c r="L661" s="120" t="s">
        <v>4254</v>
      </c>
      <c r="M661" s="348"/>
      <c r="N661" s="120"/>
      <c r="O661" s="142" t="s">
        <v>3229</v>
      </c>
      <c r="P661" s="135"/>
      <c r="Q661" s="91">
        <v>45473</v>
      </c>
      <c r="R661" s="8">
        <v>45531</v>
      </c>
      <c r="S661" s="91">
        <v>45473</v>
      </c>
      <c r="T661" t="s">
        <v>1123</v>
      </c>
      <c r="U661" s="141" t="s">
        <v>4255</v>
      </c>
      <c r="V661" s="141">
        <v>102779</v>
      </c>
      <c r="W661" s="8" t="s">
        <v>4250</v>
      </c>
      <c r="X661" t="s">
        <v>4256</v>
      </c>
      <c r="Y661" s="462" t="s">
        <v>4257</v>
      </c>
      <c r="Z661" t="s">
        <v>886</v>
      </c>
      <c r="AA661" s="8"/>
      <c r="AB661" s="3" t="s">
        <v>944</v>
      </c>
      <c r="AC661" s="3" t="s">
        <v>1249</v>
      </c>
      <c r="AD661" s="76" t="s">
        <v>4258</v>
      </c>
    </row>
    <row r="662" spans="1:30" ht="72.5">
      <c r="A662" s="3" t="s">
        <v>350</v>
      </c>
      <c r="B662" s="46" t="s">
        <v>933</v>
      </c>
      <c r="C662" s="3"/>
      <c r="D662" s="141" t="s">
        <v>3090</v>
      </c>
      <c r="E662" s="463">
        <v>21833292</v>
      </c>
      <c r="F662" s="464" t="s">
        <v>2903</v>
      </c>
      <c r="G662" t="s">
        <v>51</v>
      </c>
      <c r="H662" s="13" t="str">
        <f>IFERROR(VLOOKUP(G662, Sheet2!$A:$B, 2, FALSE), A662)</f>
        <v>AIRPORT AUTHORITY</v>
      </c>
      <c r="I662" s="58" t="s">
        <v>352</v>
      </c>
      <c r="J662" s="52" t="s">
        <v>655</v>
      </c>
      <c r="K662" s="52"/>
      <c r="L662" s="120"/>
      <c r="M662" s="348"/>
      <c r="N662" s="120"/>
      <c r="O662" s="142" t="s">
        <v>3978</v>
      </c>
      <c r="P662" s="93"/>
      <c r="Q662" s="91">
        <v>45554</v>
      </c>
      <c r="R662" s="8">
        <v>45525</v>
      </c>
      <c r="S662" s="91">
        <v>45554</v>
      </c>
      <c r="T662" t="s">
        <v>4259</v>
      </c>
      <c r="U662" s="141" t="s">
        <v>4260</v>
      </c>
      <c r="V662" s="141">
        <v>103972</v>
      </c>
      <c r="W662" s="8" t="s">
        <v>4261</v>
      </c>
      <c r="X662" t="s">
        <v>4262</v>
      </c>
      <c r="Y662" s="462" t="s">
        <v>4263</v>
      </c>
      <c r="Z662" t="s">
        <v>886</v>
      </c>
      <c r="AA662" s="8" t="s">
        <v>1079</v>
      </c>
      <c r="AB662" s="3" t="s">
        <v>944</v>
      </c>
      <c r="AC662" s="3" t="s">
        <v>945</v>
      </c>
      <c r="AD662" s="76" t="s">
        <v>4264</v>
      </c>
    </row>
    <row r="663" spans="1:30" ht="72.5">
      <c r="A663" s="5" t="s">
        <v>350</v>
      </c>
      <c r="B663" s="46" t="s">
        <v>933</v>
      </c>
      <c r="C663" s="3"/>
      <c r="D663" s="141" t="s">
        <v>4265</v>
      </c>
      <c r="E663" s="141" t="s">
        <v>4266</v>
      </c>
      <c r="F663" t="s">
        <v>4267</v>
      </c>
      <c r="G663" t="s">
        <v>235</v>
      </c>
      <c r="H663" s="13" t="str">
        <f>IFERROR(VLOOKUP(G663, Sheet2!$A:$B, 2, FALSE), A663)</f>
        <v>CAM 8 - Huawei Cloud account for HKT ET Team</v>
      </c>
      <c r="I663" s="58" t="s">
        <v>675</v>
      </c>
      <c r="J663" s="52"/>
      <c r="K663" s="52"/>
      <c r="L663" s="120" t="s">
        <v>4268</v>
      </c>
      <c r="M663" s="348" t="s">
        <v>4267</v>
      </c>
      <c r="N663" s="120"/>
      <c r="O663" s="142" t="s">
        <v>4269</v>
      </c>
      <c r="P663" s="120"/>
      <c r="Q663" s="4">
        <v>45792</v>
      </c>
      <c r="R663" s="8">
        <v>45531</v>
      </c>
      <c r="S663" s="4">
        <v>45792</v>
      </c>
      <c r="T663" s="4" t="s">
        <v>4270</v>
      </c>
      <c r="U663" s="4" t="s">
        <v>4271</v>
      </c>
      <c r="V663" s="58">
        <v>104243</v>
      </c>
      <c r="W663" s="4" t="s">
        <v>4272</v>
      </c>
      <c r="X663" t="s">
        <v>4273</v>
      </c>
      <c r="Y663" s="9" t="s">
        <v>4274</v>
      </c>
      <c r="Z663" t="s">
        <v>365</v>
      </c>
      <c r="AA663" s="8" t="s">
        <v>4275</v>
      </c>
      <c r="AB663" s="5" t="s">
        <v>4276</v>
      </c>
      <c r="AC663" s="5" t="s">
        <v>3161</v>
      </c>
      <c r="AD663" s="465" t="s">
        <v>4277</v>
      </c>
    </row>
    <row r="664" spans="1:30" ht="58">
      <c r="A664" s="3" t="s">
        <v>350</v>
      </c>
      <c r="B664" s="46" t="s">
        <v>933</v>
      </c>
      <c r="C664" s="3"/>
      <c r="D664" s="141" t="s">
        <v>4278</v>
      </c>
      <c r="E664" s="141">
        <v>22072470</v>
      </c>
      <c r="F664" s="110" t="s">
        <v>4279</v>
      </c>
      <c r="G664" t="s">
        <v>132</v>
      </c>
      <c r="H664" s="13" t="str">
        <f>IFERROR(VLOOKUP(G664, Sheet2!$A:$B, 2, FALSE), A664)</f>
        <v>SHANGHAI COMMERCIAL BANK LTD</v>
      </c>
      <c r="I664" t="s">
        <v>352</v>
      </c>
      <c r="J664" s="52">
        <v>28254448425</v>
      </c>
      <c r="K664" s="52" t="s">
        <v>4280</v>
      </c>
      <c r="L664" s="432" t="s">
        <v>4281</v>
      </c>
      <c r="M664" s="348"/>
      <c r="N664" s="120"/>
      <c r="O664" s="7" t="s">
        <v>4282</v>
      </c>
      <c r="P664" s="120"/>
      <c r="Q664" s="8">
        <v>45536</v>
      </c>
      <c r="R664" s="8">
        <v>45548</v>
      </c>
      <c r="S664" s="8">
        <v>45536</v>
      </c>
      <c r="T664" s="8" t="s">
        <v>4283</v>
      </c>
      <c r="U664" s="8" t="s">
        <v>4284</v>
      </c>
      <c r="V664" s="141">
        <v>56009</v>
      </c>
      <c r="W664" s="8" t="s">
        <v>4285</v>
      </c>
      <c r="X664" t="s">
        <v>4286</v>
      </c>
      <c r="Y664" s="9" t="s">
        <v>4287</v>
      </c>
      <c r="Z664" t="s">
        <v>365</v>
      </c>
      <c r="AA664" s="8"/>
      <c r="AB664" s="3" t="s">
        <v>944</v>
      </c>
      <c r="AC664" s="3"/>
      <c r="AD664" s="76" t="s">
        <v>4288</v>
      </c>
    </row>
    <row r="665" spans="1:30" ht="101.5">
      <c r="A665" s="3" t="s">
        <v>350</v>
      </c>
      <c r="B665" s="46" t="s">
        <v>933</v>
      </c>
      <c r="C665" s="3"/>
      <c r="D665" s="141" t="s">
        <v>2707</v>
      </c>
      <c r="E665" s="141" t="s">
        <v>990</v>
      </c>
      <c r="F665" s="110" t="s">
        <v>2951</v>
      </c>
      <c r="G665" t="s">
        <v>44</v>
      </c>
      <c r="H665" s="13" t="str">
        <f>IFERROR(VLOOKUP(G665, Sheet2!$A:$B, 2, FALSE), A665)</f>
        <v>CHOW TAI FOOK JEWELLERY CO LTD</v>
      </c>
      <c r="I665" s="58" t="s">
        <v>352</v>
      </c>
      <c r="J665" s="52" t="s">
        <v>609</v>
      </c>
      <c r="K665" s="466" t="s">
        <v>4289</v>
      </c>
      <c r="L665" s="467" t="s">
        <v>4290</v>
      </c>
      <c r="M665" s="348"/>
      <c r="N665" s="120"/>
      <c r="O665" s="142" t="s">
        <v>3229</v>
      </c>
      <c r="P665" s="120"/>
      <c r="Q665" s="8">
        <v>45565</v>
      </c>
      <c r="R665" s="8">
        <v>45672</v>
      </c>
      <c r="S665" s="8">
        <v>45565</v>
      </c>
      <c r="T665" s="4" t="s">
        <v>4291</v>
      </c>
      <c r="U665" s="4" t="s">
        <v>4292</v>
      </c>
      <c r="V665" s="58">
        <v>104116</v>
      </c>
      <c r="W665" s="4" t="s">
        <v>4293</v>
      </c>
      <c r="X665" t="s">
        <v>4294</v>
      </c>
      <c r="Y665" s="9" t="s">
        <v>4295</v>
      </c>
      <c r="Z665" t="s">
        <v>425</v>
      </c>
      <c r="AA665" s="4" t="s">
        <v>781</v>
      </c>
      <c r="AB665" s="3" t="s">
        <v>944</v>
      </c>
      <c r="AC665" s="5" t="s">
        <v>3161</v>
      </c>
      <c r="AD665" s="110" t="s">
        <v>4296</v>
      </c>
    </row>
    <row r="666" spans="1:30" ht="159.5">
      <c r="A666" s="3" t="s">
        <v>350</v>
      </c>
      <c r="B666" s="46" t="s">
        <v>933</v>
      </c>
      <c r="C666" s="3"/>
      <c r="D666" s="141"/>
      <c r="E666" s="141"/>
      <c r="F666" s="110"/>
      <c r="G666" t="s">
        <v>51</v>
      </c>
      <c r="H666" s="13" t="str">
        <f>IFERROR(VLOOKUP(G666, Sheet2!$A:$B, 2, FALSE), A666)</f>
        <v>AIRPORT AUTHORITY</v>
      </c>
      <c r="I666" s="6" t="s">
        <v>393</v>
      </c>
      <c r="J666" s="52"/>
      <c r="K666" s="145"/>
      <c r="L666" s="468" t="s">
        <v>4297</v>
      </c>
      <c r="M666" s="348"/>
      <c r="N666" s="120"/>
      <c r="O666" s="142" t="s">
        <v>4298</v>
      </c>
      <c r="P666" s="120" t="s">
        <v>4299</v>
      </c>
      <c r="Q666" s="8">
        <v>45552</v>
      </c>
      <c r="R666" s="8">
        <v>45551</v>
      </c>
      <c r="S666" s="8">
        <v>45552</v>
      </c>
      <c r="T666" s="4" t="s">
        <v>4300</v>
      </c>
      <c r="U666" s="8" t="s">
        <v>4301</v>
      </c>
      <c r="V666" s="141">
        <v>104000</v>
      </c>
      <c r="W666" s="8" t="s">
        <v>4302</v>
      </c>
      <c r="X666" t="s">
        <v>4303</v>
      </c>
      <c r="Y666" s="9" t="s">
        <v>4304</v>
      </c>
      <c r="Z666" t="s">
        <v>886</v>
      </c>
      <c r="AA666" s="8" t="s">
        <v>1079</v>
      </c>
      <c r="AB666" s="3" t="s">
        <v>944</v>
      </c>
      <c r="AC666" s="3" t="s">
        <v>1249</v>
      </c>
      <c r="AD666" s="76" t="s">
        <v>4305</v>
      </c>
    </row>
    <row r="667" spans="1:30" ht="130.5">
      <c r="A667" s="3" t="s">
        <v>350</v>
      </c>
      <c r="B667" s="46" t="s">
        <v>933</v>
      </c>
      <c r="C667" s="3"/>
      <c r="D667" s="141" t="s">
        <v>3130</v>
      </c>
      <c r="E667" s="458">
        <v>67594210</v>
      </c>
      <c r="F667" s="459" t="s">
        <v>3909</v>
      </c>
      <c r="G667" s="469" t="s">
        <v>2888</v>
      </c>
      <c r="H667" s="13" t="str">
        <f>IFERROR(VLOOKUP(G667, Sheet2!$A:$B, 2, FALSE), A667)</f>
        <v>New World Corporate Services Limited</v>
      </c>
      <c r="I667" s="58" t="s">
        <v>359</v>
      </c>
      <c r="J667" s="470"/>
      <c r="K667" s="470" t="s">
        <v>4306</v>
      </c>
      <c r="L667" s="460"/>
      <c r="M667" s="460"/>
      <c r="N667" s="460"/>
      <c r="O667" s="460" t="s">
        <v>4307</v>
      </c>
      <c r="P667" s="460"/>
      <c r="Q667" s="8">
        <v>45562</v>
      </c>
      <c r="R667" s="8">
        <v>45555</v>
      </c>
      <c r="S667" s="461">
        <v>45555</v>
      </c>
      <c r="T667" t="s">
        <v>2697</v>
      </c>
      <c r="U667" s="141" t="s">
        <v>4308</v>
      </c>
      <c r="V667" s="141">
        <v>104009</v>
      </c>
      <c r="W667" s="8" t="s">
        <v>4309</v>
      </c>
      <c r="X667" s="406" t="s">
        <v>4310</v>
      </c>
      <c r="Y667" s="9" t="s">
        <v>4311</v>
      </c>
      <c r="Z667" t="s">
        <v>365</v>
      </c>
      <c r="AA667" s="8"/>
      <c r="AB667" s="3" t="s">
        <v>375</v>
      </c>
      <c r="AC667" s="3" t="s">
        <v>945</v>
      </c>
      <c r="AD667" s="76" t="s">
        <v>4312</v>
      </c>
    </row>
    <row r="668" spans="1:30" ht="58">
      <c r="A668" s="3" t="s">
        <v>350</v>
      </c>
      <c r="B668" s="46" t="s">
        <v>933</v>
      </c>
      <c r="C668" s="3"/>
      <c r="D668" s="141" t="s">
        <v>3130</v>
      </c>
      <c r="E668" s="458">
        <v>67594210</v>
      </c>
      <c r="F668" s="459" t="s">
        <v>3909</v>
      </c>
      <c r="G668" s="469" t="s">
        <v>199</v>
      </c>
      <c r="H668" s="13" t="str">
        <f>IFERROR(VLOOKUP(G668, Sheet2!$A:$B, 2, FALSE), A668)</f>
        <v>New World Corporate Services Limited</v>
      </c>
      <c r="I668" s="58" t="s">
        <v>352</v>
      </c>
      <c r="J668" s="52">
        <v>759168424209</v>
      </c>
      <c r="K668" s="52" t="s">
        <v>4313</v>
      </c>
      <c r="L668" s="120" t="s">
        <v>4314</v>
      </c>
      <c r="M668" s="358" t="s">
        <v>4315</v>
      </c>
      <c r="N668" s="120"/>
      <c r="O668" s="460" t="s">
        <v>4231</v>
      </c>
      <c r="P668" s="120"/>
      <c r="Q668" s="8">
        <v>45536</v>
      </c>
      <c r="R668" s="8">
        <v>45555</v>
      </c>
      <c r="S668" s="8">
        <v>45536</v>
      </c>
      <c r="T668" t="s">
        <v>4316</v>
      </c>
      <c r="U668" s="141" t="s">
        <v>4317</v>
      </c>
      <c r="V668" s="141">
        <v>104002</v>
      </c>
      <c r="W668" s="8" t="s">
        <v>4234</v>
      </c>
      <c r="X668" s="406" t="s">
        <v>4318</v>
      </c>
      <c r="Y668" s="9" t="s">
        <v>4319</v>
      </c>
      <c r="Z668" t="s">
        <v>365</v>
      </c>
      <c r="AA668" s="8"/>
      <c r="AB668" s="3" t="s">
        <v>944</v>
      </c>
      <c r="AC668" s="3" t="s">
        <v>945</v>
      </c>
      <c r="AD668" s="76" t="s">
        <v>4237</v>
      </c>
    </row>
    <row r="669" spans="1:30" ht="87">
      <c r="A669" s="3" t="s">
        <v>350</v>
      </c>
      <c r="B669" s="46" t="s">
        <v>933</v>
      </c>
      <c r="C669" s="141" t="s">
        <v>4278</v>
      </c>
      <c r="D669" s="141"/>
      <c r="E669" s="458" t="s">
        <v>4320</v>
      </c>
      <c r="F669" s="459" t="s">
        <v>4321</v>
      </c>
      <c r="G669" t="s">
        <v>51</v>
      </c>
      <c r="H669" s="13" t="str">
        <f>IFERROR(VLOOKUP(G669, Sheet2!$A:$B, 2, FALSE), A669)</f>
        <v>AIRPORT AUTHORITY</v>
      </c>
      <c r="I669" s="6" t="s">
        <v>393</v>
      </c>
      <c r="J669" s="52"/>
      <c r="K669" s="52"/>
      <c r="L669" t="s">
        <v>4322</v>
      </c>
      <c r="M669" s="120"/>
      <c r="N669" s="120"/>
      <c r="O669" s="142" t="s">
        <v>3978</v>
      </c>
      <c r="P669" s="120"/>
      <c r="Q669" s="8">
        <v>45560</v>
      </c>
      <c r="R669" s="8">
        <v>45555</v>
      </c>
      <c r="S669" s="8">
        <v>45560</v>
      </c>
      <c r="T669" t="s">
        <v>4323</v>
      </c>
      <c r="U669" s="141" t="s">
        <v>4324</v>
      </c>
      <c r="V669" s="141">
        <v>104000</v>
      </c>
      <c r="W669" s="4" t="s">
        <v>4325</v>
      </c>
      <c r="X669" s="471" t="s">
        <v>4326</v>
      </c>
      <c r="Y669" s="7" t="s">
        <v>4327</v>
      </c>
      <c r="Z669" t="s">
        <v>886</v>
      </c>
      <c r="AA669" s="8" t="s">
        <v>1079</v>
      </c>
      <c r="AB669" s="3" t="s">
        <v>944</v>
      </c>
      <c r="AC669" s="3" t="s">
        <v>1249</v>
      </c>
      <c r="AD669" s="76" t="s">
        <v>4328</v>
      </c>
    </row>
    <row r="670" spans="1:30" ht="188.5">
      <c r="A670" s="3" t="s">
        <v>350</v>
      </c>
      <c r="B670" s="46" t="s">
        <v>933</v>
      </c>
      <c r="C670" s="3"/>
      <c r="D670" s="141" t="s">
        <v>4278</v>
      </c>
      <c r="E670" s="458">
        <v>21835741</v>
      </c>
      <c r="F670" s="459" t="s">
        <v>4321</v>
      </c>
      <c r="G670" t="s">
        <v>1365</v>
      </c>
      <c r="H670" s="13" t="str">
        <f>IFERROR(VLOOKUP(G670, Sheet2!$A:$B, 2, FALSE), A670)</f>
        <v>AIRPORT AUTHORITY</v>
      </c>
      <c r="I670" s="6" t="s">
        <v>393</v>
      </c>
      <c r="J670" s="52"/>
      <c r="K670" s="52"/>
      <c r="L670" t="s">
        <v>4329</v>
      </c>
      <c r="M670" s="358"/>
      <c r="N670" s="120"/>
      <c r="O670" s="142" t="s">
        <v>3978</v>
      </c>
      <c r="P670" s="120"/>
      <c r="Q670" s="8">
        <v>45562</v>
      </c>
      <c r="R670" s="8">
        <v>45555</v>
      </c>
      <c r="S670" s="472">
        <v>45562</v>
      </c>
      <c r="T670" t="s">
        <v>4330</v>
      </c>
      <c r="U670" s="141" t="s">
        <v>4331</v>
      </c>
      <c r="V670" s="141">
        <v>104007</v>
      </c>
      <c r="W670" s="8" t="s">
        <v>4332</v>
      </c>
      <c r="X670" s="406" t="s">
        <v>4333</v>
      </c>
      <c r="Y670" s="7" t="s">
        <v>4334</v>
      </c>
      <c r="Z670" t="s">
        <v>886</v>
      </c>
      <c r="AA670" s="8" t="s">
        <v>1079</v>
      </c>
      <c r="AB670" s="3" t="s">
        <v>944</v>
      </c>
      <c r="AC670" s="3" t="s">
        <v>1249</v>
      </c>
      <c r="AD670" s="76" t="s">
        <v>4335</v>
      </c>
    </row>
    <row r="671" spans="1:30" ht="130.5">
      <c r="A671" s="3" t="s">
        <v>350</v>
      </c>
      <c r="B671" s="46" t="s">
        <v>933</v>
      </c>
      <c r="C671" s="3"/>
      <c r="D671" s="141" t="s">
        <v>4278</v>
      </c>
      <c r="E671" s="458">
        <v>21835741</v>
      </c>
      <c r="F671" s="459" t="s">
        <v>4321</v>
      </c>
      <c r="G671" t="s">
        <v>1365</v>
      </c>
      <c r="H671" s="13" t="str">
        <f>IFERROR(VLOOKUP(G671, Sheet2!$A:$B, 2, FALSE), A671)</f>
        <v>AIRPORT AUTHORITY</v>
      </c>
      <c r="I671" s="6" t="s">
        <v>4205</v>
      </c>
      <c r="J671" s="52"/>
      <c r="K671" s="52"/>
      <c r="L671" s="10" t="s">
        <v>4336</v>
      </c>
      <c r="M671" s="358"/>
      <c r="N671" s="120"/>
      <c r="O671" s="142" t="s">
        <v>3978</v>
      </c>
      <c r="P671" s="120"/>
      <c r="Q671" s="8">
        <v>45567</v>
      </c>
      <c r="R671" s="8">
        <v>45563</v>
      </c>
      <c r="S671" s="4">
        <v>45567</v>
      </c>
      <c r="T671" t="s">
        <v>4330</v>
      </c>
      <c r="U671" s="141" t="s">
        <v>4337</v>
      </c>
      <c r="V671" s="141">
        <v>104014</v>
      </c>
      <c r="W671" s="8" t="s">
        <v>4338</v>
      </c>
      <c r="X671" s="406" t="s">
        <v>4339</v>
      </c>
      <c r="Y671" s="9" t="s">
        <v>4340</v>
      </c>
      <c r="Z671" t="s">
        <v>886</v>
      </c>
      <c r="AA671" s="8" t="s">
        <v>1079</v>
      </c>
      <c r="AB671" s="3" t="s">
        <v>944</v>
      </c>
      <c r="AC671" s="3" t="s">
        <v>1249</v>
      </c>
      <c r="AD671" s="76" t="s">
        <v>4341</v>
      </c>
    </row>
    <row r="672" spans="1:30" ht="145">
      <c r="A672" s="3" t="s">
        <v>350</v>
      </c>
      <c r="B672" s="46" t="s">
        <v>933</v>
      </c>
      <c r="C672" s="3"/>
      <c r="D672" s="141" t="s">
        <v>4278</v>
      </c>
      <c r="E672" s="458">
        <v>21835741</v>
      </c>
      <c r="F672" s="459" t="s">
        <v>4321</v>
      </c>
      <c r="G672" t="s">
        <v>51</v>
      </c>
      <c r="H672" s="13" t="str">
        <f>IFERROR(VLOOKUP(G672, Sheet2!$A:$B, 2, FALSE), A672)</f>
        <v>AIRPORT AUTHORITY</v>
      </c>
      <c r="I672" s="6" t="s">
        <v>393</v>
      </c>
      <c r="J672" s="52"/>
      <c r="K672" s="52"/>
      <c r="L672" t="s">
        <v>4342</v>
      </c>
      <c r="M672" s="358"/>
      <c r="N672" s="120"/>
      <c r="O672" s="142" t="s">
        <v>3978</v>
      </c>
      <c r="P672" s="120"/>
      <c r="Q672" s="8">
        <v>45565</v>
      </c>
      <c r="R672" s="8">
        <v>45561</v>
      </c>
      <c r="S672" s="473">
        <v>45565</v>
      </c>
      <c r="T672" t="s">
        <v>4343</v>
      </c>
      <c r="U672" s="141" t="s">
        <v>4344</v>
      </c>
      <c r="V672" s="141">
        <v>104014</v>
      </c>
      <c r="W672" s="8" t="s">
        <v>4345</v>
      </c>
      <c r="X672" s="406" t="s">
        <v>4346</v>
      </c>
      <c r="Y672" s="9" t="s">
        <v>4347</v>
      </c>
      <c r="Z672" t="s">
        <v>886</v>
      </c>
      <c r="AA672" s="8" t="s">
        <v>1079</v>
      </c>
      <c r="AB672" s="3" t="s">
        <v>944</v>
      </c>
      <c r="AC672" s="3" t="s">
        <v>1249</v>
      </c>
      <c r="AD672" s="76" t="s">
        <v>4348</v>
      </c>
    </row>
    <row r="673" spans="1:30" ht="101.5">
      <c r="A673" s="3" t="s">
        <v>350</v>
      </c>
      <c r="B673" s="46" t="s">
        <v>933</v>
      </c>
      <c r="C673" s="3"/>
      <c r="D673" s="141" t="s">
        <v>4278</v>
      </c>
      <c r="E673" s="458">
        <v>21835741</v>
      </c>
      <c r="F673" s="459" t="s">
        <v>4321</v>
      </c>
      <c r="G673" t="s">
        <v>51</v>
      </c>
      <c r="H673" s="13" t="str">
        <f>IFERROR(VLOOKUP(G673, Sheet2!$A:$B, 2, FALSE), A673)</f>
        <v>AIRPORT AUTHORITY</v>
      </c>
      <c r="I673" s="6" t="s">
        <v>393</v>
      </c>
      <c r="J673" s="52"/>
      <c r="K673" s="52"/>
      <c r="L673" s="10" t="s">
        <v>4349</v>
      </c>
      <c r="M673" s="358"/>
      <c r="N673" s="120"/>
      <c r="O673" s="142" t="s">
        <v>3978</v>
      </c>
      <c r="P673" s="120"/>
      <c r="Q673" s="8">
        <v>45574</v>
      </c>
      <c r="R673" s="8">
        <v>45568</v>
      </c>
      <c r="S673" s="4">
        <v>45572</v>
      </c>
      <c r="T673" t="s">
        <v>4343</v>
      </c>
      <c r="U673" s="141" t="s">
        <v>4350</v>
      </c>
      <c r="V673" s="141">
        <v>104014</v>
      </c>
      <c r="W673" s="8" t="s">
        <v>4351</v>
      </c>
      <c r="X673" s="406" t="s">
        <v>4352</v>
      </c>
      <c r="Y673" s="7" t="s">
        <v>4353</v>
      </c>
      <c r="Z673" t="s">
        <v>886</v>
      </c>
      <c r="AA673" s="8" t="s">
        <v>1079</v>
      </c>
      <c r="AB673" s="3" t="s">
        <v>944</v>
      </c>
      <c r="AC673" s="3" t="s">
        <v>1249</v>
      </c>
      <c r="AD673" s="76" t="s">
        <v>4348</v>
      </c>
    </row>
    <row r="674" spans="1:30" ht="87">
      <c r="A674" s="5" t="s">
        <v>350</v>
      </c>
      <c r="B674" s="46" t="s">
        <v>3118</v>
      </c>
      <c r="C674" s="5"/>
      <c r="D674" s="141" t="s">
        <v>3130</v>
      </c>
      <c r="E674" s="458">
        <v>67594210</v>
      </c>
      <c r="F674" s="110" t="s">
        <v>3909</v>
      </c>
      <c r="G674" t="s">
        <v>199</v>
      </c>
      <c r="H674" s="13" t="str">
        <f>IFERROR(VLOOKUP(G674, Sheet2!$A:$B, 2, FALSE), A674)</f>
        <v>New World Corporate Services Limited</v>
      </c>
      <c r="I674" s="58" t="s">
        <v>352</v>
      </c>
      <c r="J674" s="52"/>
      <c r="K674" s="52" t="s">
        <v>4354</v>
      </c>
      <c r="L674" s="120" t="s">
        <v>4355</v>
      </c>
      <c r="M674" s="358" t="s">
        <v>4356</v>
      </c>
      <c r="N674" s="120"/>
      <c r="O674" s="142" t="s">
        <v>4231</v>
      </c>
      <c r="P674" s="120"/>
      <c r="Q674" s="4">
        <v>45582</v>
      </c>
      <c r="R674" s="4">
        <v>45580</v>
      </c>
      <c r="S674" s="4">
        <v>45581</v>
      </c>
      <c r="T674" t="s">
        <v>4357</v>
      </c>
      <c r="U674" s="141" t="s">
        <v>4358</v>
      </c>
      <c r="V674" s="141">
        <v>104029</v>
      </c>
      <c r="W674" s="4" t="s">
        <v>4359</v>
      </c>
      <c r="X674" s="474" t="s">
        <v>4360</v>
      </c>
      <c r="Y674" s="9" t="s">
        <v>4361</v>
      </c>
      <c r="Z674" t="s">
        <v>365</v>
      </c>
      <c r="AA674" s="4" t="s">
        <v>1248</v>
      </c>
      <c r="AB674" s="5" t="s">
        <v>944</v>
      </c>
      <c r="AC674" s="5" t="s">
        <v>2995</v>
      </c>
      <c r="AD674" s="76" t="s">
        <v>4362</v>
      </c>
    </row>
    <row r="675" spans="1:30" ht="101.5">
      <c r="A675" s="5" t="s">
        <v>545</v>
      </c>
      <c r="B675" s="46" t="s">
        <v>3118</v>
      </c>
      <c r="C675" s="3"/>
      <c r="D675" s="393" t="s">
        <v>4363</v>
      </c>
      <c r="E675" s="475" t="s">
        <v>4364</v>
      </c>
      <c r="F675" s="459" t="s">
        <v>3478</v>
      </c>
      <c r="G675" t="s">
        <v>176</v>
      </c>
      <c r="H675" s="13" t="str">
        <f>IFERROR(VLOOKUP(G675, Sheet2!$A:$B, 2, FALSE), A675)</f>
        <v>HOSPITAL AUTHORITY</v>
      </c>
      <c r="I675" s="58" t="s">
        <v>675</v>
      </c>
      <c r="J675" s="52"/>
      <c r="K675" s="52" t="s">
        <v>4365</v>
      </c>
      <c r="L675" s="120" t="s">
        <v>4366</v>
      </c>
      <c r="M675" s="367" t="s">
        <v>4367</v>
      </c>
      <c r="N675" s="120"/>
      <c r="O675" s="142" t="s">
        <v>4368</v>
      </c>
      <c r="P675" s="120" t="s">
        <v>4369</v>
      </c>
      <c r="Q675" s="4">
        <v>45566</v>
      </c>
      <c r="R675" s="4">
        <v>45583</v>
      </c>
      <c r="S675" s="4">
        <v>45566</v>
      </c>
      <c r="T675" t="s">
        <v>4370</v>
      </c>
      <c r="U675" s="141" t="s">
        <v>4371</v>
      </c>
      <c r="V675" s="141">
        <v>104050</v>
      </c>
      <c r="W675" s="4" t="s">
        <v>4372</v>
      </c>
      <c r="X675" s="471" t="s">
        <v>4373</v>
      </c>
      <c r="Y675" s="9" t="s">
        <v>4374</v>
      </c>
      <c r="Z675" t="s">
        <v>365</v>
      </c>
      <c r="AA675" s="8" t="s">
        <v>1072</v>
      </c>
      <c r="AB675" s="3" t="s">
        <v>944</v>
      </c>
      <c r="AC675" s="3" t="s">
        <v>1249</v>
      </c>
      <c r="AD675" s="76" t="s">
        <v>4375</v>
      </c>
    </row>
    <row r="676" spans="1:30" ht="101.5">
      <c r="A676" s="3" t="s">
        <v>350</v>
      </c>
      <c r="B676" s="46" t="s">
        <v>3118</v>
      </c>
      <c r="C676" s="3"/>
      <c r="D676" s="141" t="s">
        <v>2685</v>
      </c>
      <c r="E676" s="141">
        <v>26108769</v>
      </c>
      <c r="F676" s="110" t="s">
        <v>2951</v>
      </c>
      <c r="G676" t="s">
        <v>203</v>
      </c>
      <c r="H676" s="13" t="str">
        <f>IFERROR(VLOOKUP(G676, Sheet2!$A:$B, 2, FALSE), A676)</f>
        <v>CHOW TAI FOOK JEWELLERY CO LTD</v>
      </c>
      <c r="I676" s="58" t="s">
        <v>359</v>
      </c>
      <c r="J676" s="52"/>
      <c r="K676" s="77" t="s">
        <v>4376</v>
      </c>
      <c r="L676" s="120"/>
      <c r="M676" s="459" t="s">
        <v>4377</v>
      </c>
      <c r="N676" s="459"/>
      <c r="O676" s="142" t="s">
        <v>3229</v>
      </c>
      <c r="P676" s="459"/>
      <c r="Q676" s="4">
        <v>45581</v>
      </c>
      <c r="R676" s="4">
        <v>45574</v>
      </c>
      <c r="S676" s="4">
        <v>45575</v>
      </c>
      <c r="T676" t="s">
        <v>4378</v>
      </c>
      <c r="U676" s="141" t="s">
        <v>4379</v>
      </c>
      <c r="V676" s="141">
        <v>104020</v>
      </c>
      <c r="W676" s="4" t="s">
        <v>4380</v>
      </c>
      <c r="X676" s="110" t="s">
        <v>4381</v>
      </c>
      <c r="Y676" s="7" t="s">
        <v>4382</v>
      </c>
      <c r="Z676" t="s">
        <v>365</v>
      </c>
      <c r="AA676" s="8" t="s">
        <v>1079</v>
      </c>
      <c r="AB676" s="3" t="s">
        <v>375</v>
      </c>
      <c r="AC676" s="3" t="s">
        <v>945</v>
      </c>
      <c r="AD676" s="76" t="s">
        <v>4383</v>
      </c>
    </row>
    <row r="677" spans="1:30" ht="101.5">
      <c r="A677" s="3" t="s">
        <v>350</v>
      </c>
      <c r="B677" s="46" t="s">
        <v>3118</v>
      </c>
      <c r="C677" s="3"/>
      <c r="D677" s="141" t="s">
        <v>2685</v>
      </c>
      <c r="E677" s="141">
        <v>26108769</v>
      </c>
      <c r="F677" s="110" t="s">
        <v>2951</v>
      </c>
      <c r="G677" t="s">
        <v>203</v>
      </c>
      <c r="H677" s="13" t="str">
        <f>IFERROR(VLOOKUP(G677, Sheet2!$A:$B, 2, FALSE), A677)</f>
        <v>CHOW TAI FOOK JEWELLERY CO LTD</v>
      </c>
      <c r="I677" s="58" t="s">
        <v>359</v>
      </c>
      <c r="J677" s="52"/>
      <c r="K677" s="52" t="s">
        <v>4384</v>
      </c>
      <c r="L677" s="120"/>
      <c r="M677" s="367" t="s">
        <v>4385</v>
      </c>
      <c r="N677" s="120"/>
      <c r="O677" s="142" t="s">
        <v>3229</v>
      </c>
      <c r="P677" s="120"/>
      <c r="Q677" s="4">
        <v>45581</v>
      </c>
      <c r="R677" s="4">
        <v>45574</v>
      </c>
      <c r="S677" s="4">
        <v>45575</v>
      </c>
      <c r="T677" t="s">
        <v>4386</v>
      </c>
      <c r="U677" s="141" t="s">
        <v>4387</v>
      </c>
      <c r="V677" s="141">
        <v>104022</v>
      </c>
      <c r="W677" s="4" t="s">
        <v>4380</v>
      </c>
      <c r="X677" s="110" t="s">
        <v>4388</v>
      </c>
      <c r="Y677" s="7" t="s">
        <v>4389</v>
      </c>
      <c r="Z677" t="s">
        <v>365</v>
      </c>
      <c r="AA677" s="8" t="s">
        <v>1079</v>
      </c>
      <c r="AB677" s="3" t="s">
        <v>375</v>
      </c>
      <c r="AC677" s="3" t="s">
        <v>945</v>
      </c>
      <c r="AD677" s="76" t="s">
        <v>4383</v>
      </c>
    </row>
    <row r="678" spans="1:30" ht="101.5">
      <c r="A678" s="3" t="s">
        <v>350</v>
      </c>
      <c r="B678" s="46" t="s">
        <v>933</v>
      </c>
      <c r="C678" s="3"/>
      <c r="D678" s="178" t="s">
        <v>4390</v>
      </c>
      <c r="E678" s="458">
        <v>61868423</v>
      </c>
      <c r="F678" s="459" t="s">
        <v>4391</v>
      </c>
      <c r="G678" t="s">
        <v>51</v>
      </c>
      <c r="H678" s="13" t="str">
        <f>IFERROR(VLOOKUP(G678, Sheet2!$A:$B, 2, FALSE), A678)</f>
        <v>AIRPORT AUTHORITY</v>
      </c>
      <c r="I678" s="6" t="s">
        <v>393</v>
      </c>
      <c r="J678" s="52"/>
      <c r="K678" s="52"/>
      <c r="L678" s="120" t="s">
        <v>4392</v>
      </c>
      <c r="M678" s="348"/>
      <c r="N678" s="120"/>
      <c r="O678" s="142" t="s">
        <v>3978</v>
      </c>
      <c r="P678" s="120"/>
      <c r="Q678" s="8">
        <v>45572</v>
      </c>
      <c r="R678" s="8">
        <v>45574</v>
      </c>
      <c r="S678" s="8">
        <v>45579</v>
      </c>
      <c r="T678" t="s">
        <v>4393</v>
      </c>
      <c r="U678" s="141" t="s">
        <v>4394</v>
      </c>
      <c r="V678" s="141">
        <v>104023</v>
      </c>
      <c r="W678" s="8" t="s">
        <v>4395</v>
      </c>
      <c r="X678" t="s">
        <v>4396</v>
      </c>
      <c r="Y678" s="7" t="s">
        <v>4397</v>
      </c>
      <c r="Z678" t="s">
        <v>886</v>
      </c>
      <c r="AA678" s="8" t="s">
        <v>1079</v>
      </c>
      <c r="AB678" s="3" t="s">
        <v>944</v>
      </c>
      <c r="AC678" s="3" t="s">
        <v>945</v>
      </c>
      <c r="AD678" s="76" t="s">
        <v>4398</v>
      </c>
    </row>
    <row r="679" spans="1:30" ht="101.5">
      <c r="A679" s="5" t="s">
        <v>350</v>
      </c>
      <c r="B679" s="46" t="s">
        <v>933</v>
      </c>
      <c r="C679" s="3"/>
      <c r="D679" s="178" t="s">
        <v>4390</v>
      </c>
      <c r="E679" s="458">
        <v>61868423</v>
      </c>
      <c r="F679" s="459" t="s">
        <v>4391</v>
      </c>
      <c r="G679" t="s">
        <v>51</v>
      </c>
      <c r="H679" s="13" t="str">
        <f>IFERROR(VLOOKUP(G679, Sheet2!$A:$B, 2, FALSE), A679)</f>
        <v>AIRPORT AUTHORITY</v>
      </c>
      <c r="I679" s="6" t="s">
        <v>393</v>
      </c>
      <c r="J679" s="52"/>
      <c r="K679" s="52"/>
      <c r="L679" s="120" t="s">
        <v>4399</v>
      </c>
      <c r="M679" s="348"/>
      <c r="N679" s="120"/>
      <c r="O679" s="142" t="s">
        <v>3978</v>
      </c>
      <c r="P679" s="120"/>
      <c r="Q679" s="8">
        <v>45586</v>
      </c>
      <c r="R679" s="8">
        <v>45580</v>
      </c>
      <c r="S679" s="8">
        <v>45581</v>
      </c>
      <c r="T679" t="s">
        <v>4393</v>
      </c>
      <c r="U679" s="141" t="s">
        <v>4400</v>
      </c>
      <c r="V679" s="141">
        <v>104023</v>
      </c>
      <c r="W679" s="8" t="s">
        <v>4401</v>
      </c>
      <c r="X679" t="s">
        <v>4402</v>
      </c>
      <c r="Y679" s="9" t="s">
        <v>4403</v>
      </c>
      <c r="Z679" t="s">
        <v>886</v>
      </c>
      <c r="AA679" s="8" t="s">
        <v>1079</v>
      </c>
      <c r="AB679" s="3" t="s">
        <v>944</v>
      </c>
      <c r="AC679" s="3" t="s">
        <v>1249</v>
      </c>
      <c r="AD679" s="76" t="s">
        <v>4404</v>
      </c>
    </row>
    <row r="680" spans="1:30" ht="101.5">
      <c r="A680" s="5" t="s">
        <v>545</v>
      </c>
      <c r="B680" s="46" t="s">
        <v>933</v>
      </c>
      <c r="C680" s="3"/>
      <c r="D680" s="141" t="s">
        <v>4405</v>
      </c>
      <c r="E680" s="141" t="s">
        <v>3919</v>
      </c>
      <c r="F680" s="76" t="s">
        <v>2908</v>
      </c>
      <c r="G680" t="s">
        <v>176</v>
      </c>
      <c r="H680" s="13" t="str">
        <f>IFERROR(VLOOKUP(G680, Sheet2!$A:$B, 2, FALSE), A680)</f>
        <v>HOSPITAL AUTHORITY</v>
      </c>
      <c r="I680" s="58" t="s">
        <v>675</v>
      </c>
      <c r="J680" s="52"/>
      <c r="K680" s="52" t="s">
        <v>4406</v>
      </c>
      <c r="L680" s="476" t="s">
        <v>4407</v>
      </c>
      <c r="M680" s="367" t="s">
        <v>4408</v>
      </c>
      <c r="N680" s="120"/>
      <c r="O680" s="142" t="s">
        <v>4409</v>
      </c>
      <c r="P680" s="120" t="s">
        <v>4410</v>
      </c>
      <c r="Q680" s="4">
        <v>45566</v>
      </c>
      <c r="R680" s="4">
        <v>45583</v>
      </c>
      <c r="S680" s="4">
        <v>45566</v>
      </c>
      <c r="T680" t="s">
        <v>4411</v>
      </c>
      <c r="U680" s="141" t="s">
        <v>4412</v>
      </c>
      <c r="V680" s="141">
        <v>104054</v>
      </c>
      <c r="W680" s="8" t="s">
        <v>4413</v>
      </c>
      <c r="X680" t="s">
        <v>4414</v>
      </c>
      <c r="Y680" s="9" t="s">
        <v>4415</v>
      </c>
      <c r="Z680" t="s">
        <v>365</v>
      </c>
      <c r="AA680" s="8" t="s">
        <v>1072</v>
      </c>
      <c r="AB680" s="3" t="s">
        <v>944</v>
      </c>
      <c r="AC680" s="3" t="s">
        <v>2995</v>
      </c>
      <c r="AD680" s="76" t="s">
        <v>4375</v>
      </c>
    </row>
    <row r="681" spans="1:30" ht="130.5">
      <c r="A681" s="5" t="s">
        <v>545</v>
      </c>
      <c r="B681" s="46" t="s">
        <v>933</v>
      </c>
      <c r="C681" s="3"/>
      <c r="D681" s="141" t="s">
        <v>4416</v>
      </c>
      <c r="E681" s="141" t="s">
        <v>3919</v>
      </c>
      <c r="F681" t="s">
        <v>2908</v>
      </c>
      <c r="G681" t="s">
        <v>176</v>
      </c>
      <c r="H681" s="13" t="str">
        <f>IFERROR(VLOOKUP(G681, Sheet2!$A:$B, 2, FALSE), A681)</f>
        <v>HOSPITAL AUTHORITY</v>
      </c>
      <c r="I681" s="58" t="s">
        <v>675</v>
      </c>
      <c r="J681" s="52"/>
      <c r="K681" s="52" t="s">
        <v>4417</v>
      </c>
      <c r="L681" s="120" t="s">
        <v>4418</v>
      </c>
      <c r="M681" s="367" t="s">
        <v>4419</v>
      </c>
      <c r="N681" s="120"/>
      <c r="O681" s="142" t="s">
        <v>4409</v>
      </c>
      <c r="P681" t="s">
        <v>4420</v>
      </c>
      <c r="Q681" s="4">
        <v>45566</v>
      </c>
      <c r="R681" s="4">
        <v>45583</v>
      </c>
      <c r="S681" s="4">
        <v>45566</v>
      </c>
      <c r="T681" t="s">
        <v>4421</v>
      </c>
      <c r="U681" s="141" t="s">
        <v>4422</v>
      </c>
      <c r="V681" s="141">
        <v>104049</v>
      </c>
      <c r="W681" s="8" t="s">
        <v>4413</v>
      </c>
      <c r="X681" t="s">
        <v>4423</v>
      </c>
      <c r="Y681" s="9" t="s">
        <v>4424</v>
      </c>
      <c r="Z681" t="s">
        <v>365</v>
      </c>
      <c r="AA681" s="8" t="s">
        <v>1072</v>
      </c>
      <c r="AB681" s="3" t="s">
        <v>944</v>
      </c>
      <c r="AC681" s="3" t="s">
        <v>2995</v>
      </c>
      <c r="AD681" s="76" t="s">
        <v>4375</v>
      </c>
    </row>
    <row r="682" spans="1:30" ht="43.5">
      <c r="A682" s="5" t="s">
        <v>350</v>
      </c>
      <c r="B682" s="46" t="s">
        <v>3056</v>
      </c>
      <c r="C682" s="3"/>
      <c r="D682" s="141" t="s">
        <v>4425</v>
      </c>
      <c r="E682" s="141">
        <v>98138034</v>
      </c>
      <c r="F682" s="110" t="s">
        <v>4426</v>
      </c>
      <c r="G682" t="s">
        <v>154</v>
      </c>
      <c r="H682" s="13" t="str">
        <f>IFERROR(VLOOKUP(G682, Sheet2!$A:$B, 2, FALSE), A682)</f>
        <v>FORIS LIMITED</v>
      </c>
      <c r="I682" s="6" t="s">
        <v>359</v>
      </c>
      <c r="J682" s="52"/>
      <c r="K682" s="52"/>
      <c r="L682" s="120" t="s">
        <v>4427</v>
      </c>
      <c r="M682" s="367"/>
      <c r="N682" s="120"/>
      <c r="O682" s="142" t="s">
        <v>4428</v>
      </c>
      <c r="Q682" s="8">
        <v>45597</v>
      </c>
      <c r="R682" s="8">
        <v>45583</v>
      </c>
      <c r="S682" s="8">
        <v>45583</v>
      </c>
      <c r="T682" t="s">
        <v>1361</v>
      </c>
      <c r="U682" s="141" t="s">
        <v>4429</v>
      </c>
      <c r="V682" s="141">
        <v>103016</v>
      </c>
      <c r="W682" s="8" t="s">
        <v>4430</v>
      </c>
      <c r="X682" t="s">
        <v>4431</v>
      </c>
      <c r="Y682" s="9" t="s">
        <v>4432</v>
      </c>
      <c r="Z682" t="s">
        <v>365</v>
      </c>
      <c r="AA682" s="8" t="s">
        <v>1248</v>
      </c>
      <c r="AB682" s="3" t="s">
        <v>944</v>
      </c>
      <c r="AC682" s="3" t="s">
        <v>1249</v>
      </c>
      <c r="AD682" s="76" t="s">
        <v>4433</v>
      </c>
    </row>
    <row r="683" spans="1:30" ht="72.5">
      <c r="A683" s="5" t="s">
        <v>350</v>
      </c>
      <c r="B683" s="46" t="s">
        <v>933</v>
      </c>
      <c r="C683" s="3"/>
      <c r="D683" s="141" t="s">
        <v>2685</v>
      </c>
      <c r="E683" s="141">
        <v>26108769</v>
      </c>
      <c r="F683" s="110" t="s">
        <v>2951</v>
      </c>
      <c r="G683" t="s">
        <v>44</v>
      </c>
      <c r="H683" s="13" t="str">
        <f>IFERROR(VLOOKUP(G683, Sheet2!$A:$B, 2, FALSE), A683)</f>
        <v>CHOW TAI FOOK JEWELLERY CO LTD</v>
      </c>
      <c r="I683" s="58" t="s">
        <v>352</v>
      </c>
      <c r="J683" s="52">
        <v>726125834629</v>
      </c>
      <c r="K683" s="52" t="s">
        <v>4434</v>
      </c>
      <c r="L683" s="120" t="s">
        <v>4435</v>
      </c>
      <c r="M683" s="348"/>
      <c r="N683" s="120"/>
      <c r="O683" s="142" t="s">
        <v>3229</v>
      </c>
      <c r="P683" s="120"/>
      <c r="Q683" s="4" t="s">
        <v>4436</v>
      </c>
      <c r="R683" s="4">
        <v>45614</v>
      </c>
      <c r="S683" s="8">
        <v>45615</v>
      </c>
      <c r="T683" s="8" t="s">
        <v>4437</v>
      </c>
      <c r="U683" s="8" t="s">
        <v>4438</v>
      </c>
      <c r="V683" s="6">
        <v>104051</v>
      </c>
      <c r="W683" s="8" t="s">
        <v>4439</v>
      </c>
      <c r="X683" t="s">
        <v>4440</v>
      </c>
      <c r="Y683" s="7" t="s">
        <v>4441</v>
      </c>
      <c r="Z683" t="s">
        <v>365</v>
      </c>
      <c r="AA683" s="8" t="s">
        <v>1079</v>
      </c>
      <c r="AB683" s="3" t="s">
        <v>944</v>
      </c>
      <c r="AC683" s="3" t="s">
        <v>945</v>
      </c>
      <c r="AD683" s="76" t="s">
        <v>4442</v>
      </c>
    </row>
    <row r="684" spans="1:30" ht="130.5">
      <c r="A684" s="3" t="s">
        <v>350</v>
      </c>
      <c r="B684" s="46" t="s">
        <v>933</v>
      </c>
      <c r="C684" s="3"/>
      <c r="D684" s="141" t="s">
        <v>4443</v>
      </c>
      <c r="E684" s="141" t="s">
        <v>4444</v>
      </c>
      <c r="F684" s="110" t="s">
        <v>4445</v>
      </c>
      <c r="G684" t="s">
        <v>236</v>
      </c>
      <c r="H684" s="13" t="str">
        <f>IFERROR(VLOOKUP(G684, Sheet2!$A:$B, 2, FALSE), A684)</f>
        <v>HYSAN IT SERVICES COMPANY LIMITED</v>
      </c>
      <c r="I684" s="58" t="s">
        <v>352</v>
      </c>
      <c r="J684" s="52"/>
      <c r="K684" s="52" t="s">
        <v>4446</v>
      </c>
      <c r="L684" s="120" t="s">
        <v>4447</v>
      </c>
      <c r="M684" s="358" t="s">
        <v>4445</v>
      </c>
      <c r="N684" s="120"/>
      <c r="O684" s="142" t="s">
        <v>4448</v>
      </c>
      <c r="P684" s="120"/>
      <c r="Q684" s="8">
        <v>45589</v>
      </c>
      <c r="R684" s="8">
        <v>45588</v>
      </c>
      <c r="S684" s="8">
        <v>45590</v>
      </c>
      <c r="T684" s="4" t="s">
        <v>4449</v>
      </c>
      <c r="U684" s="4" t="s">
        <v>4450</v>
      </c>
      <c r="V684" s="141">
        <v>104032</v>
      </c>
      <c r="W684" s="8" t="s">
        <v>4451</v>
      </c>
      <c r="X684" s="10" t="s">
        <v>4452</v>
      </c>
      <c r="Y684" s="9" t="s">
        <v>4453</v>
      </c>
      <c r="Z684" t="s">
        <v>886</v>
      </c>
      <c r="AA684" s="8" t="s">
        <v>1264</v>
      </c>
      <c r="AB684" s="5" t="s">
        <v>4275</v>
      </c>
      <c r="AC684" s="3" t="s">
        <v>1249</v>
      </c>
      <c r="AD684" s="76" t="s">
        <v>4454</v>
      </c>
    </row>
    <row r="685" spans="1:30" ht="43.5">
      <c r="A685" s="3" t="s">
        <v>350</v>
      </c>
      <c r="B685" s="46" t="s">
        <v>4455</v>
      </c>
      <c r="C685" s="3"/>
      <c r="D685" s="141" t="s">
        <v>4443</v>
      </c>
      <c r="E685" s="141" t="s">
        <v>4444</v>
      </c>
      <c r="F685" s="110" t="s">
        <v>4445</v>
      </c>
      <c r="G685" t="s">
        <v>238</v>
      </c>
      <c r="H685" s="13" t="str">
        <f>IFERROR(VLOOKUP(G685, Sheet2!$A:$B, 2, FALSE), A685)</f>
        <v>HYSAN IT SERVICES COMPANY LIMITED</v>
      </c>
      <c r="I685" s="58" t="s">
        <v>352</v>
      </c>
      <c r="J685" s="52"/>
      <c r="K685" s="52" t="s">
        <v>4446</v>
      </c>
      <c r="L685" s="120" t="s">
        <v>4456</v>
      </c>
      <c r="M685" s="358" t="s">
        <v>4445</v>
      </c>
      <c r="N685" s="120"/>
      <c r="O685" s="142" t="s">
        <v>4448</v>
      </c>
      <c r="P685" s="120"/>
      <c r="Q685" s="8">
        <v>45689</v>
      </c>
      <c r="R685" s="8">
        <v>45790</v>
      </c>
      <c r="S685" s="8">
        <v>45689</v>
      </c>
      <c r="T685" s="4" t="s">
        <v>4449</v>
      </c>
      <c r="U685" s="4" t="s">
        <v>4457</v>
      </c>
      <c r="V685" s="141">
        <v>104032</v>
      </c>
      <c r="W685" s="4" t="s">
        <v>4458</v>
      </c>
      <c r="X685" s="10" t="s">
        <v>4459</v>
      </c>
      <c r="Y685" s="9" t="s">
        <v>4460</v>
      </c>
      <c r="Z685" t="s">
        <v>886</v>
      </c>
      <c r="AA685" s="8" t="s">
        <v>1264</v>
      </c>
      <c r="AB685" s="5" t="s">
        <v>4275</v>
      </c>
      <c r="AC685" s="3" t="s">
        <v>1249</v>
      </c>
      <c r="AD685" s="76" t="s">
        <v>4461</v>
      </c>
    </row>
    <row r="686" spans="1:30" ht="29">
      <c r="A686" s="5" t="s">
        <v>350</v>
      </c>
      <c r="B686" s="46" t="s">
        <v>933</v>
      </c>
      <c r="C686" s="3"/>
      <c r="D686" s="141" t="s">
        <v>4443</v>
      </c>
      <c r="E686" s="141"/>
      <c r="F686" s="76" t="s">
        <v>4462</v>
      </c>
      <c r="G686" t="s">
        <v>239</v>
      </c>
      <c r="H686" s="13" t="str">
        <f>IFERROR(VLOOKUP(G686, Sheet2!$A:$B, 2, FALSE), A686)</f>
        <v>CHOW SANG SANG JEWELLERY CO LTD</v>
      </c>
      <c r="I686" s="58" t="s">
        <v>393</v>
      </c>
      <c r="J686" s="52"/>
      <c r="K686" s="52"/>
      <c r="L686" s="120"/>
      <c r="M686" s="477" t="s">
        <v>4463</v>
      </c>
      <c r="N686" s="120"/>
      <c r="O686" s="142" t="s">
        <v>4464</v>
      </c>
      <c r="P686" s="120"/>
      <c r="Q686" s="8">
        <v>45595</v>
      </c>
      <c r="R686" s="8">
        <v>45588</v>
      </c>
      <c r="S686" s="8">
        <v>45589</v>
      </c>
      <c r="T686" s="8" t="s">
        <v>4465</v>
      </c>
      <c r="U686" s="8" t="s">
        <v>4466</v>
      </c>
      <c r="V686" s="141">
        <v>104034</v>
      </c>
      <c r="W686" s="8" t="s">
        <v>4467</v>
      </c>
      <c r="X686" s="10" t="s">
        <v>4468</v>
      </c>
      <c r="Y686" s="9" t="s">
        <v>4469</v>
      </c>
      <c r="Z686" t="s">
        <v>1248</v>
      </c>
      <c r="AA686" s="8" t="s">
        <v>1248</v>
      </c>
      <c r="AB686" s="3" t="s">
        <v>1248</v>
      </c>
      <c r="AC686" s="3" t="s">
        <v>1249</v>
      </c>
      <c r="AD686" s="76" t="s">
        <v>4470</v>
      </c>
    </row>
    <row r="687" spans="1:30" ht="72.5">
      <c r="A687" s="5" t="s">
        <v>350</v>
      </c>
      <c r="B687" s="46" t="s">
        <v>933</v>
      </c>
      <c r="C687" s="3"/>
      <c r="D687" s="141" t="s">
        <v>2685</v>
      </c>
      <c r="E687" s="141">
        <v>26108769</v>
      </c>
      <c r="F687" s="110" t="s">
        <v>2951</v>
      </c>
      <c r="G687" t="s">
        <v>44</v>
      </c>
      <c r="H687" s="13" t="str">
        <f>IFERROR(VLOOKUP(G687, Sheet2!$A:$B, 2, FALSE), A687)</f>
        <v>CHOW TAI FOOK JEWELLERY CO LTD</v>
      </c>
      <c r="I687" s="58" t="s">
        <v>352</v>
      </c>
      <c r="J687" s="52">
        <v>726125834629</v>
      </c>
      <c r="K687" s="52" t="s">
        <v>4471</v>
      </c>
      <c r="L687" s="120" t="s">
        <v>4472</v>
      </c>
      <c r="M687" s="348"/>
      <c r="N687" s="120"/>
      <c r="O687" s="142" t="s">
        <v>3229</v>
      </c>
      <c r="P687" s="120"/>
      <c r="Q687" s="8" t="s">
        <v>4436</v>
      </c>
      <c r="R687" s="8">
        <v>45614</v>
      </c>
      <c r="S687" s="8">
        <v>45615</v>
      </c>
      <c r="T687" t="s">
        <v>4473</v>
      </c>
      <c r="U687" s="4" t="s">
        <v>4474</v>
      </c>
      <c r="V687" s="6">
        <v>104052</v>
      </c>
      <c r="W687" s="8" t="s">
        <v>4439</v>
      </c>
      <c r="X687" s="183" t="s">
        <v>4475</v>
      </c>
      <c r="Y687" s="9" t="s">
        <v>4476</v>
      </c>
      <c r="Z687" t="s">
        <v>365</v>
      </c>
      <c r="AA687" s="8" t="s">
        <v>1079</v>
      </c>
      <c r="AB687" s="3" t="s">
        <v>944</v>
      </c>
      <c r="AC687" s="5" t="s">
        <v>2995</v>
      </c>
      <c r="AD687" s="76" t="s">
        <v>4442</v>
      </c>
    </row>
    <row r="688" spans="1:30" ht="43.5">
      <c r="A688" s="3" t="s">
        <v>350</v>
      </c>
      <c r="B688" s="46" t="s">
        <v>933</v>
      </c>
      <c r="C688" s="3"/>
      <c r="D688" s="178" t="s">
        <v>4390</v>
      </c>
      <c r="E688" s="458">
        <v>61868423</v>
      </c>
      <c r="F688" s="459" t="s">
        <v>4391</v>
      </c>
      <c r="G688" t="s">
        <v>51</v>
      </c>
      <c r="H688" s="13" t="str">
        <f>IFERROR(VLOOKUP(G688, Sheet2!$A:$B, 2, FALSE), A688)</f>
        <v>AIRPORT AUTHORITY</v>
      </c>
      <c r="I688" s="58" t="s">
        <v>393</v>
      </c>
      <c r="J688" s="52"/>
      <c r="K688" s="52"/>
      <c r="L688" s="120" t="s">
        <v>4477</v>
      </c>
      <c r="M688" s="348"/>
      <c r="N688" s="120"/>
      <c r="O688" s="142" t="s">
        <v>3978</v>
      </c>
      <c r="P688" s="120"/>
      <c r="Q688" s="8">
        <v>45600</v>
      </c>
      <c r="R688" s="8">
        <v>45594</v>
      </c>
      <c r="S688" s="8">
        <v>45594</v>
      </c>
      <c r="T688" t="s">
        <v>4478</v>
      </c>
      <c r="U688" s="141" t="s">
        <v>4479</v>
      </c>
      <c r="V688" s="141">
        <v>104036</v>
      </c>
      <c r="W688" s="8" t="s">
        <v>4480</v>
      </c>
      <c r="X688" s="110" t="s">
        <v>4481</v>
      </c>
      <c r="Y688" s="9" t="s">
        <v>4482</v>
      </c>
      <c r="Z688" t="s">
        <v>886</v>
      </c>
      <c r="AA688" s="8" t="s">
        <v>1079</v>
      </c>
      <c r="AB688" s="3" t="s">
        <v>1248</v>
      </c>
      <c r="AC688" s="3" t="s">
        <v>945</v>
      </c>
      <c r="AD688" s="76" t="s">
        <v>4483</v>
      </c>
    </row>
    <row r="689" spans="1:30" ht="101.5">
      <c r="A689" s="3" t="s">
        <v>350</v>
      </c>
      <c r="B689" s="46" t="s">
        <v>2773</v>
      </c>
      <c r="C689" s="3"/>
      <c r="D689" s="178" t="s">
        <v>4390</v>
      </c>
      <c r="E689" s="458">
        <v>61868423</v>
      </c>
      <c r="F689" s="459" t="s">
        <v>4391</v>
      </c>
      <c r="G689" t="s">
        <v>51</v>
      </c>
      <c r="H689" s="13" t="str">
        <f>IFERROR(VLOOKUP(G689, Sheet2!$A:$B, 2, FALSE), A689)</f>
        <v>AIRPORT AUTHORITY</v>
      </c>
      <c r="I689" s="58" t="s">
        <v>393</v>
      </c>
      <c r="J689" s="52"/>
      <c r="K689" s="52"/>
      <c r="L689" s="142" t="s">
        <v>4484</v>
      </c>
      <c r="M689" s="348"/>
      <c r="N689" s="120"/>
      <c r="O689" s="142" t="s">
        <v>3978</v>
      </c>
      <c r="P689" s="120"/>
      <c r="Q689" s="8">
        <v>45615</v>
      </c>
      <c r="R689" s="8">
        <v>45610</v>
      </c>
      <c r="S689" s="8">
        <v>45610</v>
      </c>
      <c r="T689" t="s">
        <v>4478</v>
      </c>
      <c r="U689" s="141" t="s">
        <v>4485</v>
      </c>
      <c r="V689" s="141">
        <v>104036</v>
      </c>
      <c r="W689" s="4" t="s">
        <v>4486</v>
      </c>
      <c r="X689" s="76" t="s">
        <v>4487</v>
      </c>
      <c r="Y689" s="9" t="s">
        <v>4488</v>
      </c>
      <c r="Z689" t="s">
        <v>886</v>
      </c>
      <c r="AA689" s="8" t="s">
        <v>1079</v>
      </c>
      <c r="AB689" s="3" t="s">
        <v>1248</v>
      </c>
      <c r="AC689" s="3" t="s">
        <v>1249</v>
      </c>
      <c r="AD689" s="76" t="s">
        <v>4489</v>
      </c>
    </row>
    <row r="690" spans="1:30" ht="29">
      <c r="A690" s="3" t="s">
        <v>350</v>
      </c>
      <c r="B690" s="46" t="s">
        <v>933</v>
      </c>
      <c r="C690" s="3"/>
      <c r="D690" s="141" t="s">
        <v>2685</v>
      </c>
      <c r="E690" s="141">
        <v>26108769</v>
      </c>
      <c r="F690" s="110" t="s">
        <v>2951</v>
      </c>
      <c r="G690" t="s">
        <v>203</v>
      </c>
      <c r="H690" s="13" t="str">
        <f>IFERROR(VLOOKUP(G690, Sheet2!$A:$B, 2, FALSE), A690)</f>
        <v>CHOW TAI FOOK JEWELLERY CO LTD</v>
      </c>
      <c r="I690" s="58" t="s">
        <v>352</v>
      </c>
      <c r="J690" s="52"/>
      <c r="K690" s="52"/>
      <c r="L690" s="120"/>
      <c r="M690" s="348"/>
      <c r="N690" s="120"/>
      <c r="O690" s="142"/>
      <c r="P690" s="120"/>
      <c r="Q690" s="8">
        <v>45600</v>
      </c>
      <c r="R690" s="8">
        <v>45594</v>
      </c>
      <c r="S690" s="8">
        <v>45595</v>
      </c>
      <c r="T690" t="s">
        <v>4490</v>
      </c>
      <c r="U690" s="141" t="s">
        <v>4491</v>
      </c>
      <c r="V690" s="141">
        <v>104033</v>
      </c>
      <c r="W690" s="4" t="s">
        <v>4492</v>
      </c>
      <c r="X690" t="s">
        <v>4493</v>
      </c>
      <c r="Y690" s="9" t="s">
        <v>4494</v>
      </c>
      <c r="Z690" t="s">
        <v>1248</v>
      </c>
      <c r="AA690" s="8" t="s">
        <v>1248</v>
      </c>
      <c r="AB690" s="3" t="s">
        <v>1248</v>
      </c>
      <c r="AC690" s="3" t="s">
        <v>945</v>
      </c>
      <c r="AD690" s="76" t="s">
        <v>4495</v>
      </c>
    </row>
    <row r="691" spans="1:30" ht="58">
      <c r="A691" s="3" t="s">
        <v>350</v>
      </c>
      <c r="B691" s="46" t="s">
        <v>2773</v>
      </c>
      <c r="C691" s="3"/>
      <c r="D691" s="141" t="s">
        <v>2685</v>
      </c>
      <c r="E691" s="141">
        <v>90323685</v>
      </c>
      <c r="F691" s="76" t="s">
        <v>2951</v>
      </c>
      <c r="G691" t="s">
        <v>203</v>
      </c>
      <c r="H691" s="13" t="str">
        <f>IFERROR(VLOOKUP(G691, Sheet2!$A:$B, 2, FALSE), A691)</f>
        <v>CHOW TAI FOOK JEWELLERY CO LTD</v>
      </c>
      <c r="I691" s="58" t="s">
        <v>352</v>
      </c>
      <c r="J691" s="52"/>
      <c r="K691" s="52"/>
      <c r="L691" s="142" t="s">
        <v>4496</v>
      </c>
      <c r="M691" s="348"/>
      <c r="N691" s="120"/>
      <c r="O691" s="142" t="s">
        <v>4497</v>
      </c>
      <c r="P691" s="120"/>
      <c r="Q691" s="8">
        <v>45565</v>
      </c>
      <c r="R691" s="8">
        <v>45593</v>
      </c>
      <c r="S691" s="8">
        <v>45565</v>
      </c>
      <c r="T691" t="s">
        <v>3027</v>
      </c>
      <c r="U691" s="141" t="s">
        <v>4498</v>
      </c>
      <c r="V691" s="141" t="s">
        <v>1248</v>
      </c>
      <c r="W691" s="8" t="s">
        <v>4499</v>
      </c>
      <c r="X691" t="s">
        <v>4500</v>
      </c>
      <c r="Y691" s="7" t="s">
        <v>4501</v>
      </c>
      <c r="Z691" t="s">
        <v>1248</v>
      </c>
      <c r="AA691" s="8" t="s">
        <v>1248</v>
      </c>
      <c r="AB691" s="3" t="s">
        <v>1248</v>
      </c>
      <c r="AC691" s="3" t="s">
        <v>1249</v>
      </c>
      <c r="AD691" s="76" t="s">
        <v>4502</v>
      </c>
    </row>
    <row r="692" spans="1:30" ht="58">
      <c r="A692" s="3" t="s">
        <v>350</v>
      </c>
      <c r="B692" s="46" t="s">
        <v>2773</v>
      </c>
      <c r="C692" s="3"/>
      <c r="D692" s="141" t="s">
        <v>2685</v>
      </c>
      <c r="E692" s="141">
        <v>90323685</v>
      </c>
      <c r="F692" s="76" t="s">
        <v>2951</v>
      </c>
      <c r="G692" t="s">
        <v>203</v>
      </c>
      <c r="H692" s="13" t="str">
        <f>IFERROR(VLOOKUP(G692, Sheet2!$A:$B, 2, FALSE), A692)</f>
        <v>CHOW TAI FOOK JEWELLERY CO LTD</v>
      </c>
      <c r="I692" s="58" t="s">
        <v>352</v>
      </c>
      <c r="J692" s="52"/>
      <c r="K692" s="52"/>
      <c r="L692" s="142" t="s">
        <v>4503</v>
      </c>
      <c r="M692" s="348"/>
      <c r="N692" s="120"/>
      <c r="O692" s="142" t="s">
        <v>4497</v>
      </c>
      <c r="P692" s="120"/>
      <c r="Q692" s="8">
        <v>45565</v>
      </c>
      <c r="R692" s="8">
        <v>45593</v>
      </c>
      <c r="S692" s="8">
        <v>45565</v>
      </c>
      <c r="T692" t="s">
        <v>4504</v>
      </c>
      <c r="U692" s="141" t="s">
        <v>4505</v>
      </c>
      <c r="V692" s="141" t="s">
        <v>1248</v>
      </c>
      <c r="W692" s="8" t="s">
        <v>4499</v>
      </c>
      <c r="X692" t="s">
        <v>4500</v>
      </c>
      <c r="Y692" s="7" t="s">
        <v>4506</v>
      </c>
      <c r="Z692" t="s">
        <v>1248</v>
      </c>
      <c r="AA692" s="8" t="s">
        <v>1248</v>
      </c>
      <c r="AB692" s="3" t="s">
        <v>1248</v>
      </c>
      <c r="AC692" s="3" t="s">
        <v>1249</v>
      </c>
      <c r="AD692" s="76" t="s">
        <v>4502</v>
      </c>
    </row>
    <row r="693" spans="1:30" ht="58">
      <c r="A693" s="3" t="s">
        <v>350</v>
      </c>
      <c r="B693" s="46" t="s">
        <v>2773</v>
      </c>
      <c r="C693" s="3"/>
      <c r="D693" s="141" t="s">
        <v>2685</v>
      </c>
      <c r="E693" s="141">
        <v>90323685</v>
      </c>
      <c r="F693" s="76" t="s">
        <v>2951</v>
      </c>
      <c r="G693" t="s">
        <v>203</v>
      </c>
      <c r="H693" s="13" t="str">
        <f>IFERROR(VLOOKUP(G693, Sheet2!$A:$B, 2, FALSE), A693)</f>
        <v>CHOW TAI FOOK JEWELLERY CO LTD</v>
      </c>
      <c r="I693" s="58" t="s">
        <v>352</v>
      </c>
      <c r="J693" s="52"/>
      <c r="K693" s="52"/>
      <c r="L693" s="142" t="s">
        <v>4507</v>
      </c>
      <c r="M693" s="348"/>
      <c r="N693" s="120"/>
      <c r="O693" s="142" t="s">
        <v>4497</v>
      </c>
      <c r="P693" s="120"/>
      <c r="Q693" s="8">
        <v>45565</v>
      </c>
      <c r="R693" s="8">
        <v>45593</v>
      </c>
      <c r="S693" s="8">
        <v>45565</v>
      </c>
      <c r="T693" t="s">
        <v>4508</v>
      </c>
      <c r="U693" s="141" t="s">
        <v>4509</v>
      </c>
      <c r="V693" s="141" t="s">
        <v>1248</v>
      </c>
      <c r="W693" s="8" t="s">
        <v>4499</v>
      </c>
      <c r="X693" t="s">
        <v>4500</v>
      </c>
      <c r="Y693" s="7" t="s">
        <v>4510</v>
      </c>
      <c r="Z693" t="s">
        <v>1248</v>
      </c>
      <c r="AA693" s="8" t="s">
        <v>1248</v>
      </c>
      <c r="AB693" s="3" t="s">
        <v>1248</v>
      </c>
      <c r="AC693" s="3" t="s">
        <v>1249</v>
      </c>
      <c r="AD693" s="76" t="s">
        <v>4502</v>
      </c>
    </row>
    <row r="694" spans="1:30" ht="101.5">
      <c r="A694" s="5" t="s">
        <v>545</v>
      </c>
      <c r="B694" s="46" t="s">
        <v>3118</v>
      </c>
      <c r="C694" s="3"/>
      <c r="D694" s="141" t="s">
        <v>4416</v>
      </c>
      <c r="E694" s="141" t="s">
        <v>4364</v>
      </c>
      <c r="F694" s="76" t="s">
        <v>4511</v>
      </c>
      <c r="G694" t="s">
        <v>176</v>
      </c>
      <c r="H694" s="13" t="str">
        <f>IFERROR(VLOOKUP(G694, Sheet2!$A:$B, 2, FALSE), A694)</f>
        <v>HOSPITAL AUTHORITY</v>
      </c>
      <c r="I694" s="58" t="s">
        <v>675</v>
      </c>
      <c r="J694" s="109" t="s">
        <v>1663</v>
      </c>
      <c r="K694" s="52" t="s">
        <v>4512</v>
      </c>
      <c r="L694" s="120" t="s">
        <v>4513</v>
      </c>
      <c r="M694" s="367" t="s">
        <v>4514</v>
      </c>
      <c r="N694" s="120"/>
      <c r="O694" s="142" t="s">
        <v>4515</v>
      </c>
      <c r="P694" s="120" t="s">
        <v>4516</v>
      </c>
      <c r="Q694" s="8">
        <v>45597</v>
      </c>
      <c r="R694" s="8">
        <v>45601</v>
      </c>
      <c r="S694" s="8">
        <v>45597</v>
      </c>
      <c r="T694" t="s">
        <v>4517</v>
      </c>
      <c r="U694" s="141" t="s">
        <v>4518</v>
      </c>
      <c r="V694" s="141">
        <v>104076</v>
      </c>
      <c r="W694" s="4" t="s">
        <v>4519</v>
      </c>
      <c r="X694" t="s">
        <v>4520</v>
      </c>
      <c r="Y694" s="9" t="s">
        <v>4521</v>
      </c>
      <c r="Z694" t="s">
        <v>1248</v>
      </c>
      <c r="AA694" s="4" t="s">
        <v>1072</v>
      </c>
      <c r="AB694" s="3" t="s">
        <v>1248</v>
      </c>
      <c r="AC694" s="3" t="s">
        <v>1249</v>
      </c>
      <c r="AD694" s="76" t="s">
        <v>4522</v>
      </c>
    </row>
    <row r="695" spans="1:30" ht="101.5">
      <c r="A695" s="3" t="s">
        <v>350</v>
      </c>
      <c r="B695" s="46" t="s">
        <v>933</v>
      </c>
      <c r="C695" s="3"/>
      <c r="D695" s="141" t="s">
        <v>4523</v>
      </c>
      <c r="E695" s="141" t="s">
        <v>4524</v>
      </c>
      <c r="F695" s="76" t="s">
        <v>4525</v>
      </c>
      <c r="G695" t="s">
        <v>185</v>
      </c>
      <c r="H695" s="13" t="str">
        <f>IFERROR(VLOOKUP(G695, Sheet2!$A:$B, 2, FALSE), A695)</f>
        <v>LEGISLATIVE COUNCIL SECRETARIAT</v>
      </c>
      <c r="I695" s="58" t="s">
        <v>393</v>
      </c>
      <c r="J695" s="52"/>
      <c r="K695" s="52"/>
      <c r="L695" s="142" t="s">
        <v>4526</v>
      </c>
      <c r="M695" s="367"/>
      <c r="N695" s="120"/>
      <c r="O695" s="142" t="s">
        <v>4527</v>
      </c>
      <c r="P695" s="120"/>
      <c r="Q695" s="8">
        <v>45604</v>
      </c>
      <c r="R695" s="8">
        <v>45601</v>
      </c>
      <c r="S695" s="8">
        <v>45603</v>
      </c>
      <c r="T695" t="s">
        <v>4528</v>
      </c>
      <c r="U695" s="141" t="s">
        <v>4529</v>
      </c>
      <c r="V695" s="141">
        <v>104040</v>
      </c>
      <c r="W695" s="8" t="s">
        <v>4530</v>
      </c>
      <c r="X695" t="s">
        <v>4531</v>
      </c>
      <c r="Y695" s="7" t="s">
        <v>4532</v>
      </c>
      <c r="Z695" t="s">
        <v>1248</v>
      </c>
      <c r="AA695" s="8" t="s">
        <v>1248</v>
      </c>
      <c r="AB695" s="3" t="s">
        <v>375</v>
      </c>
      <c r="AC695" s="3" t="s">
        <v>3016</v>
      </c>
      <c r="AD695" s="76" t="s">
        <v>4533</v>
      </c>
    </row>
    <row r="696" spans="1:30" ht="58">
      <c r="A696" s="3" t="s">
        <v>350</v>
      </c>
      <c r="B696" s="46" t="s">
        <v>3056</v>
      </c>
      <c r="C696" s="3"/>
      <c r="D696" s="141" t="s">
        <v>4534</v>
      </c>
      <c r="E696" s="141">
        <v>60254480</v>
      </c>
      <c r="F696" s="110" t="s">
        <v>4535</v>
      </c>
      <c r="G696" t="s">
        <v>52</v>
      </c>
      <c r="H696" s="13" t="str">
        <f>IFERROR(VLOOKUP(G696, Sheet2!$A:$B, 2, FALSE), A696)</f>
        <v>AASTOCKS.COM LIMITED</v>
      </c>
      <c r="I696" s="58" t="s">
        <v>675</v>
      </c>
      <c r="J696" s="48"/>
      <c r="K696" s="9" t="s">
        <v>4536</v>
      </c>
      <c r="L696" s="120"/>
      <c r="M696" s="348"/>
      <c r="N696" s="120"/>
      <c r="O696" s="142"/>
      <c r="P696" s="120"/>
      <c r="Q696" s="8">
        <v>45536</v>
      </c>
      <c r="R696" s="8">
        <v>45602</v>
      </c>
      <c r="S696" s="8">
        <v>45536</v>
      </c>
      <c r="T696" t="s">
        <v>2577</v>
      </c>
      <c r="U696" s="141" t="s">
        <v>4537</v>
      </c>
      <c r="V696" s="141" t="s">
        <v>1248</v>
      </c>
      <c r="W696" s="8" t="s">
        <v>4538</v>
      </c>
      <c r="X696" t="s">
        <v>4539</v>
      </c>
      <c r="Y696" s="7" t="s">
        <v>4540</v>
      </c>
      <c r="Z696" t="s">
        <v>1248</v>
      </c>
      <c r="AA696" s="8" t="s">
        <v>1264</v>
      </c>
      <c r="AB696" s="3" t="s">
        <v>1248</v>
      </c>
      <c r="AC696" s="3" t="s">
        <v>1249</v>
      </c>
      <c r="AD696" s="76" t="s">
        <v>4541</v>
      </c>
    </row>
    <row r="697" spans="1:30" ht="87">
      <c r="A697" s="5" t="s">
        <v>545</v>
      </c>
      <c r="B697" s="46" t="s">
        <v>933</v>
      </c>
      <c r="C697" s="3"/>
      <c r="D697" s="141" t="s">
        <v>4542</v>
      </c>
      <c r="E697" s="141"/>
      <c r="F697" s="76" t="s">
        <v>4543</v>
      </c>
      <c r="G697" t="s">
        <v>175</v>
      </c>
      <c r="H697" s="13" t="str">
        <f>IFERROR(VLOOKUP(G697, Sheet2!$A:$B, 2, FALSE), A697)</f>
        <v>HOSPITAL AUTHORITY</v>
      </c>
      <c r="I697" s="58" t="s">
        <v>675</v>
      </c>
      <c r="J697" s="52"/>
      <c r="K697" s="52" t="s">
        <v>4544</v>
      </c>
      <c r="L697" s="120" t="s">
        <v>4545</v>
      </c>
      <c r="M697" s="367" t="s">
        <v>4543</v>
      </c>
      <c r="N697" s="120"/>
      <c r="O697" s="142" t="s">
        <v>3804</v>
      </c>
      <c r="P697" s="120" t="s">
        <v>4546</v>
      </c>
      <c r="Q697" s="8">
        <v>45597</v>
      </c>
      <c r="R697" s="8">
        <v>45604</v>
      </c>
      <c r="S697" s="8">
        <v>45597</v>
      </c>
      <c r="T697" t="s">
        <v>4547</v>
      </c>
      <c r="U697" s="141" t="s">
        <v>4548</v>
      </c>
      <c r="V697" s="141">
        <v>104079</v>
      </c>
      <c r="W697" s="4" t="s">
        <v>4519</v>
      </c>
      <c r="X697" t="s">
        <v>4549</v>
      </c>
      <c r="Y697" s="9" t="s">
        <v>4550</v>
      </c>
      <c r="AA697" s="8"/>
      <c r="AB697" s="3"/>
      <c r="AC697" s="5" t="s">
        <v>2995</v>
      </c>
      <c r="AD697" s="76"/>
    </row>
    <row r="698" spans="1:30" ht="101.5">
      <c r="A698" s="5" t="s">
        <v>545</v>
      </c>
      <c r="B698" s="46" t="s">
        <v>933</v>
      </c>
      <c r="C698" s="3"/>
      <c r="D698" s="141" t="s">
        <v>4542</v>
      </c>
      <c r="E698" s="141"/>
      <c r="F698" s="76" t="s">
        <v>4551</v>
      </c>
      <c r="G698" t="s">
        <v>176</v>
      </c>
      <c r="H698" s="13" t="str">
        <f>IFERROR(VLOOKUP(G698, Sheet2!$A:$B, 2, FALSE), A698)</f>
        <v>HOSPITAL AUTHORITY</v>
      </c>
      <c r="I698" s="58" t="s">
        <v>675</v>
      </c>
      <c r="J698" s="52"/>
      <c r="K698" s="52" t="s">
        <v>4552</v>
      </c>
      <c r="L698" s="120" t="s">
        <v>4553</v>
      </c>
      <c r="M698" s="367" t="s">
        <v>4551</v>
      </c>
      <c r="N698" s="120"/>
      <c r="O698" s="142" t="s">
        <v>3804</v>
      </c>
      <c r="P698" s="120" t="s">
        <v>4554</v>
      </c>
      <c r="Q698" s="8">
        <v>45597</v>
      </c>
      <c r="R698" s="8">
        <v>45604</v>
      </c>
      <c r="S698" s="8">
        <v>45597</v>
      </c>
      <c r="T698" t="s">
        <v>4555</v>
      </c>
      <c r="U698" s="141" t="s">
        <v>4556</v>
      </c>
      <c r="V698" s="141">
        <v>104080</v>
      </c>
      <c r="W698" s="4" t="s">
        <v>4519</v>
      </c>
      <c r="X698" t="s">
        <v>4557</v>
      </c>
      <c r="Y698" s="9" t="s">
        <v>4558</v>
      </c>
      <c r="Z698" t="s">
        <v>4275</v>
      </c>
      <c r="AA698" s="4" t="s">
        <v>1072</v>
      </c>
      <c r="AB698" s="5" t="s">
        <v>4275</v>
      </c>
      <c r="AC698" s="5" t="s">
        <v>2995</v>
      </c>
      <c r="AD698" s="76" t="s">
        <v>4522</v>
      </c>
    </row>
    <row r="699" spans="1:30" ht="72.5">
      <c r="A699" s="5" t="s">
        <v>350</v>
      </c>
      <c r="B699" s="46" t="s">
        <v>933</v>
      </c>
      <c r="C699" s="3"/>
      <c r="D699" s="141" t="s">
        <v>4559</v>
      </c>
      <c r="E699" s="141"/>
      <c r="F699" s="76" t="s">
        <v>4560</v>
      </c>
      <c r="G699" t="s">
        <v>240</v>
      </c>
      <c r="H699" s="13" t="str">
        <f>IFERROR(VLOOKUP(G699, Sheet2!$A:$B, 2, FALSE), A699)</f>
        <v>JARDINE MATHESON LIMITED</v>
      </c>
      <c r="I699" s="58" t="s">
        <v>352</v>
      </c>
      <c r="J699" s="52"/>
      <c r="K699" s="52"/>
      <c r="L699" s="120" t="s">
        <v>4561</v>
      </c>
      <c r="M699" s="367"/>
      <c r="N699" s="120"/>
      <c r="O699" s="142" t="s">
        <v>4562</v>
      </c>
      <c r="P699" s="120"/>
      <c r="Q699" s="8">
        <v>45573</v>
      </c>
      <c r="R699" s="8">
        <v>45607</v>
      </c>
      <c r="S699" s="8">
        <v>45573</v>
      </c>
      <c r="T699" t="s">
        <v>4563</v>
      </c>
      <c r="U699" s="141" t="s">
        <v>4564</v>
      </c>
      <c r="V699" s="141">
        <v>104045</v>
      </c>
      <c r="W699" s="8" t="s">
        <v>4565</v>
      </c>
      <c r="X699" t="s">
        <v>4566</v>
      </c>
      <c r="Y699" s="9" t="s">
        <v>4567</v>
      </c>
      <c r="Z699" t="s">
        <v>886</v>
      </c>
      <c r="AA699" s="8" t="s">
        <v>1248</v>
      </c>
      <c r="AB699" s="3" t="s">
        <v>1248</v>
      </c>
      <c r="AC699" s="5" t="s">
        <v>1249</v>
      </c>
      <c r="AD699" s="76" t="s">
        <v>4568</v>
      </c>
    </row>
    <row r="700" spans="1:30" ht="159.5">
      <c r="A700" s="5" t="s">
        <v>545</v>
      </c>
      <c r="B700" s="46" t="s">
        <v>933</v>
      </c>
      <c r="C700" s="3"/>
      <c r="D700" s="141" t="s">
        <v>4416</v>
      </c>
      <c r="E700" s="141" t="s">
        <v>4364</v>
      </c>
      <c r="F700" s="76" t="s">
        <v>4511</v>
      </c>
      <c r="G700" t="s">
        <v>175</v>
      </c>
      <c r="H700" s="13" t="str">
        <f>IFERROR(VLOOKUP(G700, Sheet2!$A:$B, 2, FALSE), A700)</f>
        <v>HOSPITAL AUTHORITY</v>
      </c>
      <c r="I700" s="58" t="s">
        <v>352</v>
      </c>
      <c r="J700" s="52"/>
      <c r="K700" s="52" t="s">
        <v>4569</v>
      </c>
      <c r="L700" s="120" t="s">
        <v>4570</v>
      </c>
      <c r="M700" s="367" t="s">
        <v>4571</v>
      </c>
      <c r="N700" s="120"/>
      <c r="O700" s="142" t="s">
        <v>4572</v>
      </c>
      <c r="P700" s="120" t="s">
        <v>4573</v>
      </c>
      <c r="Q700" s="8">
        <v>45689</v>
      </c>
      <c r="R700" s="8">
        <v>45726</v>
      </c>
      <c r="S700" s="8">
        <v>45727</v>
      </c>
      <c r="T700" t="s">
        <v>4574</v>
      </c>
      <c r="U700" s="141" t="s">
        <v>4575</v>
      </c>
      <c r="V700" s="141">
        <v>104172</v>
      </c>
      <c r="W700" s="4" t="s">
        <v>4576</v>
      </c>
      <c r="X700" t="s">
        <v>4577</v>
      </c>
      <c r="Y700" s="9" t="s">
        <v>4578</v>
      </c>
      <c r="Z700" t="s">
        <v>365</v>
      </c>
      <c r="AA700" s="4" t="s">
        <v>1072</v>
      </c>
      <c r="AB700" s="3" t="s">
        <v>944</v>
      </c>
      <c r="AC700" s="5" t="s">
        <v>1249</v>
      </c>
      <c r="AD700" s="76" t="s">
        <v>4579</v>
      </c>
    </row>
    <row r="701" spans="1:30" ht="159.5">
      <c r="A701" s="5" t="s">
        <v>545</v>
      </c>
      <c r="B701" s="46" t="s">
        <v>933</v>
      </c>
      <c r="C701" s="3"/>
      <c r="D701" s="141" t="s">
        <v>4416</v>
      </c>
      <c r="E701" s="141" t="s">
        <v>4364</v>
      </c>
      <c r="F701" s="76" t="s">
        <v>4511</v>
      </c>
      <c r="G701" t="s">
        <v>176</v>
      </c>
      <c r="H701" s="13" t="str">
        <f>IFERROR(VLOOKUP(G701, Sheet2!$A:$B, 2, FALSE), A701)</f>
        <v>HOSPITAL AUTHORITY</v>
      </c>
      <c r="I701" s="58" t="s">
        <v>352</v>
      </c>
      <c r="J701" s="52"/>
      <c r="K701" s="52" t="s">
        <v>4580</v>
      </c>
      <c r="L701" s="120" t="s">
        <v>4581</v>
      </c>
      <c r="M701" s="367" t="s">
        <v>4582</v>
      </c>
      <c r="N701" s="120"/>
      <c r="O701" s="142" t="s">
        <v>4572</v>
      </c>
      <c r="P701" s="120" t="s">
        <v>4573</v>
      </c>
      <c r="Q701" s="8">
        <v>45689</v>
      </c>
      <c r="R701" s="8">
        <v>45726</v>
      </c>
      <c r="S701" s="8">
        <v>45727</v>
      </c>
      <c r="T701" t="s">
        <v>4583</v>
      </c>
      <c r="U701" s="141" t="s">
        <v>4584</v>
      </c>
      <c r="V701" s="141">
        <v>104171</v>
      </c>
      <c r="W701" s="4" t="s">
        <v>4576</v>
      </c>
      <c r="X701" t="s">
        <v>4585</v>
      </c>
      <c r="Y701" s="9" t="s">
        <v>4586</v>
      </c>
      <c r="Z701" t="s">
        <v>365</v>
      </c>
      <c r="AA701" s="4" t="s">
        <v>1072</v>
      </c>
      <c r="AB701" s="3" t="s">
        <v>944</v>
      </c>
      <c r="AC701" s="5" t="s">
        <v>1249</v>
      </c>
      <c r="AD701" s="76" t="s">
        <v>4579</v>
      </c>
    </row>
    <row r="702" spans="1:30" ht="101.5">
      <c r="A702" s="5" t="s">
        <v>350</v>
      </c>
      <c r="B702" s="478" t="s">
        <v>933</v>
      </c>
      <c r="C702" s="5"/>
      <c r="D702" s="141" t="s">
        <v>4587</v>
      </c>
      <c r="E702" s="141" t="s">
        <v>4588</v>
      </c>
      <c r="F702" s="110" t="s">
        <v>4589</v>
      </c>
      <c r="G702" t="s">
        <v>241</v>
      </c>
      <c r="H702" s="13" t="str">
        <f>IFERROR(VLOOKUP(G702, Sheet2!$A:$B, 2, FALSE), A702)</f>
        <v>Hong Kong Police Force</v>
      </c>
      <c r="I702" s="58" t="s">
        <v>675</v>
      </c>
      <c r="J702" s="52"/>
      <c r="K702" s="52" t="s">
        <v>4590</v>
      </c>
      <c r="L702" s="120"/>
      <c r="M702" s="358" t="s">
        <v>4591</v>
      </c>
      <c r="N702" s="120"/>
      <c r="O702" s="142" t="s">
        <v>4592</v>
      </c>
      <c r="P702" s="120"/>
      <c r="Q702" s="4">
        <v>45610</v>
      </c>
      <c r="R702" s="4">
        <v>45610</v>
      </c>
      <c r="S702" s="4">
        <v>45610</v>
      </c>
      <c r="T702" s="4" t="s">
        <v>4593</v>
      </c>
      <c r="U702" s="4" t="s">
        <v>4594</v>
      </c>
      <c r="V702" s="141">
        <v>104048</v>
      </c>
      <c r="W702" s="4" t="s">
        <v>4595</v>
      </c>
      <c r="X702" t="s">
        <v>4596</v>
      </c>
      <c r="Y702" s="9" t="s">
        <v>4597</v>
      </c>
      <c r="Z702" t="s">
        <v>1248</v>
      </c>
      <c r="AA702" s="4" t="s">
        <v>1264</v>
      </c>
      <c r="AB702" s="5" t="s">
        <v>4275</v>
      </c>
      <c r="AC702" s="5" t="s">
        <v>2995</v>
      </c>
      <c r="AD702" s="76" t="s">
        <v>4598</v>
      </c>
    </row>
    <row r="703" spans="1:30" ht="43.5">
      <c r="A703" s="3" t="s">
        <v>545</v>
      </c>
      <c r="B703" s="46" t="s">
        <v>933</v>
      </c>
      <c r="C703" s="3"/>
      <c r="D703" s="141" t="s">
        <v>4599</v>
      </c>
      <c r="E703" s="141"/>
      <c r="F703" s="346" t="s">
        <v>4600</v>
      </c>
      <c r="G703" t="s">
        <v>175</v>
      </c>
      <c r="H703" s="13" t="str">
        <f>IFERROR(VLOOKUP(G703, Sheet2!$A:$B, 2, FALSE), A703)</f>
        <v>HOSPITAL AUTHORITY</v>
      </c>
      <c r="I703" s="58" t="s">
        <v>393</v>
      </c>
      <c r="J703" s="52"/>
      <c r="K703" s="52"/>
      <c r="L703" s="433" t="s">
        <v>4601</v>
      </c>
      <c r="M703" s="110" t="s">
        <v>4602</v>
      </c>
      <c r="N703" s="120"/>
      <c r="O703" s="479" t="s">
        <v>4603</v>
      </c>
      <c r="P703" s="120"/>
      <c r="Q703" s="8">
        <v>45566</v>
      </c>
      <c r="R703" s="4">
        <v>45583</v>
      </c>
      <c r="S703" s="4">
        <v>45566</v>
      </c>
      <c r="T703" t="s">
        <v>4604</v>
      </c>
      <c r="U703" s="141" t="s">
        <v>4605</v>
      </c>
      <c r="V703" s="141">
        <v>104053</v>
      </c>
      <c r="W703" s="8" t="s">
        <v>4413</v>
      </c>
      <c r="X703" t="s">
        <v>4606</v>
      </c>
      <c r="Y703" s="7" t="s">
        <v>4607</v>
      </c>
      <c r="Z703" t="s">
        <v>365</v>
      </c>
      <c r="AA703" s="4" t="s">
        <v>1072</v>
      </c>
      <c r="AB703" s="5" t="s">
        <v>944</v>
      </c>
      <c r="AC703" s="3" t="s">
        <v>2784</v>
      </c>
      <c r="AD703" s="76" t="s">
        <v>4375</v>
      </c>
    </row>
    <row r="704" spans="1:30" ht="43.5">
      <c r="A704" s="305" t="s">
        <v>545</v>
      </c>
      <c r="B704" s="294" t="s">
        <v>933</v>
      </c>
      <c r="C704" s="3"/>
      <c r="D704" s="352" t="s">
        <v>934</v>
      </c>
      <c r="E704" s="352">
        <v>27860240</v>
      </c>
      <c r="F704" s="480" t="s">
        <v>935</v>
      </c>
      <c r="G704" s="480" t="s">
        <v>89</v>
      </c>
      <c r="H704" s="13" t="str">
        <f>IFERROR(VLOOKUP(G704, Sheet2!$A:$B, 2, FALSE), A704)</f>
        <v>Bowker Asia Ltd (Win-Hanverky)</v>
      </c>
      <c r="I704" s="270" t="s">
        <v>359</v>
      </c>
      <c r="J704" s="295"/>
      <c r="K704" s="351">
        <v>5333230838981770</v>
      </c>
      <c r="L704" s="452"/>
      <c r="M704" s="453"/>
      <c r="N704" s="452"/>
      <c r="O704" s="454" t="s">
        <v>938</v>
      </c>
      <c r="P704" s="452"/>
      <c r="Q704" s="293">
        <v>45614</v>
      </c>
      <c r="R704" s="293">
        <v>45615</v>
      </c>
      <c r="S704" s="293">
        <v>45614</v>
      </c>
      <c r="T704" s="351" t="s">
        <v>4608</v>
      </c>
      <c r="U704" s="352" t="s">
        <v>940</v>
      </c>
      <c r="V704" s="352">
        <v>104056</v>
      </c>
      <c r="W704" s="293" t="s">
        <v>941</v>
      </c>
      <c r="X704" s="351" t="s">
        <v>4609</v>
      </c>
      <c r="Y704" s="301" t="s">
        <v>4610</v>
      </c>
      <c r="Z704" s="351" t="s">
        <v>365</v>
      </c>
      <c r="AA704" s="293" t="s">
        <v>365</v>
      </c>
      <c r="AB704" s="305" t="s">
        <v>944</v>
      </c>
      <c r="AC704" s="305" t="s">
        <v>945</v>
      </c>
      <c r="AD704" s="481" t="s">
        <v>946</v>
      </c>
    </row>
    <row r="705" spans="1:30" ht="116">
      <c r="A705" s="3" t="s">
        <v>545</v>
      </c>
      <c r="B705" s="46" t="s">
        <v>3118</v>
      </c>
      <c r="C705" s="3"/>
      <c r="D705" s="141" t="s">
        <v>4611</v>
      </c>
      <c r="E705" s="141" t="s">
        <v>4612</v>
      </c>
      <c r="F705" s="354" t="s">
        <v>4613</v>
      </c>
      <c r="G705" s="23" t="s">
        <v>242</v>
      </c>
      <c r="H705" s="13" t="str">
        <f>IFERROR(VLOOKUP(G705, Sheet2!$A:$B, 2, FALSE), A705)</f>
        <v>MONMONKEY GROUP SECURITIES LIMITED</v>
      </c>
      <c r="I705" s="58" t="s">
        <v>393</v>
      </c>
      <c r="J705" s="52"/>
      <c r="K705" s="338"/>
      <c r="L705" s="120" t="s">
        <v>4614</v>
      </c>
      <c r="M705" s="348"/>
      <c r="N705" s="120"/>
      <c r="O705" s="142" t="s">
        <v>4615</v>
      </c>
      <c r="P705" s="120"/>
      <c r="Q705" s="8">
        <v>45622</v>
      </c>
      <c r="R705" s="8">
        <v>45616</v>
      </c>
      <c r="S705" s="8">
        <v>45622</v>
      </c>
      <c r="T705" t="s">
        <v>4616</v>
      </c>
      <c r="U705" s="141" t="s">
        <v>4617</v>
      </c>
      <c r="V705" s="141">
        <v>104057</v>
      </c>
      <c r="W705" s="8" t="s">
        <v>4618</v>
      </c>
      <c r="X705" t="s">
        <v>4619</v>
      </c>
      <c r="Y705" s="7" t="s">
        <v>4620</v>
      </c>
      <c r="Z705" t="s">
        <v>489</v>
      </c>
      <c r="AA705" s="8" t="s">
        <v>4275</v>
      </c>
      <c r="AB705" s="3" t="s">
        <v>4276</v>
      </c>
      <c r="AC705" s="3" t="s">
        <v>3161</v>
      </c>
      <c r="AD705" s="354" t="s">
        <v>4621</v>
      </c>
    </row>
    <row r="706" spans="1:30" ht="101.5">
      <c r="A706" s="3" t="s">
        <v>545</v>
      </c>
      <c r="B706" s="46" t="s">
        <v>4622</v>
      </c>
      <c r="C706" s="3"/>
      <c r="D706" s="141" t="s">
        <v>4623</v>
      </c>
      <c r="E706" s="141"/>
      <c r="F706" s="76" t="s">
        <v>4624</v>
      </c>
      <c r="G706" t="s">
        <v>176</v>
      </c>
      <c r="H706" s="13" t="str">
        <f>IFERROR(VLOOKUP(G706, Sheet2!$A:$B, 2, FALSE), A706)</f>
        <v>HOSPITAL AUTHORITY</v>
      </c>
      <c r="I706" s="58" t="s">
        <v>675</v>
      </c>
      <c r="J706" s="52"/>
      <c r="K706" s="338" t="s">
        <v>4625</v>
      </c>
      <c r="L706" s="120" t="s">
        <v>4626</v>
      </c>
      <c r="M706" s="358" t="s">
        <v>4627</v>
      </c>
      <c r="N706" s="120"/>
      <c r="O706" s="142" t="s">
        <v>4628</v>
      </c>
      <c r="P706" s="120" t="s">
        <v>4629</v>
      </c>
      <c r="Q706" s="482">
        <v>45597</v>
      </c>
      <c r="R706" s="8">
        <v>45618</v>
      </c>
      <c r="S706" s="482">
        <v>45597</v>
      </c>
      <c r="T706" t="s">
        <v>4630</v>
      </c>
      <c r="U706" t="s">
        <v>4631</v>
      </c>
      <c r="V706" s="141">
        <v>104078</v>
      </c>
      <c r="W706" t="s">
        <v>4519</v>
      </c>
      <c r="X706" t="s">
        <v>4632</v>
      </c>
      <c r="Y706" s="7" t="s">
        <v>4633</v>
      </c>
      <c r="Z706" t="s">
        <v>425</v>
      </c>
      <c r="AA706" s="8" t="s">
        <v>1072</v>
      </c>
      <c r="AB706" s="3" t="s">
        <v>4276</v>
      </c>
      <c r="AC706" s="3" t="s">
        <v>3161</v>
      </c>
      <c r="AD706" s="76" t="s">
        <v>4522</v>
      </c>
    </row>
    <row r="707" spans="1:30" ht="58">
      <c r="A707" s="3" t="s">
        <v>545</v>
      </c>
      <c r="B707" s="46" t="s">
        <v>933</v>
      </c>
      <c r="C707" s="3"/>
      <c r="D707" s="141" t="s">
        <v>3130</v>
      </c>
      <c r="E707" s="141">
        <v>67594210</v>
      </c>
      <c r="F707" t="s">
        <v>3909</v>
      </c>
      <c r="G707" t="s">
        <v>2888</v>
      </c>
      <c r="H707" s="13" t="str">
        <f>IFERROR(VLOOKUP(G707, Sheet2!$A:$B, 2, FALSE), A707)</f>
        <v>New World Corporate Services Limited</v>
      </c>
      <c r="I707" s="58" t="s">
        <v>352</v>
      </c>
      <c r="J707" s="52" t="s">
        <v>4634</v>
      </c>
      <c r="K707" s="52" t="s">
        <v>4635</v>
      </c>
      <c r="L707" s="120" t="s">
        <v>4636</v>
      </c>
      <c r="M707" s="483" t="s">
        <v>4637</v>
      </c>
      <c r="N707" s="120"/>
      <c r="O707" s="142" t="s">
        <v>4638</v>
      </c>
      <c r="P707" s="120"/>
      <c r="Q707" s="8">
        <v>45630</v>
      </c>
      <c r="R707" s="8">
        <v>45625</v>
      </c>
      <c r="S707" s="8">
        <v>45625</v>
      </c>
      <c r="T707" s="484" t="s">
        <v>4639</v>
      </c>
      <c r="U707" s="484" t="s">
        <v>4640</v>
      </c>
      <c r="V707" s="485">
        <v>104068</v>
      </c>
      <c r="W707" s="8" t="s">
        <v>4641</v>
      </c>
      <c r="X707" s="486" t="s">
        <v>4642</v>
      </c>
      <c r="Y707" s="7" t="s">
        <v>4643</v>
      </c>
      <c r="Z707" t="s">
        <v>365</v>
      </c>
      <c r="AA707" t="s">
        <v>4275</v>
      </c>
      <c r="AB707" t="s">
        <v>4276</v>
      </c>
      <c r="AC707" t="s">
        <v>945</v>
      </c>
      <c r="AD707" s="110" t="s">
        <v>4644</v>
      </c>
    </row>
    <row r="708" spans="1:30" ht="58.5">
      <c r="A708" s="3" t="s">
        <v>545</v>
      </c>
      <c r="B708" s="46" t="s">
        <v>933</v>
      </c>
      <c r="C708" s="3"/>
      <c r="D708" s="141" t="s">
        <v>3130</v>
      </c>
      <c r="E708" s="141">
        <v>67594210</v>
      </c>
      <c r="F708" t="s">
        <v>3909</v>
      </c>
      <c r="G708" t="s">
        <v>2888</v>
      </c>
      <c r="H708" s="13" t="str">
        <f>IFERROR(VLOOKUP(G708, Sheet2!$A:$B, 2, FALSE), A708)</f>
        <v>New World Corporate Services Limited</v>
      </c>
      <c r="I708" s="58" t="s">
        <v>352</v>
      </c>
      <c r="J708" s="52" t="s">
        <v>4634</v>
      </c>
      <c r="K708" s="52" t="s">
        <v>4645</v>
      </c>
      <c r="L708" s="120" t="s">
        <v>4646</v>
      </c>
      <c r="M708" s="483" t="s">
        <v>4647</v>
      </c>
      <c r="N708" s="120"/>
      <c r="O708" s="142" t="s">
        <v>4638</v>
      </c>
      <c r="P708" s="120"/>
      <c r="Q708" s="8">
        <v>45630</v>
      </c>
      <c r="R708" s="8">
        <v>45625</v>
      </c>
      <c r="S708" s="8">
        <v>45625</v>
      </c>
      <c r="T708" s="484" t="s">
        <v>4648</v>
      </c>
      <c r="U708" s="484" t="s">
        <v>4649</v>
      </c>
      <c r="V708" s="485">
        <v>104067</v>
      </c>
      <c r="W708" s="8" t="s">
        <v>4641</v>
      </c>
      <c r="X708" s="486" t="s">
        <v>4642</v>
      </c>
      <c r="Y708" s="487" t="s">
        <v>4650</v>
      </c>
      <c r="Z708" t="s">
        <v>365</v>
      </c>
      <c r="AA708" t="s">
        <v>4275</v>
      </c>
      <c r="AB708" t="s">
        <v>4276</v>
      </c>
      <c r="AC708" t="s">
        <v>945</v>
      </c>
      <c r="AD708" s="110" t="s">
        <v>4651</v>
      </c>
    </row>
    <row r="709" spans="1:30" ht="58.5">
      <c r="A709" s="3" t="s">
        <v>545</v>
      </c>
      <c r="B709" s="46" t="s">
        <v>933</v>
      </c>
      <c r="C709" s="3"/>
      <c r="D709" s="141" t="s">
        <v>3130</v>
      </c>
      <c r="E709" s="141">
        <v>67594210</v>
      </c>
      <c r="F709" t="s">
        <v>3909</v>
      </c>
      <c r="G709" t="s">
        <v>199</v>
      </c>
      <c r="H709" s="13" t="str">
        <f>IFERROR(VLOOKUP(G709, Sheet2!$A:$B, 2, FALSE), A709)</f>
        <v>New World Corporate Services Limited</v>
      </c>
      <c r="I709" s="58" t="s">
        <v>352</v>
      </c>
      <c r="J709" s="52" t="s">
        <v>4634</v>
      </c>
      <c r="K709" s="52" t="s">
        <v>4652</v>
      </c>
      <c r="L709" s="120" t="s">
        <v>4653</v>
      </c>
      <c r="M709" s="483" t="s">
        <v>4654</v>
      </c>
      <c r="N709" s="120"/>
      <c r="O709" s="142" t="s">
        <v>4638</v>
      </c>
      <c r="P709" s="120"/>
      <c r="Q709" s="8">
        <v>45630</v>
      </c>
      <c r="R709" s="8">
        <v>45625</v>
      </c>
      <c r="S709" s="8">
        <v>45625</v>
      </c>
      <c r="T709" s="484" t="s">
        <v>4655</v>
      </c>
      <c r="U709" s="484" t="s">
        <v>4656</v>
      </c>
      <c r="V709" s="485">
        <v>104066</v>
      </c>
      <c r="W709" s="8" t="s">
        <v>4641</v>
      </c>
      <c r="X709" s="486" t="s">
        <v>4642</v>
      </c>
      <c r="Y709" s="487" t="s">
        <v>4650</v>
      </c>
      <c r="Z709" t="s">
        <v>365</v>
      </c>
      <c r="AA709" t="s">
        <v>4275</v>
      </c>
      <c r="AB709" t="s">
        <v>4276</v>
      </c>
      <c r="AC709" t="s">
        <v>2784</v>
      </c>
      <c r="AD709" s="110" t="s">
        <v>4651</v>
      </c>
    </row>
    <row r="710" spans="1:30" ht="102">
      <c r="A710" s="3" t="s">
        <v>545</v>
      </c>
      <c r="B710" s="46" t="s">
        <v>4622</v>
      </c>
      <c r="C710" s="3"/>
      <c r="D710" s="141" t="s">
        <v>4183</v>
      </c>
      <c r="E710" s="141"/>
      <c r="F710" s="110" t="s">
        <v>4184</v>
      </c>
      <c r="G710" t="s">
        <v>175</v>
      </c>
      <c r="H710" s="13" t="str">
        <f>IFERROR(VLOOKUP(G710, Sheet2!$A:$B, 2, FALSE), A710)</f>
        <v>HOSPITAL AUTHORITY</v>
      </c>
      <c r="I710" s="58" t="s">
        <v>675</v>
      </c>
      <c r="J710" s="52"/>
      <c r="K710" s="52" t="s">
        <v>4657</v>
      </c>
      <c r="L710" s="120" t="s">
        <v>4658</v>
      </c>
      <c r="M710" s="110" t="s">
        <v>4659</v>
      </c>
      <c r="N710" s="120"/>
      <c r="O710" s="142" t="s">
        <v>4660</v>
      </c>
      <c r="P710" s="120" t="s">
        <v>4661</v>
      </c>
      <c r="Q710" s="8">
        <v>45597</v>
      </c>
      <c r="R710" s="8">
        <v>45622</v>
      </c>
      <c r="S710" s="8">
        <v>45597</v>
      </c>
      <c r="T710" t="s">
        <v>4662</v>
      </c>
      <c r="U710" s="141" t="s">
        <v>4663</v>
      </c>
      <c r="V710" s="485">
        <v>104077</v>
      </c>
      <c r="W710" s="8" t="s">
        <v>4519</v>
      </c>
      <c r="X710" s="403" t="s">
        <v>4664</v>
      </c>
      <c r="Y710" s="487" t="s">
        <v>4665</v>
      </c>
      <c r="Z710" t="s">
        <v>425</v>
      </c>
      <c r="AA710" t="s">
        <v>1072</v>
      </c>
      <c r="AB710" t="s">
        <v>4276</v>
      </c>
      <c r="AC710" t="s">
        <v>3161</v>
      </c>
      <c r="AD710" s="110" t="s">
        <v>4522</v>
      </c>
    </row>
    <row r="711" spans="1:30" ht="29.5">
      <c r="A711" s="3" t="s">
        <v>545</v>
      </c>
      <c r="B711" s="46" t="s">
        <v>933</v>
      </c>
      <c r="C711" s="3"/>
      <c r="D711" s="141" t="s">
        <v>3130</v>
      </c>
      <c r="E711" s="141">
        <v>67594210</v>
      </c>
      <c r="F711" s="110" t="s">
        <v>3330</v>
      </c>
      <c r="G711" t="s">
        <v>2888</v>
      </c>
      <c r="H711" s="13" t="str">
        <f>IFERROR(VLOOKUP(G711, Sheet2!$A:$B, 2, FALSE), A711)</f>
        <v>New World Corporate Services Limited</v>
      </c>
      <c r="I711" s="58" t="s">
        <v>352</v>
      </c>
      <c r="J711" s="52" t="s">
        <v>4634</v>
      </c>
      <c r="K711" s="448">
        <v>863518456282</v>
      </c>
      <c r="L711" s="120" t="s">
        <v>4666</v>
      </c>
      <c r="M711" s="483" t="s">
        <v>4667</v>
      </c>
      <c r="N711" s="120"/>
      <c r="O711" s="142" t="s">
        <v>4638</v>
      </c>
      <c r="P711" s="120"/>
      <c r="Q711" s="8">
        <v>45630</v>
      </c>
      <c r="R711" s="8">
        <v>45625</v>
      </c>
      <c r="S711" s="8">
        <v>45625</v>
      </c>
      <c r="T711" s="484" t="s">
        <v>4668</v>
      </c>
      <c r="U711" s="484" t="s">
        <v>4669</v>
      </c>
      <c r="V711" s="6">
        <v>104065</v>
      </c>
      <c r="W711" s="8" t="s">
        <v>4641</v>
      </c>
      <c r="X711" s="486" t="s">
        <v>4642</v>
      </c>
      <c r="Y711" s="9" t="s">
        <v>4670</v>
      </c>
      <c r="Z711" t="s">
        <v>365</v>
      </c>
      <c r="AA711" t="s">
        <v>4275</v>
      </c>
      <c r="AB711" t="s">
        <v>4276</v>
      </c>
      <c r="AC711" t="s">
        <v>2784</v>
      </c>
      <c r="AD711" s="110" t="s">
        <v>4651</v>
      </c>
    </row>
    <row r="712" spans="1:30" ht="29.5">
      <c r="A712" s="3" t="s">
        <v>545</v>
      </c>
      <c r="B712" s="46" t="s">
        <v>933</v>
      </c>
      <c r="C712" s="3"/>
      <c r="D712" s="141" t="s">
        <v>3130</v>
      </c>
      <c r="E712" s="141">
        <v>67594210</v>
      </c>
      <c r="F712" t="s">
        <v>3909</v>
      </c>
      <c r="G712" t="s">
        <v>199</v>
      </c>
      <c r="H712" s="13" t="str">
        <f>IFERROR(VLOOKUP(G712, Sheet2!$A:$B, 2, FALSE), A712)</f>
        <v>New World Corporate Services Limited</v>
      </c>
      <c r="I712" s="58" t="s">
        <v>352</v>
      </c>
      <c r="J712" s="52" t="s">
        <v>4634</v>
      </c>
      <c r="K712" s="448">
        <v>940482425572</v>
      </c>
      <c r="L712" s="120" t="s">
        <v>4671</v>
      </c>
      <c r="M712" s="483" t="s">
        <v>4672</v>
      </c>
      <c r="N712" s="120"/>
      <c r="O712" s="142" t="s">
        <v>4638</v>
      </c>
      <c r="P712" s="120"/>
      <c r="Q712" s="8">
        <v>45630</v>
      </c>
      <c r="R712" s="8">
        <v>45625</v>
      </c>
      <c r="S712" s="8">
        <v>45625</v>
      </c>
      <c r="T712" s="8" t="s">
        <v>4673</v>
      </c>
      <c r="U712" s="8" t="s">
        <v>4674</v>
      </c>
      <c r="V712" s="6">
        <v>104064</v>
      </c>
      <c r="W712" s="8" t="s">
        <v>4641</v>
      </c>
      <c r="X712" s="486" t="s">
        <v>4642</v>
      </c>
      <c r="Y712" s="9" t="s">
        <v>4670</v>
      </c>
      <c r="Z712" t="s">
        <v>365</v>
      </c>
      <c r="AA712" t="s">
        <v>4275</v>
      </c>
      <c r="AB712" t="s">
        <v>4276</v>
      </c>
      <c r="AC712" t="s">
        <v>2784</v>
      </c>
      <c r="AD712" s="110" t="s">
        <v>4651</v>
      </c>
    </row>
    <row r="713" spans="1:30" ht="29.5">
      <c r="A713" s="3" t="s">
        <v>545</v>
      </c>
      <c r="B713" s="46" t="s">
        <v>933</v>
      </c>
      <c r="C713" s="3"/>
      <c r="D713" s="141" t="s">
        <v>3130</v>
      </c>
      <c r="E713" s="141">
        <v>67594210</v>
      </c>
      <c r="F713" t="s">
        <v>3909</v>
      </c>
      <c r="G713" t="s">
        <v>199</v>
      </c>
      <c r="H713" s="13" t="str">
        <f>IFERROR(VLOOKUP(G713, Sheet2!$A:$B, 2, FALSE), A713)</f>
        <v>New World Corporate Services Limited</v>
      </c>
      <c r="I713" s="58" t="s">
        <v>352</v>
      </c>
      <c r="J713" s="52" t="s">
        <v>4634</v>
      </c>
      <c r="K713" s="448">
        <v>682033508608</v>
      </c>
      <c r="L713" s="120" t="s">
        <v>4675</v>
      </c>
      <c r="M713" s="483" t="s">
        <v>4676</v>
      </c>
      <c r="N713" s="120"/>
      <c r="O713" s="142" t="s">
        <v>4638</v>
      </c>
      <c r="P713" s="120"/>
      <c r="Q713" s="8">
        <v>45630</v>
      </c>
      <c r="R713" s="8">
        <v>45625</v>
      </c>
      <c r="S713" s="8">
        <v>45625</v>
      </c>
      <c r="T713" s="8" t="s">
        <v>4677</v>
      </c>
      <c r="U713" s="8" t="s">
        <v>4678</v>
      </c>
      <c r="V713" s="6">
        <v>104063</v>
      </c>
      <c r="W713" s="8" t="s">
        <v>4641</v>
      </c>
      <c r="X713" s="486" t="s">
        <v>4642</v>
      </c>
      <c r="Y713" s="9" t="s">
        <v>4670</v>
      </c>
      <c r="Z713" t="s">
        <v>365</v>
      </c>
      <c r="AA713" t="s">
        <v>4275</v>
      </c>
      <c r="AB713" t="s">
        <v>4276</v>
      </c>
      <c r="AC713" t="s">
        <v>2784</v>
      </c>
      <c r="AD713" s="110" t="s">
        <v>4651</v>
      </c>
    </row>
    <row r="714" spans="1:30" ht="87">
      <c r="A714" s="3" t="s">
        <v>4131</v>
      </c>
      <c r="B714" s="46" t="s">
        <v>4622</v>
      </c>
      <c r="C714" s="3"/>
      <c r="D714" s="141" t="s">
        <v>4183</v>
      </c>
      <c r="E714" s="141"/>
      <c r="F714" s="110" t="s">
        <v>4184</v>
      </c>
      <c r="G714" t="s">
        <v>175</v>
      </c>
      <c r="H714" s="13" t="str">
        <f>IFERROR(VLOOKUP(G714, Sheet2!$A:$B, 2, FALSE), A714)</f>
        <v>HOSPITAL AUTHORITY</v>
      </c>
      <c r="I714" s="58" t="s">
        <v>675</v>
      </c>
      <c r="J714" s="109" t="s">
        <v>1663</v>
      </c>
      <c r="K714" s="448"/>
      <c r="L714" s="120" t="s">
        <v>4679</v>
      </c>
      <c r="M714" s="483" t="s">
        <v>4680</v>
      </c>
      <c r="N714" s="120"/>
      <c r="O714" s="142" t="s">
        <v>4681</v>
      </c>
      <c r="P714" s="120" t="s">
        <v>4682</v>
      </c>
      <c r="Q714" t="s">
        <v>997</v>
      </c>
      <c r="R714" s="8">
        <v>45625</v>
      </c>
      <c r="S714" t="s">
        <v>997</v>
      </c>
      <c r="T714" t="s">
        <v>4683</v>
      </c>
      <c r="U714" t="s">
        <v>997</v>
      </c>
      <c r="V714" t="s">
        <v>997</v>
      </c>
      <c r="W714" t="s">
        <v>997</v>
      </c>
      <c r="X714" s="486" t="s">
        <v>4684</v>
      </c>
      <c r="Y714" s="9" t="s">
        <v>4685</v>
      </c>
      <c r="Z714" t="s">
        <v>365</v>
      </c>
      <c r="AA714" t="s">
        <v>4275</v>
      </c>
      <c r="AB714" t="s">
        <v>4276</v>
      </c>
      <c r="AC714" s="3" t="s">
        <v>3161</v>
      </c>
      <c r="AD714" s="110"/>
    </row>
    <row r="715" spans="1:30" ht="72.5">
      <c r="A715" s="3" t="s">
        <v>545</v>
      </c>
      <c r="B715" s="46" t="s">
        <v>933</v>
      </c>
      <c r="C715" s="3"/>
      <c r="D715" s="141" t="s">
        <v>4416</v>
      </c>
      <c r="E715" s="141" t="s">
        <v>4364</v>
      </c>
      <c r="F715" s="110" t="s">
        <v>4511</v>
      </c>
      <c r="G715" t="s">
        <v>175</v>
      </c>
      <c r="H715" s="13" t="str">
        <f>IFERROR(VLOOKUP(G715, Sheet2!$A:$B, 2, FALSE), A715)</f>
        <v>HOSPITAL AUTHORITY</v>
      </c>
      <c r="I715" s="58" t="s">
        <v>352</v>
      </c>
      <c r="J715" s="109" t="s">
        <v>1663</v>
      </c>
      <c r="K715" s="448">
        <v>180294201868</v>
      </c>
      <c r="L715" s="120" t="s">
        <v>4686</v>
      </c>
      <c r="M715" s="483" t="s">
        <v>4687</v>
      </c>
      <c r="N715" s="120"/>
      <c r="O715" s="142" t="s">
        <v>4688</v>
      </c>
      <c r="P715" s="120"/>
      <c r="Q715" s="482">
        <v>45597</v>
      </c>
      <c r="R715" s="8">
        <v>45632</v>
      </c>
      <c r="S715" s="482">
        <v>45597</v>
      </c>
      <c r="T715" t="s">
        <v>4689</v>
      </c>
      <c r="U715" t="s">
        <v>4690</v>
      </c>
      <c r="V715" s="141">
        <v>104081</v>
      </c>
      <c r="W715" t="s">
        <v>4691</v>
      </c>
      <c r="X715" s="486" t="s">
        <v>4692</v>
      </c>
      <c r="Y715" s="9" t="s">
        <v>4693</v>
      </c>
      <c r="Z715" t="s">
        <v>365</v>
      </c>
      <c r="AA715" t="s">
        <v>1072</v>
      </c>
      <c r="AB715" t="s">
        <v>4276</v>
      </c>
      <c r="AC715" s="3" t="s">
        <v>3161</v>
      </c>
      <c r="AD715" s="110" t="s">
        <v>4522</v>
      </c>
    </row>
    <row r="716" spans="1:30" ht="58">
      <c r="A716" s="3" t="s">
        <v>545</v>
      </c>
      <c r="B716" s="46" t="s">
        <v>933</v>
      </c>
      <c r="C716" s="3"/>
      <c r="D716" s="141" t="s">
        <v>3297</v>
      </c>
      <c r="E716" s="141">
        <v>67594210</v>
      </c>
      <c r="F716" s="110" t="s">
        <v>3330</v>
      </c>
      <c r="G716" t="s">
        <v>2888</v>
      </c>
      <c r="H716" s="13" t="str">
        <f>IFERROR(VLOOKUP(G716, Sheet2!$A:$B, 2, FALSE), A716)</f>
        <v>New World Corporate Services Limited</v>
      </c>
      <c r="I716" s="58" t="s">
        <v>352</v>
      </c>
      <c r="J716" s="52" t="s">
        <v>4634</v>
      </c>
      <c r="K716" s="448">
        <v>418272762918</v>
      </c>
      <c r="L716" s="120" t="s">
        <v>4694</v>
      </c>
      <c r="M716" s="483" t="s">
        <v>4695</v>
      </c>
      <c r="N716" s="120"/>
      <c r="O716" s="142" t="s">
        <v>4696</v>
      </c>
      <c r="P716" s="120" t="s">
        <v>4697</v>
      </c>
      <c r="Q716" s="482">
        <v>45646</v>
      </c>
      <c r="R716" s="482">
        <v>45639</v>
      </c>
      <c r="S716" s="482">
        <v>45642</v>
      </c>
      <c r="T716" t="s">
        <v>4698</v>
      </c>
      <c r="U716" t="s">
        <v>4699</v>
      </c>
      <c r="V716" s="141">
        <v>104092</v>
      </c>
      <c r="W716" t="s">
        <v>4700</v>
      </c>
      <c r="X716" s="486" t="s">
        <v>4701</v>
      </c>
      <c r="Y716" s="9" t="s">
        <v>4702</v>
      </c>
      <c r="Z716" t="s">
        <v>365</v>
      </c>
      <c r="AA716" t="s">
        <v>4275</v>
      </c>
      <c r="AB716" t="s">
        <v>4276</v>
      </c>
      <c r="AC716" s="3" t="s">
        <v>3161</v>
      </c>
      <c r="AD716" s="110" t="s">
        <v>4703</v>
      </c>
    </row>
    <row r="717" spans="1:30" ht="72.5">
      <c r="A717" s="5" t="s">
        <v>4704</v>
      </c>
      <c r="B717" s="46" t="s">
        <v>933</v>
      </c>
      <c r="C717" s="3"/>
      <c r="D717" s="141" t="s">
        <v>4705</v>
      </c>
      <c r="E717" s="141" t="s">
        <v>4706</v>
      </c>
      <c r="F717" s="76" t="s">
        <v>4707</v>
      </c>
      <c r="G717" t="s">
        <v>244</v>
      </c>
      <c r="H717" s="13" t="str">
        <f>IFERROR(VLOOKUP(G717, Sheet2!$A:$B, 2, FALSE), A717)</f>
        <v xml:space="preserve"> Huawei cloud POC</v>
      </c>
      <c r="I717" s="58" t="s">
        <v>675</v>
      </c>
      <c r="J717" s="52"/>
      <c r="K717" s="52"/>
      <c r="L717" s="120" t="s">
        <v>4708</v>
      </c>
      <c r="M717" s="367" t="s">
        <v>4709</v>
      </c>
      <c r="N717" s="120"/>
      <c r="O717" s="142" t="s">
        <v>4710</v>
      </c>
      <c r="P717" s="120"/>
      <c r="Q717" s="4" t="s">
        <v>2379</v>
      </c>
      <c r="R717" s="482">
        <v>45638</v>
      </c>
      <c r="S717" t="s">
        <v>997</v>
      </c>
      <c r="T717" t="s">
        <v>997</v>
      </c>
      <c r="U717" t="s">
        <v>997</v>
      </c>
      <c r="V717" t="s">
        <v>997</v>
      </c>
      <c r="W717" t="s">
        <v>997</v>
      </c>
      <c r="Y717" s="9" t="s">
        <v>4711</v>
      </c>
      <c r="AC717" t="s">
        <v>2995</v>
      </c>
    </row>
    <row r="718" spans="1:30" ht="101.5">
      <c r="A718" s="3" t="s">
        <v>350</v>
      </c>
      <c r="B718" s="46" t="s">
        <v>933</v>
      </c>
      <c r="C718" s="3"/>
      <c r="D718" s="141" t="s">
        <v>4712</v>
      </c>
      <c r="E718" s="141" t="s">
        <v>4364</v>
      </c>
      <c r="F718" s="465" t="s">
        <v>4511</v>
      </c>
      <c r="G718" t="s">
        <v>175</v>
      </c>
      <c r="H718" s="13" t="str">
        <f>IFERROR(VLOOKUP(G718, Sheet2!$A:$B, 2, FALSE), A718)</f>
        <v>HOSPITAL AUTHORITY</v>
      </c>
      <c r="I718" t="s">
        <v>3365</v>
      </c>
      <c r="J718" s="109" t="s">
        <v>1663</v>
      </c>
      <c r="K718" s="52" t="s">
        <v>4713</v>
      </c>
      <c r="L718" s="120" t="s">
        <v>4714</v>
      </c>
      <c r="M718" s="488" t="s">
        <v>4715</v>
      </c>
      <c r="N718" s="120"/>
      <c r="O718" s="142" t="s">
        <v>4716</v>
      </c>
      <c r="P718" s="120"/>
      <c r="Q718" s="4">
        <v>45658</v>
      </c>
      <c r="R718" s="482">
        <v>45712</v>
      </c>
      <c r="S718" s="482">
        <v>45658</v>
      </c>
      <c r="T718" t="s">
        <v>4717</v>
      </c>
      <c r="U718" t="s">
        <v>4718</v>
      </c>
      <c r="V718" t="s">
        <v>997</v>
      </c>
      <c r="W718" t="s">
        <v>4719</v>
      </c>
      <c r="X718" t="s">
        <v>4720</v>
      </c>
      <c r="Y718" s="9" t="s">
        <v>4721</v>
      </c>
      <c r="Z718" t="s">
        <v>425</v>
      </c>
      <c r="AA718" t="s">
        <v>1072</v>
      </c>
      <c r="AB718" t="s">
        <v>4276</v>
      </c>
      <c r="AC718" t="s">
        <v>3161</v>
      </c>
      <c r="AD718" s="465" t="s">
        <v>4722</v>
      </c>
    </row>
    <row r="719" spans="1:30" ht="101.5">
      <c r="A719" s="3" t="s">
        <v>350</v>
      </c>
      <c r="B719" s="46" t="s">
        <v>4455</v>
      </c>
      <c r="C719" s="3"/>
      <c r="D719" s="141" t="s">
        <v>4723</v>
      </c>
      <c r="E719" s="141" t="s">
        <v>4724</v>
      </c>
      <c r="F719" s="110" t="s">
        <v>4725</v>
      </c>
      <c r="G719" t="s">
        <v>1365</v>
      </c>
      <c r="H719" s="13" t="str">
        <f>IFERROR(VLOOKUP(G719, Sheet2!$A:$B, 2, FALSE), A719)</f>
        <v>AIRPORT AUTHORITY</v>
      </c>
      <c r="I719" t="s">
        <v>4205</v>
      </c>
      <c r="J719" s="109"/>
      <c r="K719" s="52"/>
      <c r="L719" s="142" t="s">
        <v>4726</v>
      </c>
      <c r="M719" s="348"/>
      <c r="N719" s="120"/>
      <c r="O719" s="142" t="s">
        <v>4727</v>
      </c>
      <c r="P719" s="120"/>
      <c r="Q719" s="4">
        <v>45646</v>
      </c>
      <c r="R719" s="482">
        <v>45643</v>
      </c>
      <c r="S719" s="482">
        <v>45644</v>
      </c>
      <c r="T719" t="s">
        <v>4728</v>
      </c>
      <c r="U719" t="s">
        <v>4729</v>
      </c>
      <c r="V719" s="141">
        <v>104007</v>
      </c>
      <c r="W719" t="s">
        <v>4730</v>
      </c>
      <c r="X719" t="s">
        <v>4731</v>
      </c>
      <c r="Y719" s="9" t="s">
        <v>4732</v>
      </c>
      <c r="Z719" t="s">
        <v>489</v>
      </c>
      <c r="AA719" t="s">
        <v>781</v>
      </c>
      <c r="AB719" t="s">
        <v>4276</v>
      </c>
      <c r="AC719" t="s">
        <v>3161</v>
      </c>
      <c r="AD719" s="110" t="s">
        <v>4733</v>
      </c>
    </row>
    <row r="720" spans="1:30" ht="87">
      <c r="A720" s="5" t="s">
        <v>545</v>
      </c>
      <c r="B720" s="46" t="s">
        <v>933</v>
      </c>
      <c r="C720" s="3"/>
      <c r="D720" s="141" t="s">
        <v>2685</v>
      </c>
      <c r="E720" s="141" t="s">
        <v>4734</v>
      </c>
      <c r="F720" s="76" t="s">
        <v>3574</v>
      </c>
      <c r="G720" t="s">
        <v>203</v>
      </c>
      <c r="H720" s="13" t="str">
        <f>IFERROR(VLOOKUP(G720, Sheet2!$A:$B, 2, FALSE), A720)</f>
        <v>CHOW TAI FOOK JEWELLERY CO LTD</v>
      </c>
      <c r="I720" s="58" t="s">
        <v>359</v>
      </c>
      <c r="J720" s="52"/>
      <c r="K720" s="52" t="s">
        <v>4735</v>
      </c>
      <c r="L720" s="120"/>
      <c r="M720" s="367" t="s">
        <v>4736</v>
      </c>
      <c r="N720" s="120"/>
      <c r="O720" s="142" t="s">
        <v>4737</v>
      </c>
      <c r="P720" s="120"/>
      <c r="Q720" s="8">
        <v>45646</v>
      </c>
      <c r="R720" s="8">
        <v>45644</v>
      </c>
      <c r="S720" s="8">
        <v>45646</v>
      </c>
      <c r="T720" s="4" t="s">
        <v>4738</v>
      </c>
      <c r="U720" s="8" t="s">
        <v>4739</v>
      </c>
      <c r="V720" s="141">
        <v>104097</v>
      </c>
      <c r="W720" s="4" t="s">
        <v>4740</v>
      </c>
      <c r="X720" t="s">
        <v>4741</v>
      </c>
      <c r="Y720" s="9" t="s">
        <v>4742</v>
      </c>
      <c r="Z720" t="s">
        <v>425</v>
      </c>
      <c r="AA720" t="s">
        <v>1079</v>
      </c>
      <c r="AB720" t="s">
        <v>375</v>
      </c>
      <c r="AC720" t="s">
        <v>2851</v>
      </c>
      <c r="AD720" s="110" t="s">
        <v>4743</v>
      </c>
    </row>
    <row r="721" spans="1:30" ht="87">
      <c r="A721" s="5" t="s">
        <v>545</v>
      </c>
      <c r="B721" s="46" t="s">
        <v>4455</v>
      </c>
      <c r="C721" s="3"/>
      <c r="D721" s="141" t="s">
        <v>2685</v>
      </c>
      <c r="E721" s="141" t="s">
        <v>4734</v>
      </c>
      <c r="F721" s="76" t="s">
        <v>3574</v>
      </c>
      <c r="G721" t="s">
        <v>203</v>
      </c>
      <c r="H721" s="13" t="str">
        <f>IFERROR(VLOOKUP(G721, Sheet2!$A:$B, 2, FALSE), A721)</f>
        <v>CHOW TAI FOOK JEWELLERY CO LTD</v>
      </c>
      <c r="I721" s="58" t="s">
        <v>359</v>
      </c>
      <c r="J721" s="52"/>
      <c r="K721" s="52" t="s">
        <v>4735</v>
      </c>
      <c r="L721" s="120" t="s">
        <v>4744</v>
      </c>
      <c r="M721" s="367" t="s">
        <v>4745</v>
      </c>
      <c r="N721" s="120"/>
      <c r="O721" s="142" t="s">
        <v>4737</v>
      </c>
      <c r="P721" s="120"/>
      <c r="Q721" s="4">
        <v>45671</v>
      </c>
      <c r="R721" s="4">
        <v>45789</v>
      </c>
      <c r="S721" s="4">
        <v>45671</v>
      </c>
      <c r="T721" s="4" t="s">
        <v>4738</v>
      </c>
      <c r="U721" s="4" t="s">
        <v>4746</v>
      </c>
      <c r="V721" s="141">
        <v>104097</v>
      </c>
      <c r="W721" s="4" t="s">
        <v>4747</v>
      </c>
      <c r="X721" t="s">
        <v>4748</v>
      </c>
      <c r="Y721" s="9" t="s">
        <v>4749</v>
      </c>
      <c r="Z721" t="s">
        <v>489</v>
      </c>
      <c r="AA721" t="s">
        <v>1079</v>
      </c>
      <c r="AB721" t="s">
        <v>4275</v>
      </c>
      <c r="AC721" t="s">
        <v>3161</v>
      </c>
      <c r="AD721" s="110" t="s">
        <v>4750</v>
      </c>
    </row>
    <row r="722" spans="1:30" ht="87">
      <c r="A722" s="5" t="s">
        <v>545</v>
      </c>
      <c r="B722" s="46" t="s">
        <v>933</v>
      </c>
      <c r="C722" s="3"/>
      <c r="D722" s="141" t="s">
        <v>2685</v>
      </c>
      <c r="E722" s="141" t="s">
        <v>4734</v>
      </c>
      <c r="F722" s="76" t="s">
        <v>2951</v>
      </c>
      <c r="G722" t="s">
        <v>203</v>
      </c>
      <c r="H722" s="13" t="str">
        <f>IFERROR(VLOOKUP(G722, Sheet2!$A:$B, 2, FALSE), A722)</f>
        <v>CHOW TAI FOOK JEWELLERY CO LTD</v>
      </c>
      <c r="I722" s="58" t="s">
        <v>359</v>
      </c>
      <c r="J722" s="52"/>
      <c r="K722" s="52" t="s">
        <v>4751</v>
      </c>
      <c r="L722" s="120"/>
      <c r="M722" s="367" t="s">
        <v>4752</v>
      </c>
      <c r="N722" s="120"/>
      <c r="O722" s="142" t="s">
        <v>3229</v>
      </c>
      <c r="P722" s="120"/>
      <c r="Q722" s="8">
        <v>45646</v>
      </c>
      <c r="R722" s="8">
        <v>45644</v>
      </c>
      <c r="S722" s="8">
        <v>45646</v>
      </c>
      <c r="T722" s="8" t="s">
        <v>4753</v>
      </c>
      <c r="U722" s="8" t="s">
        <v>4754</v>
      </c>
      <c r="V722" s="141">
        <v>104096</v>
      </c>
      <c r="W722" s="8" t="s">
        <v>4755</v>
      </c>
      <c r="X722" t="s">
        <v>4741</v>
      </c>
      <c r="Y722" s="9" t="s">
        <v>4756</v>
      </c>
      <c r="Z722" t="s">
        <v>365</v>
      </c>
      <c r="AA722" t="s">
        <v>1079</v>
      </c>
      <c r="AB722" t="s">
        <v>375</v>
      </c>
      <c r="AC722" t="s">
        <v>2851</v>
      </c>
      <c r="AD722" s="110" t="s">
        <v>4743</v>
      </c>
    </row>
    <row r="723" spans="1:30" ht="116">
      <c r="A723" s="3" t="s">
        <v>545</v>
      </c>
      <c r="B723" s="46" t="s">
        <v>3118</v>
      </c>
      <c r="C723" s="3"/>
      <c r="D723" s="141" t="s">
        <v>4757</v>
      </c>
      <c r="E723" s="141">
        <v>91337086</v>
      </c>
      <c r="F723" s="76" t="s">
        <v>4758</v>
      </c>
      <c r="G723" t="s">
        <v>153</v>
      </c>
      <c r="H723" s="13" t="str">
        <f>IFERROR(VLOOKUP(G723, Sheet2!$A:$B, 2, FALSE), A723)</f>
        <v>FORIS LIMITED</v>
      </c>
      <c r="I723" s="6" t="s">
        <v>359</v>
      </c>
      <c r="J723" s="52"/>
      <c r="K723" s="52" t="s">
        <v>4759</v>
      </c>
      <c r="L723" s="120"/>
      <c r="M723" s="358" t="s">
        <v>4760</v>
      </c>
      <c r="N723" s="120"/>
      <c r="O723" s="142" t="s">
        <v>4761</v>
      </c>
      <c r="P723" s="120"/>
      <c r="Q723" s="8">
        <v>45646</v>
      </c>
      <c r="R723" s="8">
        <v>45646</v>
      </c>
      <c r="S723" s="4">
        <v>45646</v>
      </c>
      <c r="T723" s="4" t="s">
        <v>4762</v>
      </c>
      <c r="U723" s="4" t="s">
        <v>4763</v>
      </c>
      <c r="V723" s="58">
        <v>104095</v>
      </c>
      <c r="W723" s="4" t="s">
        <v>4764</v>
      </c>
      <c r="X723" s="489" t="s">
        <v>4765</v>
      </c>
      <c r="Y723" s="7" t="s">
        <v>4766</v>
      </c>
      <c r="Z723" t="s">
        <v>4275</v>
      </c>
      <c r="AA723" t="s">
        <v>4275</v>
      </c>
      <c r="AB723" t="s">
        <v>375</v>
      </c>
      <c r="AC723" t="s">
        <v>3161</v>
      </c>
      <c r="AD723" s="110" t="s">
        <v>4767</v>
      </c>
    </row>
    <row r="724" spans="1:30" ht="72.5">
      <c r="A724" s="3" t="s">
        <v>545</v>
      </c>
      <c r="B724" s="46" t="s">
        <v>4455</v>
      </c>
      <c r="C724" s="3"/>
      <c r="D724" s="141" t="s">
        <v>4768</v>
      </c>
      <c r="E724" s="141">
        <v>60254480</v>
      </c>
      <c r="F724" s="76" t="s">
        <v>4769</v>
      </c>
      <c r="G724" t="s">
        <v>732</v>
      </c>
      <c r="H724" s="13" t="str">
        <f>IFERROR(VLOOKUP(G724, Sheet2!$A:$B, 2, FALSE), A724)</f>
        <v>AASTOCKS.COM LIMITED</v>
      </c>
      <c r="I724" s="58" t="s">
        <v>675</v>
      </c>
      <c r="J724" s="52"/>
      <c r="K724" s="48" t="s">
        <v>2575</v>
      </c>
      <c r="L724" s="120" t="s">
        <v>2576</v>
      </c>
      <c r="M724" s="358" t="s">
        <v>4770</v>
      </c>
      <c r="N724" s="120"/>
      <c r="O724" s="142" t="s">
        <v>4771</v>
      </c>
      <c r="P724" s="120"/>
      <c r="Q724" s="8">
        <v>45644</v>
      </c>
      <c r="R724" s="8">
        <v>45645</v>
      </c>
      <c r="S724" s="4">
        <v>45644</v>
      </c>
      <c r="T724" s="4" t="s">
        <v>2366</v>
      </c>
      <c r="U724" s="4" t="s">
        <v>4772</v>
      </c>
      <c r="V724" s="58">
        <v>103382</v>
      </c>
      <c r="W724" s="4" t="s">
        <v>4773</v>
      </c>
      <c r="X724" s="489" t="s">
        <v>4774</v>
      </c>
      <c r="Y724" s="7" t="s">
        <v>4775</v>
      </c>
      <c r="Z724" t="s">
        <v>489</v>
      </c>
      <c r="AA724" t="s">
        <v>4275</v>
      </c>
      <c r="AB724" t="s">
        <v>4276</v>
      </c>
      <c r="AC724" t="s">
        <v>3161</v>
      </c>
      <c r="AD724" s="76" t="s">
        <v>4776</v>
      </c>
    </row>
    <row r="725" spans="1:30" ht="44">
      <c r="A725" s="3" t="s">
        <v>350</v>
      </c>
      <c r="B725" s="46" t="s">
        <v>933</v>
      </c>
      <c r="C725" s="3"/>
      <c r="D725" s="141" t="s">
        <v>3297</v>
      </c>
      <c r="E725" s="141">
        <v>67594210</v>
      </c>
      <c r="F725" t="s">
        <v>3909</v>
      </c>
      <c r="G725" t="s">
        <v>2888</v>
      </c>
      <c r="H725" s="13" t="str">
        <f>IFERROR(VLOOKUP(G725, Sheet2!$A:$B, 2, FALSE), A725)</f>
        <v>New World Corporate Services Limited</v>
      </c>
      <c r="I725" s="58" t="s">
        <v>352</v>
      </c>
      <c r="J725" s="52" t="s">
        <v>4634</v>
      </c>
      <c r="K725" s="48" t="s">
        <v>4777</v>
      </c>
      <c r="L725" s="120" t="s">
        <v>4778</v>
      </c>
      <c r="M725" s="358" t="s">
        <v>4779</v>
      </c>
      <c r="N725" s="120"/>
      <c r="O725" s="142" t="s">
        <v>4638</v>
      </c>
      <c r="P725" s="120"/>
      <c r="Q725" s="8">
        <v>45671</v>
      </c>
      <c r="R725" s="8">
        <v>45664</v>
      </c>
      <c r="S725" s="8">
        <v>45664</v>
      </c>
      <c r="T725" s="8" t="s">
        <v>4780</v>
      </c>
      <c r="U725" s="8" t="s">
        <v>4781</v>
      </c>
      <c r="V725" s="6">
        <v>104104</v>
      </c>
      <c r="W725" s="8" t="s">
        <v>4782</v>
      </c>
      <c r="X725" t="s">
        <v>4783</v>
      </c>
      <c r="Y725" s="487" t="s">
        <v>4784</v>
      </c>
      <c r="Z725" t="s">
        <v>365</v>
      </c>
      <c r="AA725" t="s">
        <v>4275</v>
      </c>
      <c r="AB725" t="s">
        <v>4276</v>
      </c>
      <c r="AC725" t="s">
        <v>945</v>
      </c>
      <c r="AD725" s="110" t="s">
        <v>4785</v>
      </c>
    </row>
    <row r="726" spans="1:30" ht="44">
      <c r="A726" s="3" t="s">
        <v>350</v>
      </c>
      <c r="B726" s="46" t="s">
        <v>933</v>
      </c>
      <c r="C726" s="3"/>
      <c r="D726" s="141" t="s">
        <v>3297</v>
      </c>
      <c r="E726" s="141">
        <v>67594210</v>
      </c>
      <c r="F726" t="s">
        <v>3909</v>
      </c>
      <c r="G726" t="s">
        <v>2888</v>
      </c>
      <c r="H726" s="13" t="str">
        <f>IFERROR(VLOOKUP(G726, Sheet2!$A:$B, 2, FALSE), A726)</f>
        <v>New World Corporate Services Limited</v>
      </c>
      <c r="I726" s="58" t="s">
        <v>352</v>
      </c>
      <c r="J726" s="52" t="s">
        <v>4634</v>
      </c>
      <c r="K726" s="490">
        <v>225989331681</v>
      </c>
      <c r="L726" s="120" t="s">
        <v>4786</v>
      </c>
      <c r="M726" s="110" t="s">
        <v>4787</v>
      </c>
      <c r="N726" s="120"/>
      <c r="O726" s="142" t="s">
        <v>4638</v>
      </c>
      <c r="P726" s="120"/>
      <c r="Q726" s="8">
        <v>45671</v>
      </c>
      <c r="R726" s="8">
        <v>45664</v>
      </c>
      <c r="S726" s="8">
        <v>45664</v>
      </c>
      <c r="T726" s="8" t="s">
        <v>4788</v>
      </c>
      <c r="U726" s="8" t="s">
        <v>4789</v>
      </c>
      <c r="V726" s="6">
        <v>104105</v>
      </c>
      <c r="W726" s="8" t="s">
        <v>4782</v>
      </c>
      <c r="X726" t="s">
        <v>4783</v>
      </c>
      <c r="Y726" s="487" t="s">
        <v>4790</v>
      </c>
      <c r="Z726" t="s">
        <v>365</v>
      </c>
      <c r="AA726" t="s">
        <v>4275</v>
      </c>
      <c r="AB726" t="s">
        <v>4276</v>
      </c>
      <c r="AC726" t="s">
        <v>945</v>
      </c>
      <c r="AD726" s="110" t="s">
        <v>4785</v>
      </c>
    </row>
    <row r="727" spans="1:30" ht="116.5">
      <c r="A727" s="5" t="s">
        <v>545</v>
      </c>
      <c r="B727" s="46" t="s">
        <v>3118</v>
      </c>
      <c r="C727" s="3"/>
      <c r="D727" s="141" t="s">
        <v>4791</v>
      </c>
      <c r="E727" s="141">
        <v>22116455</v>
      </c>
      <c r="F727" s="110" t="s">
        <v>4792</v>
      </c>
      <c r="G727" t="s">
        <v>246</v>
      </c>
      <c r="H727" s="13" t="str">
        <f>IFERROR(VLOOKUP(G727, Sheet2!$A:$B, 2, FALSE), A727)</f>
        <v>HONG KONG EXCHANGES AND CLEARING LTD</v>
      </c>
      <c r="I727" s="58" t="s">
        <v>393</v>
      </c>
      <c r="J727" s="52"/>
      <c r="K727" s="490"/>
      <c r="L727" s="491"/>
      <c r="M727" s="348"/>
      <c r="N727" s="120"/>
      <c r="O727" s="142" t="s">
        <v>4793</v>
      </c>
      <c r="P727" s="120"/>
      <c r="Q727" s="8">
        <v>45627</v>
      </c>
      <c r="R727" s="8">
        <v>45656</v>
      </c>
      <c r="S727" s="8">
        <v>45627</v>
      </c>
      <c r="T727" s="4" t="s">
        <v>4794</v>
      </c>
      <c r="U727" s="4" t="s">
        <v>4795</v>
      </c>
      <c r="V727" s="6">
        <v>104099</v>
      </c>
      <c r="W727" s="4" t="s">
        <v>4796</v>
      </c>
      <c r="X727" t="s">
        <v>4797</v>
      </c>
      <c r="Y727" s="487" t="s">
        <v>4798</v>
      </c>
      <c r="Z727" t="s">
        <v>489</v>
      </c>
      <c r="AA727" t="s">
        <v>1072</v>
      </c>
      <c r="AB727" t="s">
        <v>4276</v>
      </c>
      <c r="AC727" t="s">
        <v>3161</v>
      </c>
      <c r="AD727" s="110" t="s">
        <v>4799</v>
      </c>
    </row>
    <row r="728" spans="1:30" ht="102">
      <c r="A728" s="5" t="s">
        <v>545</v>
      </c>
      <c r="B728" s="46" t="s">
        <v>3056</v>
      </c>
      <c r="C728" s="3"/>
      <c r="D728" s="141" t="s">
        <v>4800</v>
      </c>
      <c r="E728" s="141"/>
      <c r="F728" s="110" t="s">
        <v>4801</v>
      </c>
      <c r="G728" t="s">
        <v>247</v>
      </c>
      <c r="H728" s="13" t="str">
        <f>IFERROR(VLOOKUP(G728, Sheet2!$A:$B, 2, FALSE), A728)</f>
        <v>JARDINE MATHESON LIMITED</v>
      </c>
      <c r="I728" s="58" t="s">
        <v>393</v>
      </c>
      <c r="J728" s="52"/>
      <c r="K728" s="490"/>
      <c r="L728" s="492" t="s">
        <v>4802</v>
      </c>
      <c r="M728" s="348"/>
      <c r="N728" s="120"/>
      <c r="O728" s="142"/>
      <c r="P728" s="120"/>
      <c r="Q728" s="8">
        <v>45653</v>
      </c>
      <c r="R728" s="8">
        <v>45657</v>
      </c>
      <c r="S728" s="8">
        <v>45653</v>
      </c>
      <c r="T728" s="4" t="s">
        <v>4803</v>
      </c>
      <c r="U728" s="4" t="s">
        <v>4804</v>
      </c>
      <c r="V728" s="58" t="s">
        <v>997</v>
      </c>
      <c r="W728" s="4" t="s">
        <v>4805</v>
      </c>
      <c r="X728" t="s">
        <v>4806</v>
      </c>
      <c r="Y728" s="487" t="s">
        <v>4807</v>
      </c>
      <c r="Z728" t="s">
        <v>489</v>
      </c>
      <c r="AA728" t="s">
        <v>4275</v>
      </c>
      <c r="AB728" t="s">
        <v>4275</v>
      </c>
      <c r="AC728" t="s">
        <v>3161</v>
      </c>
      <c r="AD728" s="110" t="s">
        <v>4808</v>
      </c>
    </row>
    <row r="729" spans="1:30" ht="102">
      <c r="A729" s="5" t="s">
        <v>545</v>
      </c>
      <c r="B729" s="46" t="s">
        <v>4455</v>
      </c>
      <c r="C729" s="3"/>
      <c r="D729" s="141" t="s">
        <v>4809</v>
      </c>
      <c r="E729" s="141" t="s">
        <v>4810</v>
      </c>
      <c r="F729" s="110" t="s">
        <v>4811</v>
      </c>
      <c r="G729" t="s">
        <v>4812</v>
      </c>
      <c r="H729" s="13" t="str">
        <f>IFERROR(VLOOKUP(G729, Sheet2!$A:$B, 2, FALSE), A729)</f>
        <v>AIRPORT AUTHORITY</v>
      </c>
      <c r="I729" t="s">
        <v>4205</v>
      </c>
      <c r="J729" s="52"/>
      <c r="K729" s="490"/>
      <c r="L729" s="493" t="s">
        <v>4813</v>
      </c>
      <c r="M729" s="348"/>
      <c r="N729" s="120"/>
      <c r="O729" s="142" t="s">
        <v>4298</v>
      </c>
      <c r="P729" s="120"/>
      <c r="Q729" s="8">
        <v>45660</v>
      </c>
      <c r="R729" s="8">
        <v>45657</v>
      </c>
      <c r="S729" s="8">
        <v>45659</v>
      </c>
      <c r="T729" s="4" t="s">
        <v>4300</v>
      </c>
      <c r="U729" s="4" t="s">
        <v>4814</v>
      </c>
      <c r="V729" s="58">
        <v>104000</v>
      </c>
      <c r="W729" s="4" t="s">
        <v>4815</v>
      </c>
      <c r="X729" t="s">
        <v>4816</v>
      </c>
      <c r="Y729" s="487" t="s">
        <v>4817</v>
      </c>
      <c r="Z729" t="s">
        <v>489</v>
      </c>
      <c r="AA729" t="s">
        <v>781</v>
      </c>
      <c r="AB729" t="s">
        <v>4275</v>
      </c>
      <c r="AC729" t="s">
        <v>3161</v>
      </c>
      <c r="AD729" s="110" t="s">
        <v>4818</v>
      </c>
    </row>
    <row r="730" spans="1:30" ht="58.5">
      <c r="A730" s="5" t="s">
        <v>545</v>
      </c>
      <c r="B730" s="46" t="s">
        <v>3056</v>
      </c>
      <c r="C730" s="3"/>
      <c r="D730" s="141" t="s">
        <v>4800</v>
      </c>
      <c r="E730" s="141"/>
      <c r="F730" s="110" t="s">
        <v>4801</v>
      </c>
      <c r="G730" t="s">
        <v>247</v>
      </c>
      <c r="H730" s="13" t="str">
        <f>IFERROR(VLOOKUP(G730, Sheet2!$A:$B, 2, FALSE), A730)</f>
        <v>JARDINE MATHESON LIMITED</v>
      </c>
      <c r="I730" s="58" t="s">
        <v>393</v>
      </c>
      <c r="J730" s="52"/>
      <c r="K730" s="490"/>
      <c r="L730" s="493" t="s">
        <v>4819</v>
      </c>
      <c r="M730" s="348"/>
      <c r="N730" s="120"/>
      <c r="O730" s="142"/>
      <c r="P730" s="120"/>
      <c r="Q730" s="8">
        <v>45653</v>
      </c>
      <c r="R730" s="8">
        <v>45659</v>
      </c>
      <c r="S730" s="8">
        <v>45653</v>
      </c>
      <c r="T730" s="4" t="s">
        <v>4803</v>
      </c>
      <c r="U730" s="4" t="s">
        <v>4820</v>
      </c>
      <c r="V730" s="58" t="s">
        <v>997</v>
      </c>
      <c r="W730" s="4" t="s">
        <v>4805</v>
      </c>
      <c r="X730" t="s">
        <v>4821</v>
      </c>
      <c r="Y730" s="487" t="s">
        <v>4822</v>
      </c>
      <c r="Z730" t="s">
        <v>489</v>
      </c>
      <c r="AA730" t="s">
        <v>781</v>
      </c>
      <c r="AB730" t="s">
        <v>4275</v>
      </c>
      <c r="AC730" t="s">
        <v>3161</v>
      </c>
      <c r="AD730" s="110" t="s">
        <v>4823</v>
      </c>
    </row>
    <row r="731" spans="1:30" ht="58">
      <c r="A731" s="3" t="s">
        <v>350</v>
      </c>
      <c r="B731" s="46" t="s">
        <v>933</v>
      </c>
      <c r="C731" s="3"/>
      <c r="D731" s="141" t="s">
        <v>3297</v>
      </c>
      <c r="E731" s="141">
        <v>67594210</v>
      </c>
      <c r="F731" s="76" t="s">
        <v>3909</v>
      </c>
      <c r="G731" t="s">
        <v>199</v>
      </c>
      <c r="H731" s="13" t="str">
        <f>IFERROR(VLOOKUP(G731, Sheet2!$A:$B, 2, FALSE), A731)</f>
        <v>New World Corporate Services Limited</v>
      </c>
      <c r="I731" s="58" t="s">
        <v>352</v>
      </c>
      <c r="J731" s="52" t="s">
        <v>4634</v>
      </c>
      <c r="K731" s="448">
        <v>288761742507</v>
      </c>
      <c r="L731" s="120" t="s">
        <v>4824</v>
      </c>
      <c r="M731" s="290" t="s">
        <v>4825</v>
      </c>
      <c r="N731" s="120"/>
      <c r="O731" s="142" t="s">
        <v>4638</v>
      </c>
      <c r="P731" s="120"/>
      <c r="Q731" s="8">
        <v>45671</v>
      </c>
      <c r="R731" s="8">
        <v>45664</v>
      </c>
      <c r="S731" s="8">
        <v>45664</v>
      </c>
      <c r="T731" s="8" t="s">
        <v>4826</v>
      </c>
      <c r="U731" s="8" t="s">
        <v>4827</v>
      </c>
      <c r="V731" s="6">
        <v>104106</v>
      </c>
      <c r="W731" s="8" t="s">
        <v>4782</v>
      </c>
      <c r="X731" t="s">
        <v>4783</v>
      </c>
      <c r="Y731" s="7" t="s">
        <v>4828</v>
      </c>
      <c r="Z731" t="s">
        <v>365</v>
      </c>
      <c r="AA731" t="s">
        <v>4275</v>
      </c>
      <c r="AB731" t="s">
        <v>4276</v>
      </c>
      <c r="AC731" t="s">
        <v>945</v>
      </c>
      <c r="AD731" s="110" t="s">
        <v>4785</v>
      </c>
    </row>
    <row r="732" spans="1:30" ht="58">
      <c r="A732" s="3" t="s">
        <v>350</v>
      </c>
      <c r="B732" s="46" t="s">
        <v>933</v>
      </c>
      <c r="C732" s="3"/>
      <c r="D732" s="141" t="s">
        <v>3297</v>
      </c>
      <c r="E732" s="141">
        <v>67594210</v>
      </c>
      <c r="F732" s="76" t="s">
        <v>3909</v>
      </c>
      <c r="G732" t="s">
        <v>199</v>
      </c>
      <c r="H732" s="13" t="str">
        <f>IFERROR(VLOOKUP(G732, Sheet2!$A:$B, 2, FALSE), A732)</f>
        <v>New World Corporate Services Limited</v>
      </c>
      <c r="I732" s="58" t="s">
        <v>352</v>
      </c>
      <c r="J732" s="52" t="s">
        <v>4634</v>
      </c>
      <c r="K732" s="448">
        <v>577638379579</v>
      </c>
      <c r="L732" s="120" t="s">
        <v>4829</v>
      </c>
      <c r="M732" s="290" t="s">
        <v>4830</v>
      </c>
      <c r="N732" s="120"/>
      <c r="O732" s="142" t="s">
        <v>4638</v>
      </c>
      <c r="P732" s="120"/>
      <c r="Q732" s="8">
        <v>45671</v>
      </c>
      <c r="R732" s="8">
        <v>45664</v>
      </c>
      <c r="S732" s="8">
        <v>45664</v>
      </c>
      <c r="T732" s="8" t="s">
        <v>4831</v>
      </c>
      <c r="U732" s="8" t="s">
        <v>4832</v>
      </c>
      <c r="V732" s="6">
        <v>104107</v>
      </c>
      <c r="W732" s="8" t="s">
        <v>4782</v>
      </c>
      <c r="X732" t="s">
        <v>4783</v>
      </c>
      <c r="Y732" s="9" t="s">
        <v>4833</v>
      </c>
      <c r="Z732" t="s">
        <v>365</v>
      </c>
      <c r="AA732" t="s">
        <v>4275</v>
      </c>
      <c r="AB732" t="s">
        <v>4276</v>
      </c>
      <c r="AC732" t="s">
        <v>945</v>
      </c>
      <c r="AD732" s="110" t="s">
        <v>4785</v>
      </c>
    </row>
    <row r="733" spans="1:30" ht="101.5">
      <c r="A733" s="3" t="s">
        <v>350</v>
      </c>
      <c r="B733" s="46" t="s">
        <v>4455</v>
      </c>
      <c r="C733" s="3"/>
      <c r="D733" s="141" t="s">
        <v>4800</v>
      </c>
      <c r="E733" s="141"/>
      <c r="F733" s="76" t="s">
        <v>4834</v>
      </c>
      <c r="G733" t="s">
        <v>247</v>
      </c>
      <c r="H733" s="13" t="str">
        <f>IFERROR(VLOOKUP(G733, Sheet2!$A:$B, 2, FALSE), A733)</f>
        <v>JARDINE MATHESON LIMITED</v>
      </c>
      <c r="I733" s="58" t="s">
        <v>393</v>
      </c>
      <c r="J733" s="52"/>
      <c r="K733" s="52"/>
      <c r="L733" s="120" t="s">
        <v>4835</v>
      </c>
      <c r="M733" s="348"/>
      <c r="N733" s="120"/>
      <c r="O733" s="142"/>
      <c r="P733" s="120"/>
      <c r="Q733" s="8">
        <v>45627</v>
      </c>
      <c r="R733" s="8">
        <v>45297</v>
      </c>
      <c r="S733" s="8">
        <v>45627</v>
      </c>
      <c r="T733" s="4" t="s">
        <v>4803</v>
      </c>
      <c r="U733" s="4" t="s">
        <v>4836</v>
      </c>
      <c r="V733" s="6">
        <v>103326</v>
      </c>
      <c r="W733" s="4" t="s">
        <v>4837</v>
      </c>
      <c r="X733" t="s">
        <v>4838</v>
      </c>
      <c r="Y733" s="9" t="s">
        <v>4839</v>
      </c>
      <c r="Z733" t="s">
        <v>425</v>
      </c>
      <c r="AA733" t="s">
        <v>781</v>
      </c>
      <c r="AB733" t="s">
        <v>4275</v>
      </c>
      <c r="AC733" t="s">
        <v>3161</v>
      </c>
      <c r="AD733" s="76" t="s">
        <v>4840</v>
      </c>
    </row>
    <row r="734" spans="1:30" ht="101.5">
      <c r="A734" s="5" t="s">
        <v>545</v>
      </c>
      <c r="B734" s="46" t="s">
        <v>933</v>
      </c>
      <c r="C734" s="3"/>
      <c r="D734" s="141" t="s">
        <v>4841</v>
      </c>
      <c r="E734" s="141" t="s">
        <v>4842</v>
      </c>
      <c r="F734" s="76" t="s">
        <v>4843</v>
      </c>
      <c r="G734" t="s">
        <v>248</v>
      </c>
      <c r="H734" s="13" t="str">
        <f>IFERROR(VLOOKUP(G734, Sheet2!$A:$B, 2, FALSE), A734)</f>
        <v>HONG KONG AIR CARGO TERMINALS LIMITED</v>
      </c>
      <c r="I734" s="58" t="s">
        <v>410</v>
      </c>
      <c r="J734" s="52"/>
      <c r="K734" s="448"/>
      <c r="L734" s="120" t="s">
        <v>4844</v>
      </c>
      <c r="M734" s="290" t="s">
        <v>4845</v>
      </c>
      <c r="N734" s="120"/>
      <c r="O734" s="142" t="s">
        <v>4846</v>
      </c>
      <c r="P734" s="120"/>
      <c r="Q734" s="8">
        <v>45672</v>
      </c>
      <c r="R734" s="8">
        <v>45299</v>
      </c>
      <c r="S734" s="4">
        <v>45672</v>
      </c>
      <c r="T734" s="4" t="s">
        <v>4847</v>
      </c>
      <c r="U734" s="4" t="s">
        <v>4848</v>
      </c>
      <c r="V734" s="6">
        <v>104108</v>
      </c>
      <c r="W734" s="4" t="s">
        <v>4849</v>
      </c>
      <c r="X734" t="s">
        <v>4850</v>
      </c>
      <c r="Y734" s="9" t="s">
        <v>4851</v>
      </c>
      <c r="Z734" t="s">
        <v>4275</v>
      </c>
      <c r="AA734" t="s">
        <v>4275</v>
      </c>
      <c r="AB734" t="s">
        <v>375</v>
      </c>
      <c r="AC734" t="s">
        <v>2995</v>
      </c>
      <c r="AD734" s="110" t="s">
        <v>4852</v>
      </c>
    </row>
    <row r="735" spans="1:30" ht="72.5">
      <c r="A735" s="5" t="s">
        <v>545</v>
      </c>
      <c r="B735" s="46" t="s">
        <v>4455</v>
      </c>
      <c r="C735" s="3"/>
      <c r="D735" s="141" t="s">
        <v>4800</v>
      </c>
      <c r="E735" s="141"/>
      <c r="F735" s="76" t="s">
        <v>4853</v>
      </c>
      <c r="G735" t="s">
        <v>4854</v>
      </c>
      <c r="H735" s="13" t="str">
        <f>IFERROR(VLOOKUP(G735, Sheet2!$A:$B, 2, FALSE), A735)</f>
        <v>JARDINE MATHESON LIMITED</v>
      </c>
      <c r="I735" s="58" t="s">
        <v>393</v>
      </c>
      <c r="J735" s="52"/>
      <c r="K735" s="448"/>
      <c r="L735" s="142" t="s">
        <v>4855</v>
      </c>
      <c r="M735" s="290"/>
      <c r="N735" s="120"/>
      <c r="O735" s="142"/>
      <c r="P735" s="120"/>
      <c r="Q735" s="8">
        <v>45627</v>
      </c>
      <c r="R735" s="8">
        <v>45666</v>
      </c>
      <c r="S735" s="8">
        <v>45627</v>
      </c>
      <c r="T735" s="4" t="s">
        <v>4803</v>
      </c>
      <c r="U735" s="4" t="s">
        <v>4856</v>
      </c>
      <c r="V735" s="58">
        <v>103326</v>
      </c>
      <c r="W735" s="4" t="s">
        <v>4857</v>
      </c>
      <c r="X735" t="s">
        <v>4858</v>
      </c>
      <c r="Y735" s="9" t="s">
        <v>4859</v>
      </c>
      <c r="Z735" t="s">
        <v>425</v>
      </c>
      <c r="AA735" t="s">
        <v>781</v>
      </c>
      <c r="AB735" t="s">
        <v>4275</v>
      </c>
      <c r="AC735" t="s">
        <v>3161</v>
      </c>
      <c r="AD735" s="110" t="s">
        <v>4860</v>
      </c>
    </row>
    <row r="736" spans="1:30" ht="87">
      <c r="A736" s="5" t="s">
        <v>545</v>
      </c>
      <c r="B736" s="46" t="s">
        <v>3118</v>
      </c>
      <c r="C736" s="3"/>
      <c r="D736" s="141" t="s">
        <v>4861</v>
      </c>
      <c r="E736" s="141">
        <v>70154649</v>
      </c>
      <c r="F736" s="76" t="s">
        <v>4862</v>
      </c>
      <c r="G736" t="s">
        <v>250</v>
      </c>
      <c r="H736" s="13" t="str">
        <f>IFERROR(VLOOKUP(G736, Sheet2!$A:$B, 2, FALSE), A736)</f>
        <v>EVER TOPRICH LIMITED</v>
      </c>
      <c r="I736" s="58" t="s">
        <v>410</v>
      </c>
      <c r="J736" s="52"/>
      <c r="K736" s="448"/>
      <c r="L736" s="10" t="s">
        <v>4863</v>
      </c>
      <c r="M736" s="290" t="s">
        <v>4864</v>
      </c>
      <c r="N736" s="120"/>
      <c r="O736" s="142" t="s">
        <v>4865</v>
      </c>
      <c r="P736" s="120"/>
      <c r="Q736" s="8">
        <v>45680</v>
      </c>
      <c r="R736" s="8">
        <v>45673</v>
      </c>
      <c r="S736" s="8">
        <v>45674</v>
      </c>
      <c r="T736" s="4" t="s">
        <v>4866</v>
      </c>
      <c r="U736" s="4" t="s">
        <v>4867</v>
      </c>
      <c r="V736" s="58">
        <v>104117</v>
      </c>
      <c r="W736" s="4" t="s">
        <v>4868</v>
      </c>
      <c r="X736" t="s">
        <v>4869</v>
      </c>
      <c r="Y736" s="9" t="s">
        <v>4870</v>
      </c>
      <c r="Z736" t="s">
        <v>425</v>
      </c>
      <c r="AA736" t="s">
        <v>425</v>
      </c>
      <c r="AB736" t="s">
        <v>375</v>
      </c>
      <c r="AC736" t="s">
        <v>2680</v>
      </c>
      <c r="AD736" s="110" t="s">
        <v>4871</v>
      </c>
    </row>
    <row r="737" spans="1:30" ht="159.5">
      <c r="A737" s="5" t="s">
        <v>350</v>
      </c>
      <c r="B737" s="46" t="s">
        <v>933</v>
      </c>
      <c r="C737" s="3"/>
      <c r="D737" s="141" t="s">
        <v>4872</v>
      </c>
      <c r="E737" s="141">
        <v>65703203</v>
      </c>
      <c r="F737" s="76" t="s">
        <v>4873</v>
      </c>
      <c r="G737" t="s">
        <v>230</v>
      </c>
      <c r="H737" s="13" t="str">
        <f>IFERROR(VLOOKUP(G737, Sheet2!$A:$B, 2, FALSE), A737)</f>
        <v>PROSPEROUS SUCCESS (HK) LIMITED</v>
      </c>
      <c r="I737" s="58" t="s">
        <v>3365</v>
      </c>
      <c r="J737" s="52" t="s">
        <v>4142</v>
      </c>
      <c r="K737" s="448">
        <v>343218178243</v>
      </c>
      <c r="L737" s="494" t="s">
        <v>4874</v>
      </c>
      <c r="M737" s="290" t="s">
        <v>4875</v>
      </c>
      <c r="N737" s="120"/>
      <c r="O737" s="142" t="s">
        <v>4876</v>
      </c>
      <c r="P737" s="120"/>
      <c r="Q737" s="4">
        <v>45702</v>
      </c>
      <c r="R737" s="4">
        <v>45703</v>
      </c>
      <c r="S737" s="482">
        <v>45702</v>
      </c>
      <c r="T737" s="4" t="s">
        <v>4877</v>
      </c>
      <c r="U737" s="4" t="s">
        <v>4878</v>
      </c>
      <c r="V737" s="58">
        <v>104177</v>
      </c>
      <c r="W737" s="4" t="s">
        <v>4879</v>
      </c>
      <c r="X737" t="s">
        <v>4880</v>
      </c>
      <c r="Y737" s="9" t="s">
        <v>4881</v>
      </c>
      <c r="Z737" t="s">
        <v>365</v>
      </c>
      <c r="AA737" t="s">
        <v>1248</v>
      </c>
      <c r="AB737" t="s">
        <v>375</v>
      </c>
      <c r="AC737" t="s">
        <v>2995</v>
      </c>
      <c r="AD737" s="110" t="s">
        <v>4882</v>
      </c>
    </row>
    <row r="738" spans="1:30" ht="159.5">
      <c r="A738" s="5" t="s">
        <v>545</v>
      </c>
      <c r="B738" s="46" t="s">
        <v>933</v>
      </c>
      <c r="C738" s="3"/>
      <c r="D738" s="141" t="s">
        <v>4883</v>
      </c>
      <c r="E738" s="141" t="s">
        <v>4884</v>
      </c>
      <c r="F738" s="76" t="s">
        <v>4885</v>
      </c>
      <c r="G738" t="s">
        <v>252</v>
      </c>
      <c r="H738" s="13" t="str">
        <f>IFERROR(VLOOKUP(G738, Sheet2!$A:$B, 2, FALSE), A738)</f>
        <v>Centre for Novostics Limited</v>
      </c>
      <c r="I738" s="58" t="s">
        <v>2836</v>
      </c>
      <c r="J738" s="52"/>
      <c r="K738" s="448" t="s">
        <v>4886</v>
      </c>
      <c r="L738" s="494" t="s">
        <v>4887</v>
      </c>
      <c r="M738" s="290" t="s">
        <v>4887</v>
      </c>
      <c r="N738" s="120"/>
      <c r="O738" s="142" t="s">
        <v>4888</v>
      </c>
      <c r="P738" s="120"/>
      <c r="Q738" s="4">
        <v>45713</v>
      </c>
      <c r="R738" s="4">
        <v>45707</v>
      </c>
      <c r="S738" s="4">
        <v>45713</v>
      </c>
      <c r="T738" s="4" t="s">
        <v>4889</v>
      </c>
      <c r="U738" s="4" t="s">
        <v>4890</v>
      </c>
      <c r="V738" s="58">
        <v>104131</v>
      </c>
      <c r="W738" s="4" t="s">
        <v>4891</v>
      </c>
      <c r="X738" t="s">
        <v>4892</v>
      </c>
      <c r="Y738" s="9" t="s">
        <v>4893</v>
      </c>
      <c r="Z738" t="s">
        <v>425</v>
      </c>
      <c r="AA738" t="s">
        <v>4275</v>
      </c>
      <c r="AB738" t="s">
        <v>375</v>
      </c>
      <c r="AC738" t="s">
        <v>3161</v>
      </c>
      <c r="AD738" s="110" t="s">
        <v>4894</v>
      </c>
    </row>
    <row r="739" spans="1:30" ht="130.5">
      <c r="A739" s="5" t="s">
        <v>545</v>
      </c>
      <c r="B739" s="46" t="s">
        <v>933</v>
      </c>
      <c r="C739" s="3"/>
      <c r="D739" s="141" t="s">
        <v>4416</v>
      </c>
      <c r="E739" s="141" t="s">
        <v>4895</v>
      </c>
      <c r="F739" s="193" t="s">
        <v>4511</v>
      </c>
      <c r="G739" s="58" t="s">
        <v>176</v>
      </c>
      <c r="H739" s="13" t="str">
        <f>IFERROR(VLOOKUP(G739, Sheet2!$A:$B, 2, FALSE), A739)</f>
        <v>HOSPITAL AUTHORITY</v>
      </c>
      <c r="I739" s="58" t="s">
        <v>352</v>
      </c>
      <c r="J739" s="52" t="s">
        <v>1664</v>
      </c>
      <c r="K739" s="52" t="s">
        <v>4896</v>
      </c>
      <c r="L739" s="120" t="s">
        <v>4897</v>
      </c>
      <c r="M739" s="495" t="s">
        <v>2282</v>
      </c>
      <c r="N739" s="120"/>
      <c r="O739" s="142" t="s">
        <v>4898</v>
      </c>
      <c r="P739" s="120" t="s">
        <v>2266</v>
      </c>
      <c r="Q739" s="8">
        <v>45689</v>
      </c>
      <c r="R739" s="8">
        <v>45712</v>
      </c>
      <c r="S739" s="8">
        <v>45689</v>
      </c>
      <c r="T739" t="s">
        <v>4899</v>
      </c>
      <c r="U739" s="141" t="s">
        <v>4900</v>
      </c>
      <c r="V739" s="141">
        <v>104150</v>
      </c>
      <c r="W739" s="8" t="s">
        <v>4901</v>
      </c>
      <c r="X739" t="s">
        <v>4902</v>
      </c>
      <c r="Y739" s="9" t="s">
        <v>4903</v>
      </c>
      <c r="Z739" t="s">
        <v>425</v>
      </c>
      <c r="AA739" t="s">
        <v>1072</v>
      </c>
      <c r="AC739" t="s">
        <v>3161</v>
      </c>
      <c r="AD739" s="193" t="s">
        <v>4904</v>
      </c>
    </row>
    <row r="740" spans="1:30" ht="130.5">
      <c r="A740" s="5" t="s">
        <v>545</v>
      </c>
      <c r="B740" s="46" t="s">
        <v>933</v>
      </c>
      <c r="C740" s="3"/>
      <c r="D740" s="141" t="s">
        <v>4416</v>
      </c>
      <c r="E740" s="141" t="s">
        <v>4905</v>
      </c>
      <c r="F740" s="193" t="s">
        <v>4511</v>
      </c>
      <c r="G740" s="58" t="s">
        <v>176</v>
      </c>
      <c r="H740" s="13" t="str">
        <f>IFERROR(VLOOKUP(G740, Sheet2!$A:$B, 2, FALSE), A740)</f>
        <v>HOSPITAL AUTHORITY</v>
      </c>
      <c r="I740" s="58" t="s">
        <v>352</v>
      </c>
      <c r="J740" s="52" t="s">
        <v>1664</v>
      </c>
      <c r="K740" s="52" t="s">
        <v>4906</v>
      </c>
      <c r="L740" s="120" t="s">
        <v>4907</v>
      </c>
      <c r="M740" s="348" t="s">
        <v>4908</v>
      </c>
      <c r="N740" s="120"/>
      <c r="O740" s="142" t="s">
        <v>4898</v>
      </c>
      <c r="P740" s="120" t="s">
        <v>4909</v>
      </c>
      <c r="Q740" s="8">
        <v>45689</v>
      </c>
      <c r="R740" s="8">
        <v>45712</v>
      </c>
      <c r="S740" s="8">
        <v>45689</v>
      </c>
      <c r="T740" t="s">
        <v>4910</v>
      </c>
      <c r="U740" s="141" t="s">
        <v>4911</v>
      </c>
      <c r="V740" s="141">
        <v>104149</v>
      </c>
      <c r="W740" s="8" t="s">
        <v>4901</v>
      </c>
      <c r="X740" t="s">
        <v>4902</v>
      </c>
      <c r="Y740" s="9" t="s">
        <v>4912</v>
      </c>
      <c r="Z740" t="s">
        <v>425</v>
      </c>
      <c r="AA740" t="s">
        <v>1072</v>
      </c>
      <c r="AC740" t="s">
        <v>3161</v>
      </c>
      <c r="AD740" s="193" t="s">
        <v>4904</v>
      </c>
    </row>
    <row r="741" spans="1:30" ht="130.5">
      <c r="A741" s="5" t="s">
        <v>545</v>
      </c>
      <c r="B741" s="46" t="s">
        <v>933</v>
      </c>
      <c r="C741" s="3"/>
      <c r="D741" s="141" t="s">
        <v>4416</v>
      </c>
      <c r="E741" s="141" t="s">
        <v>4905</v>
      </c>
      <c r="F741" s="193" t="s">
        <v>4511</v>
      </c>
      <c r="G741" s="58" t="s">
        <v>176</v>
      </c>
      <c r="H741" s="13" t="str">
        <f>IFERROR(VLOOKUP(G741, Sheet2!$A:$B, 2, FALSE), A741)</f>
        <v>HOSPITAL AUTHORITY</v>
      </c>
      <c r="I741" s="58" t="s">
        <v>352</v>
      </c>
      <c r="J741" s="52" t="s">
        <v>1664</v>
      </c>
      <c r="K741" s="52" t="s">
        <v>4913</v>
      </c>
      <c r="L741" s="120" t="s">
        <v>4914</v>
      </c>
      <c r="M741" s="348" t="s">
        <v>4915</v>
      </c>
      <c r="N741" s="120"/>
      <c r="O741" s="142" t="s">
        <v>4898</v>
      </c>
      <c r="P741" s="120" t="s">
        <v>4909</v>
      </c>
      <c r="Q741" s="8">
        <v>45689</v>
      </c>
      <c r="R741" s="8">
        <v>45712</v>
      </c>
      <c r="S741" s="8">
        <v>45689</v>
      </c>
      <c r="T741" t="s">
        <v>4916</v>
      </c>
      <c r="U741" s="141" t="s">
        <v>4917</v>
      </c>
      <c r="V741" s="141">
        <v>104149</v>
      </c>
      <c r="W741" s="8" t="s">
        <v>4901</v>
      </c>
      <c r="X741" t="s">
        <v>4902</v>
      </c>
      <c r="Y741" s="9" t="s">
        <v>4903</v>
      </c>
      <c r="Z741" t="s">
        <v>425</v>
      </c>
      <c r="AA741" t="s">
        <v>1072</v>
      </c>
      <c r="AC741" t="s">
        <v>3161</v>
      </c>
      <c r="AD741" s="193" t="s">
        <v>4904</v>
      </c>
    </row>
    <row r="742" spans="1:30" ht="87">
      <c r="A742" s="5" t="s">
        <v>4918</v>
      </c>
      <c r="B742" s="46" t="s">
        <v>3118</v>
      </c>
      <c r="C742" s="3"/>
      <c r="D742" s="141" t="s">
        <v>4919</v>
      </c>
      <c r="E742" s="141">
        <v>92290311</v>
      </c>
      <c r="F742" s="465" t="s">
        <v>4920</v>
      </c>
      <c r="G742" t="s">
        <v>254</v>
      </c>
      <c r="H742" s="13" t="str">
        <f>IFERROR(VLOOKUP(G742, Sheet2!$A:$B, 2, FALSE), A742)</f>
        <v>THE HONG KONG GOLF CLUB</v>
      </c>
      <c r="I742" s="58" t="s">
        <v>352</v>
      </c>
      <c r="J742" s="52" t="s">
        <v>4142</v>
      </c>
      <c r="K742" s="52"/>
      <c r="L742" s="120" t="s">
        <v>4561</v>
      </c>
      <c r="M742" s="348"/>
      <c r="N742" s="120"/>
      <c r="O742" s="142" t="s">
        <v>4921</v>
      </c>
      <c r="P742" s="120"/>
      <c r="Q742" s="8">
        <v>45715</v>
      </c>
      <c r="R742" s="8">
        <v>45712</v>
      </c>
      <c r="S742" s="8">
        <v>45713</v>
      </c>
      <c r="T742" t="s">
        <v>4922</v>
      </c>
      <c r="U742" s="141" t="s">
        <v>4923</v>
      </c>
      <c r="V742" s="141" t="s">
        <v>997</v>
      </c>
      <c r="W742" s="8" t="s">
        <v>4924</v>
      </c>
      <c r="X742" t="s">
        <v>4925</v>
      </c>
      <c r="Y742" s="9" t="s">
        <v>4926</v>
      </c>
      <c r="Z742" t="s">
        <v>489</v>
      </c>
      <c r="AA742" t="s">
        <v>4275</v>
      </c>
      <c r="AB742" t="s">
        <v>4276</v>
      </c>
      <c r="AC742" t="s">
        <v>3161</v>
      </c>
      <c r="AD742" s="465" t="s">
        <v>4927</v>
      </c>
    </row>
    <row r="743" spans="1:30" ht="203">
      <c r="A743" s="5" t="s">
        <v>545</v>
      </c>
      <c r="B743" s="46" t="s">
        <v>3118</v>
      </c>
      <c r="C743" s="3"/>
      <c r="D743" s="141" t="s">
        <v>4928</v>
      </c>
      <c r="E743" s="141" t="s">
        <v>4929</v>
      </c>
      <c r="F743" s="193" t="s">
        <v>4930</v>
      </c>
      <c r="G743" s="10" t="s">
        <v>256</v>
      </c>
      <c r="H743" s="13" t="str">
        <f>IFERROR(VLOOKUP(G743, Sheet2!$A:$B, 2, FALSE), A743)</f>
        <v>DIGITAL POLICY OFFICE</v>
      </c>
      <c r="I743" s="58" t="s">
        <v>393</v>
      </c>
      <c r="J743" s="52"/>
      <c r="K743" s="52"/>
      <c r="L743" s="120"/>
      <c r="M743" s="348" t="s">
        <v>1113</v>
      </c>
      <c r="N743" s="120"/>
      <c r="O743" s="142" t="s">
        <v>4931</v>
      </c>
      <c r="P743" s="120"/>
      <c r="Q743" s="8">
        <v>45715</v>
      </c>
      <c r="R743" s="8">
        <v>45727</v>
      </c>
      <c r="S743" s="4">
        <v>45715</v>
      </c>
      <c r="T743" t="s">
        <v>4932</v>
      </c>
      <c r="U743" s="141" t="s">
        <v>4933</v>
      </c>
      <c r="V743" s="141">
        <v>104164</v>
      </c>
      <c r="W743" s="4" t="s">
        <v>4934</v>
      </c>
      <c r="X743" t="s">
        <v>4935</v>
      </c>
      <c r="Y743" s="9" t="s">
        <v>4936</v>
      </c>
      <c r="Z743" t="s">
        <v>4275</v>
      </c>
      <c r="AA743" t="s">
        <v>4275</v>
      </c>
      <c r="AB743" t="s">
        <v>4275</v>
      </c>
      <c r="AC743" t="s">
        <v>3161</v>
      </c>
      <c r="AD743" s="193" t="s">
        <v>4937</v>
      </c>
    </row>
    <row r="744" spans="1:30" ht="101.5">
      <c r="A744" s="5" t="s">
        <v>545</v>
      </c>
      <c r="B744" s="46" t="s">
        <v>3118</v>
      </c>
      <c r="C744" s="3"/>
      <c r="D744" s="141" t="s">
        <v>4938</v>
      </c>
      <c r="E744" s="141" t="s">
        <v>4939</v>
      </c>
      <c r="F744" s="193" t="s">
        <v>4940</v>
      </c>
      <c r="G744" t="s">
        <v>1365</v>
      </c>
      <c r="H744" s="13" t="str">
        <f>IFERROR(VLOOKUP(G744, Sheet2!$A:$B, 2, FALSE), A744)</f>
        <v>AIRPORT AUTHORITY</v>
      </c>
      <c r="I744" s="58" t="s">
        <v>352</v>
      </c>
      <c r="J744" s="52" t="s">
        <v>655</v>
      </c>
      <c r="K744" s="77" t="s">
        <v>4941</v>
      </c>
      <c r="L744" s="120" t="s">
        <v>4942</v>
      </c>
      <c r="M744" s="348"/>
      <c r="N744" s="120"/>
      <c r="O744" s="142" t="s">
        <v>4727</v>
      </c>
      <c r="P744" s="120"/>
      <c r="Q744" s="8">
        <v>45721</v>
      </c>
      <c r="R744" s="8">
        <v>45715</v>
      </c>
      <c r="S744" s="8">
        <v>45716</v>
      </c>
      <c r="T744" t="s">
        <v>4943</v>
      </c>
      <c r="U744" s="141" t="s">
        <v>4944</v>
      </c>
      <c r="V744" s="141">
        <v>104153</v>
      </c>
      <c r="W744" s="4" t="s">
        <v>4945</v>
      </c>
      <c r="X744" t="s">
        <v>4946</v>
      </c>
      <c r="Y744" s="9" t="s">
        <v>4947</v>
      </c>
      <c r="Z744" t="s">
        <v>489</v>
      </c>
      <c r="AA744" t="s">
        <v>781</v>
      </c>
      <c r="AB744" t="s">
        <v>4275</v>
      </c>
      <c r="AC744" t="s">
        <v>3161</v>
      </c>
      <c r="AD744" s="193" t="s">
        <v>4948</v>
      </c>
    </row>
    <row r="745" spans="1:30" ht="87">
      <c r="A745" s="5" t="s">
        <v>545</v>
      </c>
      <c r="B745" s="46" t="s">
        <v>4455</v>
      </c>
      <c r="C745" s="3"/>
      <c r="D745" s="141" t="s">
        <v>4938</v>
      </c>
      <c r="E745" s="141" t="s">
        <v>4939</v>
      </c>
      <c r="F745" s="193" t="s">
        <v>4940</v>
      </c>
      <c r="G745" t="s">
        <v>1365</v>
      </c>
      <c r="H745" s="13" t="str">
        <f>IFERROR(VLOOKUP(G745, Sheet2!$A:$B, 2, FALSE), A745)</f>
        <v>AIRPORT AUTHORITY</v>
      </c>
      <c r="I745" s="58" t="s">
        <v>352</v>
      </c>
      <c r="J745" s="52" t="s">
        <v>655</v>
      </c>
      <c r="K745" s="77" t="s">
        <v>4941</v>
      </c>
      <c r="L745" s="120" t="s">
        <v>4949</v>
      </c>
      <c r="M745" s="348"/>
      <c r="N745" s="120"/>
      <c r="O745" s="142" t="s">
        <v>4727</v>
      </c>
      <c r="P745" s="120"/>
      <c r="Q745" s="482">
        <v>45723</v>
      </c>
      <c r="R745" s="482">
        <v>45719</v>
      </c>
      <c r="S745" s="482">
        <v>45720</v>
      </c>
      <c r="T745" t="s">
        <v>4943</v>
      </c>
      <c r="U745" s="141" t="s">
        <v>4950</v>
      </c>
      <c r="V745" s="141">
        <v>104153</v>
      </c>
      <c r="W745" s="141" t="s">
        <v>4951</v>
      </c>
      <c r="X745" t="s">
        <v>4952</v>
      </c>
      <c r="Y745" s="9" t="s">
        <v>4953</v>
      </c>
      <c r="Z745" t="s">
        <v>489</v>
      </c>
      <c r="AA745" t="s">
        <v>781</v>
      </c>
      <c r="AB745" t="s">
        <v>4275</v>
      </c>
      <c r="AC745" t="s">
        <v>3161</v>
      </c>
      <c r="AD745" s="193" t="s">
        <v>4954</v>
      </c>
    </row>
    <row r="746" spans="1:30" ht="101.5">
      <c r="A746" s="5" t="s">
        <v>545</v>
      </c>
      <c r="B746" s="46" t="s">
        <v>3118</v>
      </c>
      <c r="C746" s="3"/>
      <c r="D746" s="141" t="s">
        <v>4955</v>
      </c>
      <c r="E746" s="141" t="s">
        <v>4275</v>
      </c>
      <c r="F746" s="193" t="s">
        <v>4956</v>
      </c>
      <c r="G746" t="s">
        <v>1365</v>
      </c>
      <c r="H746" s="13" t="str">
        <f>IFERROR(VLOOKUP(G746, Sheet2!$A:$B, 2, FALSE), A746)</f>
        <v>AIRPORT AUTHORITY</v>
      </c>
      <c r="I746" s="58" t="s">
        <v>352</v>
      </c>
      <c r="J746" s="52" t="s">
        <v>655</v>
      </c>
      <c r="K746" s="77" t="s">
        <v>4957</v>
      </c>
      <c r="L746" s="120" t="s">
        <v>4958</v>
      </c>
      <c r="M746" s="348"/>
      <c r="N746" s="120"/>
      <c r="O746" s="142" t="s">
        <v>4959</v>
      </c>
      <c r="P746" s="120"/>
      <c r="Q746" s="482">
        <v>45727</v>
      </c>
      <c r="R746" s="482">
        <v>45721</v>
      </c>
      <c r="S746" s="482">
        <v>45722</v>
      </c>
      <c r="T746" t="s">
        <v>4960</v>
      </c>
      <c r="U746" s="141" t="s">
        <v>4961</v>
      </c>
      <c r="V746" s="141">
        <v>104159</v>
      </c>
      <c r="W746" s="141" t="s">
        <v>4962</v>
      </c>
      <c r="X746" t="s">
        <v>4963</v>
      </c>
      <c r="Y746" s="9" t="s">
        <v>4964</v>
      </c>
      <c r="Z746" t="s">
        <v>489</v>
      </c>
      <c r="AA746" t="s">
        <v>781</v>
      </c>
      <c r="AB746" t="s">
        <v>4275</v>
      </c>
      <c r="AC746" t="s">
        <v>3161</v>
      </c>
      <c r="AD746" s="193" t="s">
        <v>4965</v>
      </c>
    </row>
    <row r="747" spans="1:30" ht="87">
      <c r="A747" s="5" t="s">
        <v>545</v>
      </c>
      <c r="B747" s="46" t="s">
        <v>4455</v>
      </c>
      <c r="C747" s="3"/>
      <c r="D747" s="141" t="s">
        <v>4955</v>
      </c>
      <c r="E747" s="141" t="s">
        <v>4275</v>
      </c>
      <c r="F747" s="193" t="s">
        <v>4956</v>
      </c>
      <c r="G747" t="s">
        <v>1365</v>
      </c>
      <c r="H747" s="13" t="str">
        <f>IFERROR(VLOOKUP(G747, Sheet2!$A:$B, 2, FALSE), A747)</f>
        <v>AIRPORT AUTHORITY</v>
      </c>
      <c r="I747" s="58" t="s">
        <v>352</v>
      </c>
      <c r="J747" s="52" t="s">
        <v>655</v>
      </c>
      <c r="K747" s="77" t="s">
        <v>4957</v>
      </c>
      <c r="L747" s="120" t="s">
        <v>4966</v>
      </c>
      <c r="M747" s="348"/>
      <c r="N747" s="120"/>
      <c r="O747" s="142" t="s">
        <v>4959</v>
      </c>
      <c r="P747" s="120"/>
      <c r="Q747" s="482">
        <v>45729</v>
      </c>
      <c r="R747" s="482">
        <v>45726</v>
      </c>
      <c r="S747" s="482">
        <v>45726</v>
      </c>
      <c r="T747" t="s">
        <v>4960</v>
      </c>
      <c r="U747" s="141" t="s">
        <v>4967</v>
      </c>
      <c r="V747" s="141">
        <v>104159</v>
      </c>
      <c r="W747" s="141" t="s">
        <v>4968</v>
      </c>
      <c r="X747" t="s">
        <v>4969</v>
      </c>
      <c r="Y747" s="9" t="s">
        <v>4970</v>
      </c>
      <c r="Z747" t="s">
        <v>489</v>
      </c>
      <c r="AA747" t="s">
        <v>781</v>
      </c>
      <c r="AB747" t="s">
        <v>4275</v>
      </c>
      <c r="AC747" t="s">
        <v>3161</v>
      </c>
      <c r="AD747" s="193"/>
    </row>
    <row r="748" spans="1:30" ht="130.5">
      <c r="A748" s="5" t="s">
        <v>545</v>
      </c>
      <c r="B748" s="46" t="s">
        <v>3118</v>
      </c>
      <c r="C748" s="3"/>
      <c r="D748" s="141" t="s">
        <v>4928</v>
      </c>
      <c r="E748" s="141" t="s">
        <v>4929</v>
      </c>
      <c r="F748" s="193" t="s">
        <v>4930</v>
      </c>
      <c r="G748" s="10" t="s">
        <v>256</v>
      </c>
      <c r="H748" s="13" t="str">
        <f>IFERROR(VLOOKUP(G748, Sheet2!$A:$B, 2, FALSE), A748)</f>
        <v>DIGITAL POLICY OFFICE</v>
      </c>
      <c r="I748" s="58" t="s">
        <v>393</v>
      </c>
      <c r="J748" s="52"/>
      <c r="K748" s="52"/>
      <c r="L748" s="120"/>
      <c r="M748" s="348" t="s">
        <v>1113</v>
      </c>
      <c r="N748" s="120"/>
      <c r="O748" s="142" t="s">
        <v>4931</v>
      </c>
      <c r="P748" s="120"/>
      <c r="Q748" s="482">
        <v>45720</v>
      </c>
      <c r="R748" s="482">
        <v>45721</v>
      </c>
      <c r="S748" s="4">
        <v>45720</v>
      </c>
      <c r="T748" t="s">
        <v>4971</v>
      </c>
      <c r="U748" s="141" t="s">
        <v>4972</v>
      </c>
      <c r="V748" s="141">
        <v>104160</v>
      </c>
      <c r="W748" s="141" t="s">
        <v>4973</v>
      </c>
      <c r="X748" t="s">
        <v>4974</v>
      </c>
      <c r="Y748" s="9" t="s">
        <v>4975</v>
      </c>
      <c r="Z748" t="s">
        <v>4275</v>
      </c>
      <c r="AA748" t="s">
        <v>4275</v>
      </c>
      <c r="AB748" t="s">
        <v>4275</v>
      </c>
      <c r="AC748" t="s">
        <v>3161</v>
      </c>
      <c r="AD748" s="193" t="s">
        <v>4976</v>
      </c>
    </row>
    <row r="749" spans="1:30" ht="130.5">
      <c r="A749" s="5" t="s">
        <v>545</v>
      </c>
      <c r="B749" s="46" t="s">
        <v>3118</v>
      </c>
      <c r="C749" s="3"/>
      <c r="D749" s="141" t="s">
        <v>4938</v>
      </c>
      <c r="E749" s="141" t="s">
        <v>4939</v>
      </c>
      <c r="F749" s="193" t="s">
        <v>4940</v>
      </c>
      <c r="G749" t="s">
        <v>1365</v>
      </c>
      <c r="H749" s="13" t="str">
        <f>IFERROR(VLOOKUP(G749, Sheet2!$A:$B, 2, FALSE), A749)</f>
        <v>AIRPORT AUTHORITY</v>
      </c>
      <c r="I749" s="58" t="s">
        <v>352</v>
      </c>
      <c r="J749" s="52" t="s">
        <v>3961</v>
      </c>
      <c r="K749" s="77" t="s">
        <v>4977</v>
      </c>
      <c r="L749" s="142" t="s">
        <v>4978</v>
      </c>
      <c r="M749" s="348"/>
      <c r="N749" s="120"/>
      <c r="O749" s="142" t="s">
        <v>4727</v>
      </c>
      <c r="P749" s="120"/>
      <c r="Q749" s="482">
        <v>45728</v>
      </c>
      <c r="R749" s="482">
        <v>45722</v>
      </c>
      <c r="S749" s="4">
        <v>45723</v>
      </c>
      <c r="T749" t="s">
        <v>4979</v>
      </c>
      <c r="U749" s="141" t="s">
        <v>4980</v>
      </c>
      <c r="V749" s="141">
        <v>104167</v>
      </c>
      <c r="W749" s="141" t="s">
        <v>4981</v>
      </c>
      <c r="X749" t="s">
        <v>4982</v>
      </c>
      <c r="Y749" s="9" t="s">
        <v>4983</v>
      </c>
      <c r="Z749" t="s">
        <v>489</v>
      </c>
      <c r="AA749" t="s">
        <v>781</v>
      </c>
      <c r="AB749" t="s">
        <v>4275</v>
      </c>
      <c r="AC749" t="s">
        <v>3161</v>
      </c>
      <c r="AD749" s="193" t="s">
        <v>4984</v>
      </c>
    </row>
    <row r="750" spans="1:30" ht="130.5">
      <c r="A750" s="5" t="s">
        <v>545</v>
      </c>
      <c r="B750" s="46" t="s">
        <v>4455</v>
      </c>
      <c r="C750" s="3"/>
      <c r="D750" s="141" t="s">
        <v>4938</v>
      </c>
      <c r="E750" s="141" t="s">
        <v>4939</v>
      </c>
      <c r="F750" s="193" t="s">
        <v>4940</v>
      </c>
      <c r="G750" t="s">
        <v>1365</v>
      </c>
      <c r="H750" s="13" t="str">
        <f>IFERROR(VLOOKUP(G750, Sheet2!$A:$B, 2, FALSE), A750)</f>
        <v>AIRPORT AUTHORITY</v>
      </c>
      <c r="I750" s="58" t="s">
        <v>352</v>
      </c>
      <c r="J750" s="52" t="s">
        <v>3961</v>
      </c>
      <c r="K750" s="77" t="s">
        <v>4977</v>
      </c>
      <c r="L750" s="120" t="s">
        <v>4985</v>
      </c>
      <c r="M750" s="348"/>
      <c r="N750" s="120"/>
      <c r="O750" s="142" t="s">
        <v>4727</v>
      </c>
      <c r="P750" s="120"/>
      <c r="Q750" s="8">
        <v>45730</v>
      </c>
      <c r="R750" s="8">
        <v>45728</v>
      </c>
      <c r="S750" s="8">
        <v>45729</v>
      </c>
      <c r="T750" t="s">
        <v>4979</v>
      </c>
      <c r="U750" s="141" t="s">
        <v>4986</v>
      </c>
      <c r="V750" s="141">
        <v>104167</v>
      </c>
      <c r="W750" s="4" t="s">
        <v>4987</v>
      </c>
      <c r="X750" t="s">
        <v>4988</v>
      </c>
      <c r="Y750" s="9" t="s">
        <v>4989</v>
      </c>
      <c r="Z750" t="s">
        <v>489</v>
      </c>
      <c r="AA750" t="s">
        <v>781</v>
      </c>
      <c r="AB750" t="s">
        <v>4275</v>
      </c>
      <c r="AC750" t="s">
        <v>3161</v>
      </c>
      <c r="AD750" s="496" t="s">
        <v>4990</v>
      </c>
    </row>
    <row r="751" spans="1:30" ht="29">
      <c r="A751" s="5" t="s">
        <v>4131</v>
      </c>
      <c r="B751" s="46" t="s">
        <v>3118</v>
      </c>
      <c r="C751" s="3"/>
      <c r="D751" s="141"/>
      <c r="E751" s="141"/>
      <c r="F751" s="193"/>
      <c r="G751" t="s">
        <v>1365</v>
      </c>
      <c r="H751" s="13" t="str">
        <f>IFERROR(VLOOKUP(G751, Sheet2!$A:$B, 2, FALSE), A751)</f>
        <v>AIRPORT AUTHORITY</v>
      </c>
      <c r="I751" s="58" t="s">
        <v>352</v>
      </c>
      <c r="J751" s="52" t="s">
        <v>3961</v>
      </c>
      <c r="K751" s="448">
        <v>302263072918</v>
      </c>
      <c r="L751" s="120" t="s">
        <v>4991</v>
      </c>
      <c r="M751" s="348"/>
      <c r="N751" s="120"/>
      <c r="O751" s="142"/>
      <c r="P751" s="120"/>
      <c r="Q751" s="4" t="s">
        <v>997</v>
      </c>
      <c r="R751" s="4" t="s">
        <v>997</v>
      </c>
      <c r="S751" s="4" t="s">
        <v>997</v>
      </c>
      <c r="T751" s="4" t="s">
        <v>997</v>
      </c>
      <c r="U751" s="4" t="s">
        <v>997</v>
      </c>
      <c r="V751" s="4" t="s">
        <v>997</v>
      </c>
      <c r="W751" s="4" t="s">
        <v>997</v>
      </c>
      <c r="Y751" s="7" t="s">
        <v>4992</v>
      </c>
      <c r="AB751" t="s">
        <v>4275</v>
      </c>
      <c r="AC751" t="s">
        <v>3161</v>
      </c>
    </row>
    <row r="752" spans="1:30" ht="29">
      <c r="A752" s="5" t="s">
        <v>4131</v>
      </c>
      <c r="B752" s="46" t="s">
        <v>3118</v>
      </c>
      <c r="C752" s="3"/>
      <c r="D752" s="141"/>
      <c r="E752" s="141"/>
      <c r="F752" s="193"/>
      <c r="G752" t="s">
        <v>1365</v>
      </c>
      <c r="H752" s="13" t="str">
        <f>IFERROR(VLOOKUP(G752, Sheet2!$A:$B, 2, FALSE), A752)</f>
        <v>AIRPORT AUTHORITY</v>
      </c>
      <c r="I752" s="58" t="s">
        <v>352</v>
      </c>
      <c r="J752" s="52" t="s">
        <v>3961</v>
      </c>
      <c r="K752" s="448">
        <v>180294205138</v>
      </c>
      <c r="L752" s="120" t="s">
        <v>4993</v>
      </c>
      <c r="M752" s="348"/>
      <c r="N752" s="120"/>
      <c r="O752" s="142"/>
      <c r="P752" s="120"/>
      <c r="Q752" s="4" t="s">
        <v>997</v>
      </c>
      <c r="R752" s="4" t="s">
        <v>997</v>
      </c>
      <c r="S752" s="4" t="s">
        <v>997</v>
      </c>
      <c r="T752" s="4" t="s">
        <v>997</v>
      </c>
      <c r="U752" s="4" t="s">
        <v>997</v>
      </c>
      <c r="V752" s="4" t="s">
        <v>997</v>
      </c>
      <c r="W752" s="4" t="s">
        <v>997</v>
      </c>
      <c r="Y752" s="7" t="s">
        <v>4992</v>
      </c>
      <c r="AB752" t="s">
        <v>4275</v>
      </c>
      <c r="AC752" t="s">
        <v>3161</v>
      </c>
    </row>
    <row r="753" spans="1:30" ht="101.5">
      <c r="A753" s="5" t="s">
        <v>350</v>
      </c>
      <c r="B753" s="46" t="s">
        <v>933</v>
      </c>
      <c r="C753" s="3"/>
      <c r="D753" s="141" t="s">
        <v>4994</v>
      </c>
      <c r="E753" s="141">
        <v>28267768</v>
      </c>
      <c r="F753" s="193" t="s">
        <v>4995</v>
      </c>
      <c r="G753" t="s">
        <v>257</v>
      </c>
      <c r="H753" s="13" t="str">
        <f>IFERROR(VLOOKUP(G753, Sheet2!$A:$B, 2, FALSE), A753)</f>
        <v>Hip Hing Construction Company Limited</v>
      </c>
      <c r="I753" s="58" t="s">
        <v>352</v>
      </c>
      <c r="J753" s="497">
        <v>143426118095</v>
      </c>
      <c r="K753" s="448">
        <v>897722669509</v>
      </c>
      <c r="L753" s="120"/>
      <c r="M753" s="498" t="s">
        <v>4995</v>
      </c>
      <c r="N753" s="120"/>
      <c r="O753" s="142" t="s">
        <v>4996</v>
      </c>
      <c r="P753" s="120"/>
      <c r="Q753" s="4">
        <v>45727</v>
      </c>
      <c r="R753" s="4">
        <v>45726</v>
      </c>
      <c r="S753" s="4">
        <v>45727</v>
      </c>
      <c r="T753" s="4" t="s">
        <v>4997</v>
      </c>
      <c r="U753" s="4" t="s">
        <v>4998</v>
      </c>
      <c r="V753" s="58">
        <v>104169</v>
      </c>
      <c r="W753" s="4" t="s">
        <v>4999</v>
      </c>
      <c r="X753" t="s">
        <v>5000</v>
      </c>
      <c r="Y753" s="7" t="s">
        <v>5001</v>
      </c>
      <c r="Z753" t="s">
        <v>4275</v>
      </c>
      <c r="AA753" t="s">
        <v>4275</v>
      </c>
      <c r="AB753" t="s">
        <v>375</v>
      </c>
      <c r="AC753" t="s">
        <v>2680</v>
      </c>
      <c r="AD753" s="193" t="s">
        <v>5002</v>
      </c>
    </row>
    <row r="754" spans="1:30" ht="87">
      <c r="A754" s="5" t="s">
        <v>545</v>
      </c>
      <c r="B754" s="46" t="s">
        <v>933</v>
      </c>
      <c r="C754" s="3"/>
      <c r="D754" s="141" t="s">
        <v>4712</v>
      </c>
      <c r="E754" s="141" t="s">
        <v>5003</v>
      </c>
      <c r="F754" s="193" t="s">
        <v>4511</v>
      </c>
      <c r="G754" t="s">
        <v>175</v>
      </c>
      <c r="H754" s="13" t="str">
        <f>IFERROR(VLOOKUP(G754, Sheet2!$A:$B, 2, FALSE), A754)</f>
        <v>HOSPITAL AUTHORITY</v>
      </c>
      <c r="I754" s="58" t="s">
        <v>675</v>
      </c>
      <c r="J754" s="499"/>
      <c r="K754" s="448" t="s">
        <v>5004</v>
      </c>
      <c r="L754" s="120" t="s">
        <v>5005</v>
      </c>
      <c r="M754" s="498" t="s">
        <v>5006</v>
      </c>
      <c r="N754" s="120"/>
      <c r="O754" s="142" t="s">
        <v>5007</v>
      </c>
      <c r="P754" s="120" t="s">
        <v>5008</v>
      </c>
      <c r="Q754" s="4">
        <v>45778</v>
      </c>
      <c r="R754" s="4">
        <v>45728</v>
      </c>
      <c r="S754" s="4">
        <v>45778</v>
      </c>
      <c r="T754" s="4" t="s">
        <v>5009</v>
      </c>
      <c r="U754" s="4" t="s">
        <v>5010</v>
      </c>
      <c r="V754" s="58">
        <v>104251</v>
      </c>
      <c r="W754" s="4" t="s">
        <v>5011</v>
      </c>
      <c r="X754" t="s">
        <v>5012</v>
      </c>
      <c r="Y754" s="7" t="s">
        <v>5013</v>
      </c>
      <c r="Z754" t="s">
        <v>425</v>
      </c>
      <c r="AA754" t="s">
        <v>1072</v>
      </c>
      <c r="AB754" t="s">
        <v>4275</v>
      </c>
      <c r="AC754" t="s">
        <v>3161</v>
      </c>
      <c r="AD754" s="193" t="s">
        <v>5014</v>
      </c>
    </row>
    <row r="755" spans="1:30" ht="101.5">
      <c r="A755" s="5" t="s">
        <v>545</v>
      </c>
      <c r="B755" s="46" t="s">
        <v>933</v>
      </c>
      <c r="C755" s="3"/>
      <c r="D755" s="141" t="s">
        <v>5015</v>
      </c>
      <c r="E755" s="141" t="s">
        <v>5016</v>
      </c>
      <c r="F755" s="193" t="s">
        <v>5017</v>
      </c>
      <c r="G755" t="s">
        <v>1365</v>
      </c>
      <c r="H755" s="13" t="str">
        <f>IFERROR(VLOOKUP(G755, Sheet2!$A:$B, 2, FALSE), A755)</f>
        <v>AIRPORT AUTHORITY</v>
      </c>
      <c r="I755" t="s">
        <v>4205</v>
      </c>
      <c r="J755" s="499"/>
      <c r="K755" s="121"/>
      <c r="L755" s="142" t="s">
        <v>5018</v>
      </c>
      <c r="M755" s="498"/>
      <c r="N755" s="120"/>
      <c r="O755" s="142" t="s">
        <v>5019</v>
      </c>
      <c r="P755" s="120"/>
      <c r="Q755" s="4">
        <v>45733</v>
      </c>
      <c r="R755" s="4">
        <v>45363</v>
      </c>
      <c r="S755" s="4">
        <v>45729</v>
      </c>
      <c r="T755" s="4" t="s">
        <v>5020</v>
      </c>
      <c r="U755" s="4" t="s">
        <v>5021</v>
      </c>
      <c r="V755" s="58">
        <v>104173</v>
      </c>
      <c r="W755" s="4" t="s">
        <v>5022</v>
      </c>
      <c r="X755" t="s">
        <v>5023</v>
      </c>
      <c r="Y755" s="7" t="s">
        <v>5024</v>
      </c>
      <c r="Z755" t="s">
        <v>489</v>
      </c>
      <c r="AA755" t="s">
        <v>781</v>
      </c>
      <c r="AB755" t="s">
        <v>4275</v>
      </c>
      <c r="AC755" t="s">
        <v>3161</v>
      </c>
      <c r="AD755" s="193" t="s">
        <v>5025</v>
      </c>
    </row>
    <row r="756" spans="1:30" ht="87">
      <c r="A756" s="5" t="s">
        <v>545</v>
      </c>
      <c r="B756" s="46" t="s">
        <v>933</v>
      </c>
      <c r="C756" s="3"/>
      <c r="D756" s="141" t="s">
        <v>5015</v>
      </c>
      <c r="E756" s="141" t="s">
        <v>5016</v>
      </c>
      <c r="F756" s="193" t="s">
        <v>5017</v>
      </c>
      <c r="G756" t="s">
        <v>1365</v>
      </c>
      <c r="H756" s="13" t="str">
        <f>IFERROR(VLOOKUP(G756, Sheet2!$A:$B, 2, FALSE), A756)</f>
        <v>AIRPORT AUTHORITY</v>
      </c>
      <c r="I756" t="s">
        <v>4205</v>
      </c>
      <c r="J756" s="52"/>
      <c r="K756" s="52"/>
      <c r="L756" s="120" t="s">
        <v>5026</v>
      </c>
      <c r="M756" s="348"/>
      <c r="N756" s="120"/>
      <c r="O756" s="142" t="s">
        <v>5019</v>
      </c>
      <c r="P756" s="120"/>
      <c r="Q756" s="4">
        <v>45736</v>
      </c>
      <c r="R756" s="4">
        <v>45736</v>
      </c>
      <c r="S756" s="4">
        <v>45736</v>
      </c>
      <c r="T756" s="4" t="s">
        <v>5020</v>
      </c>
      <c r="U756" s="4" t="s">
        <v>5027</v>
      </c>
      <c r="V756" s="58">
        <v>104173</v>
      </c>
      <c r="W756" s="4" t="s">
        <v>5028</v>
      </c>
      <c r="X756" t="s">
        <v>5029</v>
      </c>
      <c r="Y756" s="9" t="s">
        <v>5030</v>
      </c>
      <c r="Z756" t="s">
        <v>489</v>
      </c>
      <c r="AA756" t="s">
        <v>781</v>
      </c>
      <c r="AB756" t="s">
        <v>4275</v>
      </c>
      <c r="AC756" t="s">
        <v>3161</v>
      </c>
      <c r="AD756" s="496" t="s">
        <v>5031</v>
      </c>
    </row>
    <row r="757" spans="1:30" ht="87">
      <c r="A757" s="5" t="s">
        <v>545</v>
      </c>
      <c r="B757" s="46" t="s">
        <v>5032</v>
      </c>
      <c r="C757" s="3"/>
      <c r="D757" s="141" t="s">
        <v>5033</v>
      </c>
      <c r="E757" s="141" t="s">
        <v>5034</v>
      </c>
      <c r="F757" s="496" t="s">
        <v>5035</v>
      </c>
      <c r="G757" t="s">
        <v>792</v>
      </c>
      <c r="H757" s="13" t="str">
        <f>IFERROR(VLOOKUP(G757, Sheet2!$A:$B, 2, FALSE), A757)</f>
        <v>FIRST ASIA MERCHANTS BULLION LIMITED</v>
      </c>
      <c r="I757" s="58" t="s">
        <v>3365</v>
      </c>
      <c r="J757" s="52"/>
      <c r="K757" s="52" t="s">
        <v>820</v>
      </c>
      <c r="L757" s="120"/>
      <c r="M757" s="348"/>
      <c r="N757" s="120"/>
      <c r="O757" s="142" t="s">
        <v>5036</v>
      </c>
      <c r="P757" s="120"/>
      <c r="Q757" s="8">
        <v>45758</v>
      </c>
      <c r="R757" s="8">
        <v>45728</v>
      </c>
      <c r="S757" s="4">
        <v>45758</v>
      </c>
      <c r="T757" s="4" t="s">
        <v>821</v>
      </c>
      <c r="U757" s="4" t="s">
        <v>5037</v>
      </c>
      <c r="V757" s="58" t="s">
        <v>4275</v>
      </c>
      <c r="W757" s="4" t="s">
        <v>5038</v>
      </c>
      <c r="X757" t="s">
        <v>5039</v>
      </c>
      <c r="Y757" s="9" t="s">
        <v>5040</v>
      </c>
      <c r="Z757" t="s">
        <v>4275</v>
      </c>
      <c r="AA757" t="s">
        <v>4275</v>
      </c>
      <c r="AB757" t="s">
        <v>4275</v>
      </c>
      <c r="AC757" t="s">
        <v>2784</v>
      </c>
      <c r="AD757" s="496" t="s">
        <v>5041</v>
      </c>
    </row>
    <row r="758" spans="1:30" ht="58">
      <c r="A758" s="5" t="s">
        <v>545</v>
      </c>
      <c r="B758" s="46" t="s">
        <v>4455</v>
      </c>
      <c r="C758" s="3"/>
      <c r="D758" s="141" t="s">
        <v>4275</v>
      </c>
      <c r="E758" s="141" t="s">
        <v>4275</v>
      </c>
      <c r="F758" s="496" t="s">
        <v>4275</v>
      </c>
      <c r="G758" t="s">
        <v>5042</v>
      </c>
      <c r="H758" s="13" t="str">
        <f>IFERROR(VLOOKUP(G758, Sheet2!$A:$B, 2, FALSE), A758)</f>
        <v>ITAK (INTERNATIONAL) LIMITED</v>
      </c>
      <c r="I758" s="58" t="s">
        <v>4205</v>
      </c>
      <c r="J758" s="52"/>
      <c r="K758" s="52"/>
      <c r="L758" s="120" t="s">
        <v>5043</v>
      </c>
      <c r="M758" s="348"/>
      <c r="N758" s="120"/>
      <c r="O758" s="142"/>
      <c r="P758" s="120"/>
      <c r="Q758" s="8">
        <v>45733</v>
      </c>
      <c r="R758" s="8">
        <v>45730</v>
      </c>
      <c r="S758" s="8">
        <v>45733</v>
      </c>
      <c r="T758" s="4" t="s">
        <v>478</v>
      </c>
      <c r="U758" s="4" t="s">
        <v>5044</v>
      </c>
      <c r="V758" s="58">
        <v>102354</v>
      </c>
      <c r="W758" s="4" t="s">
        <v>5045</v>
      </c>
      <c r="X758" t="s">
        <v>5046</v>
      </c>
      <c r="Y758" s="9" t="s">
        <v>5047</v>
      </c>
      <c r="Z758" t="s">
        <v>489</v>
      </c>
      <c r="AA758" t="s">
        <v>4275</v>
      </c>
      <c r="AB758" t="s">
        <v>4275</v>
      </c>
      <c r="AC758" t="s">
        <v>3161</v>
      </c>
      <c r="AD758" s="496" t="s">
        <v>5048</v>
      </c>
    </row>
    <row r="759" spans="1:30" ht="43.5">
      <c r="A759" s="5" t="s">
        <v>4131</v>
      </c>
      <c r="B759" s="46" t="s">
        <v>933</v>
      </c>
      <c r="C759" s="3"/>
      <c r="D759" s="141"/>
      <c r="E759" s="141"/>
      <c r="F759" s="496"/>
      <c r="G759" t="s">
        <v>1365</v>
      </c>
      <c r="H759" s="13" t="str">
        <f>IFERROR(VLOOKUP(G759, Sheet2!$A:$B, 2, FALSE), A759)</f>
        <v>AIRPORT AUTHORITY</v>
      </c>
      <c r="I759" s="58" t="s">
        <v>3365</v>
      </c>
      <c r="J759" s="52" t="s">
        <v>3961</v>
      </c>
      <c r="K759" s="52" t="s">
        <v>5049</v>
      </c>
      <c r="L759" s="120" t="s">
        <v>5050</v>
      </c>
      <c r="M759" s="348"/>
      <c r="N759" s="120"/>
      <c r="O759" s="142" t="s">
        <v>5019</v>
      </c>
      <c r="P759" s="120"/>
      <c r="Q759" s="4" t="s">
        <v>997</v>
      </c>
      <c r="R759" s="4" t="s">
        <v>997</v>
      </c>
      <c r="S759" s="4" t="s">
        <v>997</v>
      </c>
      <c r="T759" s="4" t="s">
        <v>997</v>
      </c>
      <c r="U759" s="4" t="s">
        <v>997</v>
      </c>
      <c r="V759" s="4" t="s">
        <v>997</v>
      </c>
      <c r="W759" s="4" t="s">
        <v>997</v>
      </c>
      <c r="X759" s="500"/>
      <c r="Y759" s="9" t="s">
        <v>5051</v>
      </c>
      <c r="AB759" t="s">
        <v>4275</v>
      </c>
      <c r="AC759" t="s">
        <v>3161</v>
      </c>
      <c r="AD759" s="496"/>
    </row>
    <row r="760" spans="1:30" ht="44">
      <c r="A760" s="5" t="s">
        <v>4131</v>
      </c>
      <c r="B760" s="46" t="s">
        <v>933</v>
      </c>
      <c r="C760" s="3"/>
      <c r="D760" s="141"/>
      <c r="E760" s="141"/>
      <c r="F760" s="496"/>
      <c r="G760" t="s">
        <v>1365</v>
      </c>
      <c r="H760" s="13" t="str">
        <f>IFERROR(VLOOKUP(G760, Sheet2!$A:$B, 2, FALSE), A760)</f>
        <v>AIRPORT AUTHORITY</v>
      </c>
      <c r="I760" s="58" t="s">
        <v>3365</v>
      </c>
      <c r="J760" s="52" t="s">
        <v>3961</v>
      </c>
      <c r="K760" s="52" t="s">
        <v>5052</v>
      </c>
      <c r="L760" s="501" t="s">
        <v>2893</v>
      </c>
      <c r="M760" s="348"/>
      <c r="N760" s="120"/>
      <c r="O760" s="142" t="s">
        <v>4727</v>
      </c>
      <c r="P760" s="120"/>
      <c r="Q760" s="4" t="s">
        <v>997</v>
      </c>
      <c r="R760" s="4" t="s">
        <v>997</v>
      </c>
      <c r="S760" s="4" t="s">
        <v>997</v>
      </c>
      <c r="T760" s="4" t="s">
        <v>997</v>
      </c>
      <c r="U760" s="4" t="s">
        <v>997</v>
      </c>
      <c r="V760" s="4" t="s">
        <v>997</v>
      </c>
      <c r="W760" s="4" t="s">
        <v>997</v>
      </c>
      <c r="X760" s="500"/>
      <c r="Y760" s="9" t="s">
        <v>5051</v>
      </c>
      <c r="AB760" t="s">
        <v>4275</v>
      </c>
      <c r="AC760" t="s">
        <v>3161</v>
      </c>
      <c r="AD760" s="496"/>
    </row>
    <row r="761" spans="1:30" ht="29.5">
      <c r="A761" s="5" t="s">
        <v>4131</v>
      </c>
      <c r="B761" s="46" t="s">
        <v>933</v>
      </c>
      <c r="C761" s="3"/>
      <c r="D761" s="141"/>
      <c r="E761" s="141"/>
      <c r="F761" s="496"/>
      <c r="G761" t="s">
        <v>259</v>
      </c>
      <c r="H761" s="13" t="str">
        <f>IFERROR(VLOOKUP(G761, Sheet2!$A:$B, 2, FALSE), A761)</f>
        <v>HKT BU PROJECT</v>
      </c>
      <c r="I761" s="58" t="s">
        <v>3365</v>
      </c>
      <c r="J761" s="52"/>
      <c r="K761" s="52" t="s">
        <v>5053</v>
      </c>
      <c r="L761" s="501" t="s">
        <v>5054</v>
      </c>
      <c r="M761" s="348"/>
      <c r="N761" s="120"/>
      <c r="O761" s="142"/>
      <c r="P761" s="120"/>
      <c r="Q761" s="4" t="s">
        <v>997</v>
      </c>
      <c r="R761" s="4" t="s">
        <v>997</v>
      </c>
      <c r="S761" s="4" t="s">
        <v>997</v>
      </c>
      <c r="T761" s="4" t="s">
        <v>997</v>
      </c>
      <c r="U761" s="4" t="s">
        <v>997</v>
      </c>
      <c r="V761" s="4" t="s">
        <v>997</v>
      </c>
      <c r="W761" s="4" t="s">
        <v>997</v>
      </c>
      <c r="Y761" s="9" t="s">
        <v>5055</v>
      </c>
      <c r="AB761" t="s">
        <v>4275</v>
      </c>
      <c r="AC761" t="s">
        <v>3161</v>
      </c>
      <c r="AD761" s="496"/>
    </row>
    <row r="762" spans="1:30" ht="29.5">
      <c r="A762" s="5" t="s">
        <v>4131</v>
      </c>
      <c r="B762" s="46" t="s">
        <v>933</v>
      </c>
      <c r="C762" s="3"/>
      <c r="D762" s="141"/>
      <c r="E762" s="141"/>
      <c r="F762" s="496"/>
      <c r="G762" t="s">
        <v>43</v>
      </c>
      <c r="H762" s="13" t="str">
        <f>IFERROR(VLOOKUP(G762, Sheet2!$A:$B, 2, FALSE), A762)</f>
        <v>CHOW TAI FOOK JEWELLERY CO LTD</v>
      </c>
      <c r="I762" s="58" t="s">
        <v>3365</v>
      </c>
      <c r="J762" s="52" t="s">
        <v>609</v>
      </c>
      <c r="K762" s="52" t="s">
        <v>5056</v>
      </c>
      <c r="L762" s="501" t="s">
        <v>5057</v>
      </c>
      <c r="M762" s="348"/>
      <c r="N762" s="120"/>
      <c r="O762" s="142" t="s">
        <v>618</v>
      </c>
      <c r="P762" s="120"/>
      <c r="Q762" s="4" t="s">
        <v>997</v>
      </c>
      <c r="R762" s="4" t="s">
        <v>997</v>
      </c>
      <c r="S762" s="4" t="s">
        <v>997</v>
      </c>
      <c r="T762" s="4" t="s">
        <v>997</v>
      </c>
      <c r="U762" s="4" t="s">
        <v>997</v>
      </c>
      <c r="V762" s="4" t="s">
        <v>997</v>
      </c>
      <c r="W762" s="4" t="s">
        <v>997</v>
      </c>
      <c r="Y762" s="9" t="s">
        <v>5058</v>
      </c>
      <c r="AB762" t="s">
        <v>4275</v>
      </c>
      <c r="AC762" t="s">
        <v>3161</v>
      </c>
      <c r="AD762" s="496"/>
    </row>
    <row r="763" spans="1:30" ht="87.5">
      <c r="A763" s="5" t="s">
        <v>545</v>
      </c>
      <c r="B763" s="46" t="s">
        <v>933</v>
      </c>
      <c r="C763" s="3"/>
      <c r="D763" s="141" t="s">
        <v>5059</v>
      </c>
      <c r="E763" s="141">
        <v>91229719</v>
      </c>
      <c r="F763" s="496" t="s">
        <v>5060</v>
      </c>
      <c r="G763" t="s">
        <v>261</v>
      </c>
      <c r="H763" s="13" t="str">
        <f>IFERROR(VLOOKUP(G763, Sheet2!$A:$B, 2, FALSE), A763)</f>
        <v>ORIX ASIA CAPITAL LIMITED</v>
      </c>
      <c r="I763" s="58" t="s">
        <v>4205</v>
      </c>
      <c r="J763" s="52"/>
      <c r="K763" s="52"/>
      <c r="L763" s="501"/>
      <c r="M763" s="348"/>
      <c r="N763" s="120"/>
      <c r="O763" s="142" t="s">
        <v>5061</v>
      </c>
      <c r="P763" s="142" t="s">
        <v>5062</v>
      </c>
      <c r="Q763" s="4">
        <v>45744</v>
      </c>
      <c r="R763" s="4">
        <v>45745</v>
      </c>
      <c r="S763" s="4">
        <v>45744</v>
      </c>
      <c r="T763" s="4" t="s">
        <v>5063</v>
      </c>
      <c r="U763" s="4" t="s">
        <v>5064</v>
      </c>
      <c r="V763" s="58">
        <v>104190</v>
      </c>
      <c r="W763" s="4" t="s">
        <v>5065</v>
      </c>
      <c r="X763" s="500" t="s">
        <v>5066</v>
      </c>
      <c r="Y763" s="9" t="s">
        <v>5067</v>
      </c>
      <c r="Z763" t="s">
        <v>4275</v>
      </c>
      <c r="AA763" t="s">
        <v>4275</v>
      </c>
      <c r="AC763" t="s">
        <v>2851</v>
      </c>
      <c r="AD763" s="496" t="s">
        <v>5068</v>
      </c>
    </row>
    <row r="764" spans="1:30" ht="116">
      <c r="A764" s="5" t="s">
        <v>545</v>
      </c>
      <c r="B764" s="46" t="s">
        <v>933</v>
      </c>
      <c r="C764" s="3"/>
      <c r="D764" s="141" t="s">
        <v>5069</v>
      </c>
      <c r="E764" s="141" t="s">
        <v>5070</v>
      </c>
      <c r="F764" s="496" t="s">
        <v>5071</v>
      </c>
      <c r="G764" t="s">
        <v>263</v>
      </c>
      <c r="H764" s="13" t="str">
        <f>IFERROR(VLOOKUP(G764, Sheet2!$A:$B, 2, FALSE), A764)</f>
        <v>HONG KONG CYBERPORT MANAGEMENT CO LTD</v>
      </c>
      <c r="I764" s="58" t="s">
        <v>3365</v>
      </c>
      <c r="J764" s="52"/>
      <c r="K764" s="52" t="s">
        <v>5072</v>
      </c>
      <c r="L764" s="120"/>
      <c r="M764" s="502" t="s">
        <v>5073</v>
      </c>
      <c r="N764" s="120"/>
      <c r="O764" s="142" t="s">
        <v>5074</v>
      </c>
      <c r="P764" s="120"/>
      <c r="Q764" s="8">
        <v>45747</v>
      </c>
      <c r="R764" s="4">
        <v>45745</v>
      </c>
      <c r="S764" s="8">
        <v>45747</v>
      </c>
      <c r="T764" s="4" t="s">
        <v>5075</v>
      </c>
      <c r="U764" s="4" t="s">
        <v>5076</v>
      </c>
      <c r="V764" s="58">
        <v>104192</v>
      </c>
      <c r="W764" s="4" t="s">
        <v>5077</v>
      </c>
      <c r="X764" s="503" t="s">
        <v>5078</v>
      </c>
      <c r="Y764" s="9" t="s">
        <v>5079</v>
      </c>
      <c r="Z764" t="s">
        <v>4275</v>
      </c>
      <c r="AA764" t="s">
        <v>4275</v>
      </c>
      <c r="AB764" t="s">
        <v>375</v>
      </c>
      <c r="AC764" t="s">
        <v>2680</v>
      </c>
      <c r="AD764" s="496" t="s">
        <v>5080</v>
      </c>
    </row>
    <row r="765" spans="1:30" ht="72.5">
      <c r="A765" s="5" t="s">
        <v>545</v>
      </c>
      <c r="B765" s="46" t="s">
        <v>933</v>
      </c>
      <c r="C765" s="3"/>
      <c r="D765" s="141" t="s">
        <v>5081</v>
      </c>
      <c r="E765" s="141" t="s">
        <v>5082</v>
      </c>
      <c r="F765" s="496" t="s">
        <v>5083</v>
      </c>
      <c r="G765" t="s">
        <v>265</v>
      </c>
      <c r="H765" s="13" t="str">
        <f>IFERROR(VLOOKUP(G765, Sheet2!$A:$B, 2, FALSE), A765)</f>
        <v>CLP POWER HONG KONG LIMITED</v>
      </c>
      <c r="I765" s="58" t="s">
        <v>3365</v>
      </c>
      <c r="J765" s="52"/>
      <c r="K765" s="52"/>
      <c r="L765" s="120" t="s">
        <v>5084</v>
      </c>
      <c r="M765" s="348"/>
      <c r="N765" s="120"/>
      <c r="O765" s="142" t="s">
        <v>5085</v>
      </c>
      <c r="P765" s="120"/>
      <c r="Q765" s="8">
        <v>45777</v>
      </c>
      <c r="R765" s="8">
        <v>45749</v>
      </c>
      <c r="S765" s="8">
        <v>45772</v>
      </c>
      <c r="T765" s="4" t="s">
        <v>5086</v>
      </c>
      <c r="U765" s="4" t="s">
        <v>5087</v>
      </c>
      <c r="V765" s="58">
        <v>104195</v>
      </c>
      <c r="W765" s="4" t="s">
        <v>5088</v>
      </c>
      <c r="X765" s="503" t="s">
        <v>5089</v>
      </c>
      <c r="Y765" s="9" t="s">
        <v>5090</v>
      </c>
      <c r="Z765" t="s">
        <v>489</v>
      </c>
      <c r="AA765" t="s">
        <v>781</v>
      </c>
      <c r="AB765" t="s">
        <v>4275</v>
      </c>
      <c r="AC765" t="s">
        <v>3161</v>
      </c>
      <c r="AD765" s="496" t="s">
        <v>5091</v>
      </c>
    </row>
    <row r="766" spans="1:30" ht="58">
      <c r="A766" s="5" t="s">
        <v>545</v>
      </c>
      <c r="B766" s="46" t="s">
        <v>933</v>
      </c>
      <c r="C766" s="3"/>
      <c r="D766" s="141" t="s">
        <v>5092</v>
      </c>
      <c r="E766" s="141" t="s">
        <v>5093</v>
      </c>
      <c r="F766" s="496" t="s">
        <v>5094</v>
      </c>
      <c r="G766" t="s">
        <v>116</v>
      </c>
      <c r="H766" s="13" t="str">
        <f>IFERROR(VLOOKUP(G766, Sheet2!$A:$B, 2, FALSE), A766)</f>
        <v>TASTE OF ASIA GROUP LTD</v>
      </c>
      <c r="I766" s="58" t="s">
        <v>393</v>
      </c>
      <c r="J766" s="52"/>
      <c r="K766" s="52"/>
      <c r="L766" s="120" t="s">
        <v>5095</v>
      </c>
      <c r="M766" s="504" t="s">
        <v>5096</v>
      </c>
      <c r="N766" s="120"/>
      <c r="O766" s="142" t="s">
        <v>5097</v>
      </c>
      <c r="P766" s="142" t="s">
        <v>5098</v>
      </c>
      <c r="Q766" s="8">
        <v>45761</v>
      </c>
      <c r="R766" s="8">
        <v>45756</v>
      </c>
      <c r="S766" s="8">
        <v>45757</v>
      </c>
      <c r="T766" s="4" t="s">
        <v>5099</v>
      </c>
      <c r="U766" s="4" t="s">
        <v>5100</v>
      </c>
      <c r="V766" s="58">
        <v>104201</v>
      </c>
      <c r="W766" s="4" t="s">
        <v>5101</v>
      </c>
      <c r="X766" s="503" t="s">
        <v>5102</v>
      </c>
      <c r="Y766" s="9" t="s">
        <v>5103</v>
      </c>
      <c r="Z766" t="s">
        <v>4275</v>
      </c>
      <c r="AA766" t="s">
        <v>4275</v>
      </c>
      <c r="AB766" t="s">
        <v>4275</v>
      </c>
      <c r="AC766" t="s">
        <v>3161</v>
      </c>
      <c r="AD766" s="496" t="s">
        <v>5104</v>
      </c>
    </row>
    <row r="767" spans="1:30" ht="72.5">
      <c r="A767" s="5" t="s">
        <v>545</v>
      </c>
      <c r="B767" s="46" t="s">
        <v>933</v>
      </c>
      <c r="C767" s="3"/>
      <c r="D767" s="141" t="s">
        <v>3597</v>
      </c>
      <c r="E767" s="141">
        <v>28838687</v>
      </c>
      <c r="F767" s="496" t="s">
        <v>5105</v>
      </c>
      <c r="G767" t="s">
        <v>5106</v>
      </c>
      <c r="H767" s="13" t="str">
        <f>IFERROR(VLOOKUP(G767, Sheet2!$A:$B, 2, FALSE), A767)</f>
        <v>MIB_POC_HKT</v>
      </c>
      <c r="I767" s="58" t="s">
        <v>5107</v>
      </c>
      <c r="J767" s="52"/>
      <c r="K767" s="52" t="s">
        <v>5108</v>
      </c>
      <c r="L767" s="120" t="s">
        <v>5109</v>
      </c>
      <c r="M767" s="504" t="s">
        <v>5105</v>
      </c>
      <c r="N767" s="120"/>
      <c r="O767" s="142" t="s">
        <v>5110</v>
      </c>
      <c r="P767" s="142"/>
      <c r="Q767" s="8">
        <v>45762</v>
      </c>
      <c r="R767" s="8">
        <v>45761</v>
      </c>
      <c r="S767" s="8">
        <v>45761</v>
      </c>
      <c r="T767" s="4" t="s">
        <v>5111</v>
      </c>
      <c r="U767" s="4" t="s">
        <v>5112</v>
      </c>
      <c r="V767" s="58">
        <v>104209</v>
      </c>
      <c r="W767" s="4" t="s">
        <v>5113</v>
      </c>
      <c r="X767" s="503" t="s">
        <v>5114</v>
      </c>
      <c r="Y767" s="9" t="s">
        <v>5115</v>
      </c>
      <c r="Z767" t="s">
        <v>4275</v>
      </c>
      <c r="AA767" t="s">
        <v>4275</v>
      </c>
      <c r="AB767" t="s">
        <v>375</v>
      </c>
      <c r="AC767" t="s">
        <v>3161</v>
      </c>
      <c r="AD767" s="496" t="s">
        <v>5116</v>
      </c>
    </row>
    <row r="768" spans="1:30" ht="116">
      <c r="A768" s="5" t="s">
        <v>545</v>
      </c>
      <c r="B768" s="46" t="s">
        <v>933</v>
      </c>
      <c r="C768" s="3"/>
      <c r="D768" s="141" t="s">
        <v>5117</v>
      </c>
      <c r="E768" s="141">
        <v>21210039</v>
      </c>
      <c r="F768" s="496" t="s">
        <v>5118</v>
      </c>
      <c r="G768" t="s">
        <v>267</v>
      </c>
      <c r="H768" s="13" t="str">
        <f>IFERROR(VLOOKUP(G768, Sheet2!$A:$B, 2, FALSE), A768)</f>
        <v>COMMERCE-CONNECTIONS ASIA LTD</v>
      </c>
      <c r="I768" s="58" t="s">
        <v>5107</v>
      </c>
      <c r="J768" s="52"/>
      <c r="K768" s="52" t="s">
        <v>5119</v>
      </c>
      <c r="L768" s="120"/>
      <c r="M768" s="502" t="s">
        <v>5120</v>
      </c>
      <c r="N768" s="120"/>
      <c r="O768" s="142" t="s">
        <v>5121</v>
      </c>
      <c r="P768" s="120"/>
      <c r="Q768" s="8">
        <v>45772</v>
      </c>
      <c r="R768" s="8">
        <v>45764</v>
      </c>
      <c r="S768" s="8">
        <v>45772</v>
      </c>
      <c r="T768" s="4" t="s">
        <v>5122</v>
      </c>
      <c r="U768" s="4" t="s">
        <v>5123</v>
      </c>
      <c r="V768" s="58">
        <v>104212</v>
      </c>
      <c r="W768" s="4" t="s">
        <v>5124</v>
      </c>
      <c r="X768" s="505" t="s">
        <v>5125</v>
      </c>
      <c r="Y768" s="9" t="s">
        <v>5126</v>
      </c>
      <c r="Z768" t="s">
        <v>4275</v>
      </c>
      <c r="AA768" t="s">
        <v>4275</v>
      </c>
      <c r="AB768" t="s">
        <v>375</v>
      </c>
      <c r="AC768" t="s">
        <v>2784</v>
      </c>
      <c r="AD768" s="496" t="s">
        <v>5127</v>
      </c>
    </row>
    <row r="769" spans="1:30" ht="101.5">
      <c r="A769" s="5" t="s">
        <v>730</v>
      </c>
      <c r="B769" s="46" t="s">
        <v>933</v>
      </c>
      <c r="C769" s="3"/>
      <c r="D769" s="141" t="s">
        <v>5015</v>
      </c>
      <c r="E769" s="141" t="s">
        <v>5016</v>
      </c>
      <c r="F769" s="496" t="s">
        <v>5017</v>
      </c>
      <c r="G769" t="s">
        <v>1365</v>
      </c>
      <c r="H769" s="13" t="str">
        <f>IFERROR(VLOOKUP(G769, Sheet2!$A:$B, 2, FALSE), A769)</f>
        <v>AIRPORT AUTHORITY</v>
      </c>
      <c r="I769" s="58" t="s">
        <v>4205</v>
      </c>
      <c r="J769" s="52"/>
      <c r="K769" s="52"/>
      <c r="L769" s="142" t="s">
        <v>5128</v>
      </c>
      <c r="M769" s="348"/>
      <c r="N769" s="120"/>
      <c r="O769" s="142" t="s">
        <v>4727</v>
      </c>
      <c r="P769" s="120"/>
      <c r="Q769" s="8">
        <v>45772</v>
      </c>
      <c r="R769" s="8">
        <v>45764</v>
      </c>
      <c r="S769" s="8">
        <v>45769</v>
      </c>
      <c r="T769" s="4" t="s">
        <v>5129</v>
      </c>
      <c r="U769" s="4" t="s">
        <v>5130</v>
      </c>
      <c r="V769" s="58">
        <v>104216</v>
      </c>
      <c r="W769" s="4" t="s">
        <v>5131</v>
      </c>
      <c r="X769" s="503" t="s">
        <v>5132</v>
      </c>
      <c r="Y769" s="9" t="s">
        <v>5133</v>
      </c>
      <c r="Z769" t="s">
        <v>489</v>
      </c>
      <c r="AA769" t="s">
        <v>781</v>
      </c>
      <c r="AB769" t="s">
        <v>4275</v>
      </c>
      <c r="AC769" t="s">
        <v>3161</v>
      </c>
      <c r="AD769" s="496" t="s">
        <v>5134</v>
      </c>
    </row>
    <row r="770" spans="1:30" ht="87">
      <c r="A770" s="5" t="s">
        <v>545</v>
      </c>
      <c r="B770" s="46" t="s">
        <v>4455</v>
      </c>
      <c r="C770" s="3"/>
      <c r="D770" s="141" t="s">
        <v>5015</v>
      </c>
      <c r="E770" s="141" t="s">
        <v>5016</v>
      </c>
      <c r="F770" s="496" t="s">
        <v>5017</v>
      </c>
      <c r="G770" t="s">
        <v>1365</v>
      </c>
      <c r="H770" s="13" t="str">
        <f>IFERROR(VLOOKUP(G770, Sheet2!$A:$B, 2, FALSE), A770)</f>
        <v>AIRPORT AUTHORITY</v>
      </c>
      <c r="I770" s="58" t="s">
        <v>4205</v>
      </c>
      <c r="J770" s="52"/>
      <c r="K770" s="52"/>
      <c r="L770" s="120" t="s">
        <v>5135</v>
      </c>
      <c r="M770" s="348"/>
      <c r="N770" s="120"/>
      <c r="O770" s="142" t="s">
        <v>4727</v>
      </c>
      <c r="P770" s="120"/>
      <c r="Q770" s="8">
        <v>45772</v>
      </c>
      <c r="R770" s="8">
        <v>45772</v>
      </c>
      <c r="S770" s="8">
        <v>45772</v>
      </c>
      <c r="T770" s="4" t="s">
        <v>5129</v>
      </c>
      <c r="U770" s="4" t="s">
        <v>5136</v>
      </c>
      <c r="V770" s="58">
        <v>104216</v>
      </c>
      <c r="W770" s="4" t="s">
        <v>5137</v>
      </c>
      <c r="X770" s="503" t="s">
        <v>5138</v>
      </c>
      <c r="Y770" s="9" t="s">
        <v>5139</v>
      </c>
      <c r="Z770" t="s">
        <v>489</v>
      </c>
      <c r="AA770" t="s">
        <v>781</v>
      </c>
      <c r="AB770" t="s">
        <v>4275</v>
      </c>
      <c r="AC770" t="s">
        <v>3161</v>
      </c>
      <c r="AD770" s="496" t="s">
        <v>5140</v>
      </c>
    </row>
    <row r="771" spans="1:30" ht="72.5">
      <c r="A771" s="5" t="s">
        <v>545</v>
      </c>
      <c r="B771" s="46" t="s">
        <v>4455</v>
      </c>
      <c r="C771" s="3"/>
      <c r="D771" s="141" t="s">
        <v>4809</v>
      </c>
      <c r="E771" s="141" t="s">
        <v>4810</v>
      </c>
      <c r="F771" s="496" t="s">
        <v>4811</v>
      </c>
      <c r="G771" t="s">
        <v>1365</v>
      </c>
      <c r="H771" s="13" t="str">
        <f>IFERROR(VLOOKUP(G771, Sheet2!$A:$B, 2, FALSE), A771)</f>
        <v>AIRPORT AUTHORITY</v>
      </c>
      <c r="I771" s="58" t="s">
        <v>4205</v>
      </c>
      <c r="J771" s="52"/>
      <c r="K771" s="52"/>
      <c r="L771" s="142" t="s">
        <v>4813</v>
      </c>
      <c r="M771" s="348"/>
      <c r="N771" s="120"/>
      <c r="O771" s="142" t="s">
        <v>4727</v>
      </c>
      <c r="P771" s="120"/>
      <c r="Q771" s="8">
        <v>45772</v>
      </c>
      <c r="R771" s="8">
        <v>45764</v>
      </c>
      <c r="S771" s="8"/>
      <c r="T771" s="4" t="s">
        <v>4300</v>
      </c>
      <c r="U771" s="4" t="s">
        <v>5141</v>
      </c>
      <c r="V771" s="58">
        <v>104000</v>
      </c>
      <c r="W771" s="4" t="s">
        <v>5142</v>
      </c>
      <c r="X771" s="503" t="s">
        <v>5143</v>
      </c>
      <c r="Y771" s="9" t="s">
        <v>5144</v>
      </c>
      <c r="Z771" t="s">
        <v>489</v>
      </c>
      <c r="AA771" t="s">
        <v>4275</v>
      </c>
      <c r="AB771" t="s">
        <v>4275</v>
      </c>
      <c r="AC771" t="s">
        <v>3161</v>
      </c>
      <c r="AD771" s="496" t="s">
        <v>5145</v>
      </c>
    </row>
    <row r="772" spans="1:30" ht="58">
      <c r="A772" s="5" t="s">
        <v>545</v>
      </c>
      <c r="B772" s="46" t="s">
        <v>933</v>
      </c>
      <c r="C772" s="3"/>
      <c r="D772" s="141" t="s">
        <v>3597</v>
      </c>
      <c r="E772" s="141" t="s">
        <v>5146</v>
      </c>
      <c r="F772" s="496" t="s">
        <v>5147</v>
      </c>
      <c r="G772" s="10" t="s">
        <v>5106</v>
      </c>
      <c r="H772" s="13" t="str">
        <f>IFERROR(VLOOKUP(G772, Sheet2!$A:$B, 2, FALSE), A772)</f>
        <v>MIB_POC_HKT</v>
      </c>
      <c r="I772" s="58" t="s">
        <v>2836</v>
      </c>
      <c r="J772" s="52"/>
      <c r="K772" s="52"/>
      <c r="L772" s="120"/>
      <c r="M772" s="348"/>
      <c r="N772" s="120"/>
      <c r="O772" s="142"/>
      <c r="P772" s="120"/>
      <c r="Q772" s="8">
        <v>45772</v>
      </c>
      <c r="R772" s="8">
        <v>45764</v>
      </c>
      <c r="S772" s="4">
        <v>45771</v>
      </c>
      <c r="T772" s="4" t="s">
        <v>5148</v>
      </c>
      <c r="U772" s="4" t="s">
        <v>5149</v>
      </c>
      <c r="V772" s="58">
        <v>104213</v>
      </c>
      <c r="W772" s="4" t="s">
        <v>5150</v>
      </c>
      <c r="X772" s="503" t="s">
        <v>5151</v>
      </c>
      <c r="Y772" s="9" t="s">
        <v>5152</v>
      </c>
      <c r="Z772" t="s">
        <v>4275</v>
      </c>
      <c r="AA772" t="s">
        <v>4275</v>
      </c>
      <c r="AB772" t="s">
        <v>4275</v>
      </c>
      <c r="AC772" t="s">
        <v>3161</v>
      </c>
      <c r="AD772" s="496" t="s">
        <v>5153</v>
      </c>
    </row>
    <row r="773" spans="1:30" ht="145">
      <c r="A773" s="5" t="s">
        <v>545</v>
      </c>
      <c r="B773" s="46" t="s">
        <v>3118</v>
      </c>
      <c r="C773" s="3"/>
      <c r="D773" s="141" t="s">
        <v>4416</v>
      </c>
      <c r="E773" s="141" t="s">
        <v>5003</v>
      </c>
      <c r="F773" s="496" t="s">
        <v>4511</v>
      </c>
      <c r="G773" s="10" t="s">
        <v>175</v>
      </c>
      <c r="H773" s="13" t="str">
        <f>IFERROR(VLOOKUP(G773, Sheet2!$A:$B, 2, FALSE), A773)</f>
        <v>HOSPITAL AUTHORITY</v>
      </c>
      <c r="I773" s="58" t="s">
        <v>2836</v>
      </c>
      <c r="J773" s="52"/>
      <c r="K773" s="52" t="s">
        <v>5154</v>
      </c>
      <c r="L773" s="120" t="s">
        <v>5155</v>
      </c>
      <c r="M773" s="504" t="s">
        <v>5156</v>
      </c>
      <c r="N773" s="120"/>
      <c r="O773" s="142" t="s">
        <v>5157</v>
      </c>
      <c r="P773" s="120" t="s">
        <v>5158</v>
      </c>
      <c r="Q773" s="8">
        <v>45778</v>
      </c>
      <c r="R773" s="8">
        <v>45796</v>
      </c>
      <c r="S773" s="8">
        <v>45778</v>
      </c>
      <c r="T773" s="4" t="s">
        <v>5159</v>
      </c>
      <c r="U773" s="4" t="s">
        <v>5160</v>
      </c>
      <c r="V773" s="58">
        <v>104250</v>
      </c>
      <c r="W773" s="4" t="s">
        <v>5011</v>
      </c>
      <c r="X773" s="503" t="s">
        <v>5161</v>
      </c>
      <c r="Y773" s="9" t="s">
        <v>5162</v>
      </c>
      <c r="Z773" t="s">
        <v>4275</v>
      </c>
      <c r="AA773" t="s">
        <v>1072</v>
      </c>
      <c r="AB773" t="s">
        <v>4275</v>
      </c>
      <c r="AC773" t="s">
        <v>3161</v>
      </c>
      <c r="AD773" s="496" t="s">
        <v>5014</v>
      </c>
    </row>
    <row r="774" spans="1:30" ht="101.5">
      <c r="A774" s="5" t="s">
        <v>545</v>
      </c>
      <c r="B774" s="46" t="s">
        <v>3118</v>
      </c>
      <c r="C774" s="3"/>
      <c r="D774" s="141" t="s">
        <v>5163</v>
      </c>
      <c r="E774" s="141" t="s">
        <v>5164</v>
      </c>
      <c r="F774" s="496" t="s">
        <v>5165</v>
      </c>
      <c r="G774" s="10" t="s">
        <v>1365</v>
      </c>
      <c r="H774" s="13" t="str">
        <f>IFERROR(VLOOKUP(G774, Sheet2!$A:$B, 2, FALSE), A774)</f>
        <v>AIRPORT AUTHORITY</v>
      </c>
      <c r="I774" s="58" t="s">
        <v>4205</v>
      </c>
      <c r="J774" s="52"/>
      <c r="K774" s="52"/>
      <c r="L774" s="142" t="s">
        <v>5166</v>
      </c>
      <c r="M774" s="348"/>
      <c r="N774" s="120"/>
      <c r="O774" s="142" t="s">
        <v>4727</v>
      </c>
      <c r="P774" s="120"/>
      <c r="Q774" s="8">
        <v>45775</v>
      </c>
      <c r="R774" s="8">
        <v>45772</v>
      </c>
      <c r="S774" s="8">
        <v>45772</v>
      </c>
      <c r="T774" s="4" t="s">
        <v>5167</v>
      </c>
      <c r="U774" s="4" t="s">
        <v>5168</v>
      </c>
      <c r="V774" s="58">
        <v>104222</v>
      </c>
      <c r="W774" s="4" t="s">
        <v>5169</v>
      </c>
      <c r="X774" s="503" t="s">
        <v>5170</v>
      </c>
      <c r="Y774" s="9" t="s">
        <v>5171</v>
      </c>
      <c r="Z774" t="s">
        <v>489</v>
      </c>
      <c r="AA774" t="s">
        <v>781</v>
      </c>
      <c r="AB774" t="s">
        <v>4275</v>
      </c>
      <c r="AC774" t="s">
        <v>3161</v>
      </c>
      <c r="AD774" s="496" t="s">
        <v>5172</v>
      </c>
    </row>
    <row r="775" spans="1:30" ht="87">
      <c r="A775" s="5" t="s">
        <v>545</v>
      </c>
      <c r="B775" s="46" t="s">
        <v>4455</v>
      </c>
      <c r="C775" s="3"/>
      <c r="D775" s="141" t="s">
        <v>5173</v>
      </c>
      <c r="E775" s="141" t="s">
        <v>5174</v>
      </c>
      <c r="F775" s="496" t="s">
        <v>5175</v>
      </c>
      <c r="G775" s="10" t="s">
        <v>1365</v>
      </c>
      <c r="H775" s="13" t="str">
        <f>IFERROR(VLOOKUP(G775, Sheet2!$A:$B, 2, FALSE), A775)</f>
        <v>AIRPORT AUTHORITY</v>
      </c>
      <c r="I775" s="58" t="s">
        <v>4205</v>
      </c>
      <c r="J775" s="52"/>
      <c r="K775" s="52"/>
      <c r="L775" s="120" t="s">
        <v>5176</v>
      </c>
      <c r="M775" s="348"/>
      <c r="N775" s="120"/>
      <c r="O775" s="142" t="s">
        <v>5019</v>
      </c>
      <c r="P775" s="120"/>
      <c r="Q775" s="4">
        <v>45783</v>
      </c>
      <c r="R775" s="8">
        <v>45785</v>
      </c>
      <c r="S775" s="4">
        <v>45783</v>
      </c>
      <c r="T775" s="4" t="s">
        <v>5177</v>
      </c>
      <c r="U775" s="4" t="s">
        <v>5178</v>
      </c>
      <c r="V775" s="58">
        <v>104222</v>
      </c>
      <c r="W775" s="4" t="s">
        <v>5179</v>
      </c>
      <c r="X775" s="505" t="s">
        <v>5180</v>
      </c>
      <c r="Y775" s="9" t="s">
        <v>5181</v>
      </c>
      <c r="Z775" t="s">
        <v>886</v>
      </c>
      <c r="AA775" t="s">
        <v>1079</v>
      </c>
      <c r="AB775" t="s">
        <v>1248</v>
      </c>
      <c r="AC775" t="s">
        <v>1249</v>
      </c>
      <c r="AD775" s="496" t="s">
        <v>5182</v>
      </c>
    </row>
    <row r="776" spans="1:30" ht="159.5">
      <c r="A776" s="5" t="s">
        <v>350</v>
      </c>
      <c r="B776" s="46" t="s">
        <v>933</v>
      </c>
      <c r="C776" s="3"/>
      <c r="D776" s="141" t="s">
        <v>5183</v>
      </c>
      <c r="E776" s="141" t="s">
        <v>5184</v>
      </c>
      <c r="F776" s="496" t="s">
        <v>5185</v>
      </c>
      <c r="G776" s="10" t="s">
        <v>269</v>
      </c>
      <c r="H776" s="13" t="str">
        <f>IFERROR(VLOOKUP(G776, Sheet2!$A:$B, 2, FALSE), A776)</f>
        <v>CONSUMER COUNCIL</v>
      </c>
      <c r="I776" s="58" t="s">
        <v>3365</v>
      </c>
      <c r="J776" s="52"/>
      <c r="K776" s="52" t="s">
        <v>5186</v>
      </c>
      <c r="L776" s="120"/>
      <c r="M776" s="504" t="s">
        <v>5187</v>
      </c>
      <c r="N776" s="120"/>
      <c r="O776" s="142" t="s">
        <v>5188</v>
      </c>
      <c r="P776" s="120"/>
      <c r="Q776" s="8">
        <v>45779</v>
      </c>
      <c r="R776" s="8">
        <v>45775</v>
      </c>
      <c r="S776" s="8">
        <v>45779</v>
      </c>
      <c r="T776" s="4" t="s">
        <v>5189</v>
      </c>
      <c r="U776" s="4" t="s">
        <v>5190</v>
      </c>
      <c r="V776" s="58">
        <v>104226</v>
      </c>
      <c r="W776" s="4" t="s">
        <v>5191</v>
      </c>
      <c r="X776" s="505" t="s">
        <v>5192</v>
      </c>
      <c r="Y776" s="9" t="s">
        <v>5193</v>
      </c>
      <c r="Z776" t="s">
        <v>4275</v>
      </c>
      <c r="AA776" t="s">
        <v>781</v>
      </c>
      <c r="AB776" t="s">
        <v>375</v>
      </c>
      <c r="AC776" t="s">
        <v>1249</v>
      </c>
      <c r="AD776" s="496" t="s">
        <v>5194</v>
      </c>
    </row>
    <row r="777" spans="1:30" ht="159.5">
      <c r="A777" s="5" t="s">
        <v>350</v>
      </c>
      <c r="B777" s="46" t="s">
        <v>933</v>
      </c>
      <c r="C777" s="3"/>
      <c r="D777" s="141" t="s">
        <v>5183</v>
      </c>
      <c r="E777" s="141" t="s">
        <v>5184</v>
      </c>
      <c r="F777" s="496" t="s">
        <v>5195</v>
      </c>
      <c r="G777" s="10" t="s">
        <v>269</v>
      </c>
      <c r="H777" s="13" t="str">
        <f>IFERROR(VLOOKUP(G777, Sheet2!$A:$B, 2, FALSE), A777)</f>
        <v>CONSUMER COUNCIL</v>
      </c>
      <c r="I777" s="58" t="s">
        <v>3365</v>
      </c>
      <c r="J777" s="52" t="s">
        <v>4142</v>
      </c>
      <c r="K777" s="52" t="s">
        <v>5196</v>
      </c>
      <c r="L777" s="120" t="s">
        <v>5197</v>
      </c>
      <c r="M777" s="504" t="s">
        <v>5198</v>
      </c>
      <c r="N777" s="120"/>
      <c r="O777" s="142" t="s">
        <v>5188</v>
      </c>
      <c r="P777" s="120"/>
      <c r="Q777" s="8">
        <v>45779</v>
      </c>
      <c r="R777" s="8">
        <v>45775</v>
      </c>
      <c r="S777" s="8">
        <v>45779</v>
      </c>
      <c r="T777" s="4" t="s">
        <v>5199</v>
      </c>
      <c r="U777" s="4" t="s">
        <v>5200</v>
      </c>
      <c r="V777" s="58">
        <v>104225</v>
      </c>
      <c r="W777" s="4" t="s">
        <v>5201</v>
      </c>
      <c r="X777" s="505" t="s">
        <v>5192</v>
      </c>
      <c r="Y777" s="9" t="s">
        <v>5202</v>
      </c>
      <c r="Z777" t="s">
        <v>4275</v>
      </c>
      <c r="AA777" t="s">
        <v>781</v>
      </c>
      <c r="AB777" t="s">
        <v>375</v>
      </c>
      <c r="AC777" t="s">
        <v>1249</v>
      </c>
      <c r="AD777" s="496" t="s">
        <v>5203</v>
      </c>
    </row>
    <row r="778" spans="1:30" ht="87">
      <c r="A778" s="5" t="s">
        <v>545</v>
      </c>
      <c r="B778" s="46" t="s">
        <v>933</v>
      </c>
      <c r="C778" s="3"/>
      <c r="D778" s="141" t="s">
        <v>5204</v>
      </c>
      <c r="E778" s="141">
        <v>28838687</v>
      </c>
      <c r="F778" s="193" t="s">
        <v>5205</v>
      </c>
      <c r="G778" t="s">
        <v>270</v>
      </c>
      <c r="H778" s="13" t="str">
        <f>IFERROR(VLOOKUP(G778, Sheet2!$A:$B, 2, FALSE), A778)</f>
        <v>CAM 8_HKT POC_ FANO</v>
      </c>
      <c r="I778" s="393" t="s">
        <v>675</v>
      </c>
      <c r="J778" s="52"/>
      <c r="K778" s="448" t="s">
        <v>5206</v>
      </c>
      <c r="L778" s="120"/>
      <c r="M778" s="502" t="s">
        <v>5207</v>
      </c>
      <c r="N778" s="120"/>
      <c r="O778" s="142"/>
      <c r="P778" s="120"/>
      <c r="Q778" s="4">
        <v>45787</v>
      </c>
      <c r="R778" s="4">
        <v>45785</v>
      </c>
      <c r="S778" s="4">
        <v>45785</v>
      </c>
      <c r="T778" s="4" t="s">
        <v>5208</v>
      </c>
      <c r="U778" s="4" t="s">
        <v>5209</v>
      </c>
      <c r="V778" s="58">
        <v>104233</v>
      </c>
      <c r="W778" s="4" t="s">
        <v>5210</v>
      </c>
      <c r="X778" t="s">
        <v>5211</v>
      </c>
      <c r="Y778" s="9" t="s">
        <v>5212</v>
      </c>
      <c r="Z778" t="s">
        <v>4275</v>
      </c>
      <c r="AA778" t="s">
        <v>4275</v>
      </c>
      <c r="AB778" t="s">
        <v>5213</v>
      </c>
      <c r="AC778" t="s">
        <v>2680</v>
      </c>
      <c r="AD778" s="193" t="s">
        <v>5214</v>
      </c>
    </row>
    <row r="779" spans="1:30" ht="130.5">
      <c r="A779" s="5" t="s">
        <v>545</v>
      </c>
      <c r="B779" s="46" t="s">
        <v>933</v>
      </c>
      <c r="C779" s="3"/>
      <c r="D779" s="141" t="s">
        <v>5215</v>
      </c>
      <c r="E779" s="141" t="s">
        <v>5216</v>
      </c>
      <c r="F779" s="506" t="s">
        <v>5217</v>
      </c>
      <c r="G779" t="s">
        <v>272</v>
      </c>
      <c r="H779" s="13" t="str">
        <f>IFERROR(VLOOKUP(G779, Sheet2!$A:$B, 2, FALSE), A779)</f>
        <v>THE HK MANAGEMENT ASSOCIATION SCHOOL LTD</v>
      </c>
      <c r="I779" s="6" t="s">
        <v>393</v>
      </c>
      <c r="J779" s="52"/>
      <c r="K779" s="52"/>
      <c r="L779" s="120"/>
      <c r="M779" s="348"/>
      <c r="N779" s="120"/>
      <c r="O779" s="142" t="s">
        <v>5218</v>
      </c>
      <c r="P779" s="120"/>
      <c r="Q779" s="8">
        <v>45790</v>
      </c>
      <c r="R779" s="8">
        <v>45777</v>
      </c>
      <c r="S779" s="8">
        <v>45790</v>
      </c>
      <c r="T779" s="4" t="s">
        <v>5219</v>
      </c>
      <c r="U779" s="4" t="s">
        <v>5220</v>
      </c>
      <c r="V779" s="58">
        <v>104227</v>
      </c>
      <c r="W779" s="8" t="s">
        <v>5221</v>
      </c>
      <c r="X779" t="s">
        <v>5222</v>
      </c>
      <c r="Y779" s="9" t="s">
        <v>5223</v>
      </c>
      <c r="Z779" t="s">
        <v>489</v>
      </c>
      <c r="AA779" t="s">
        <v>781</v>
      </c>
      <c r="AB779" t="s">
        <v>4275</v>
      </c>
      <c r="AC779" t="s">
        <v>3161</v>
      </c>
      <c r="AD779" s="506" t="s">
        <v>5224</v>
      </c>
    </row>
    <row r="780" spans="1:30" ht="116">
      <c r="A780" s="5" t="s">
        <v>545</v>
      </c>
      <c r="B780" s="46" t="s">
        <v>3118</v>
      </c>
      <c r="C780" s="3"/>
      <c r="D780" t="s">
        <v>5225</v>
      </c>
      <c r="E780" s="141">
        <v>21838287</v>
      </c>
      <c r="F780" s="346" t="s">
        <v>5226</v>
      </c>
      <c r="G780" t="s">
        <v>198</v>
      </c>
      <c r="H780" s="13" t="str">
        <f>IFERROR(VLOOKUP(G780, Sheet2!$A:$B, 2, FALSE), A780)</f>
        <v>AIRPORT AUTHORITY</v>
      </c>
      <c r="I780" s="6" t="s">
        <v>352</v>
      </c>
      <c r="J780" s="109"/>
      <c r="K780" s="71" t="s">
        <v>5227</v>
      </c>
      <c r="L780" s="430" t="s">
        <v>5228</v>
      </c>
      <c r="M780" s="338"/>
      <c r="O780" s="142" t="s">
        <v>4727</v>
      </c>
      <c r="Q780" s="8">
        <v>45775</v>
      </c>
      <c r="R780" s="8">
        <v>45777</v>
      </c>
      <c r="S780" s="8"/>
      <c r="T780" t="s">
        <v>5229</v>
      </c>
      <c r="U780" t="s">
        <v>5230</v>
      </c>
      <c r="V780" s="141">
        <v>104229</v>
      </c>
      <c r="W780" s="4" t="s">
        <v>5231</v>
      </c>
      <c r="X780" t="s">
        <v>5232</v>
      </c>
      <c r="Y780" s="15" t="s">
        <v>5233</v>
      </c>
      <c r="Z780" t="s">
        <v>886</v>
      </c>
      <c r="AA780" s="8" t="s">
        <v>1079</v>
      </c>
      <c r="AB780" s="5" t="s">
        <v>4275</v>
      </c>
      <c r="AC780" t="s">
        <v>3161</v>
      </c>
      <c r="AD780" s="465" t="s">
        <v>5234</v>
      </c>
    </row>
    <row r="781" spans="1:30" ht="87">
      <c r="A781" s="5" t="s">
        <v>545</v>
      </c>
      <c r="B781" s="46" t="s">
        <v>4455</v>
      </c>
      <c r="C781" s="3"/>
      <c r="D781" t="s">
        <v>5225</v>
      </c>
      <c r="E781" s="141">
        <v>21838287</v>
      </c>
      <c r="F781" s="346" t="s">
        <v>5226</v>
      </c>
      <c r="G781" t="s">
        <v>198</v>
      </c>
      <c r="H781" s="13" t="str">
        <f>IFERROR(VLOOKUP(G781, Sheet2!$A:$B, 2, FALSE), A781)</f>
        <v>AIRPORT AUTHORITY</v>
      </c>
      <c r="I781" s="6" t="s">
        <v>352</v>
      </c>
      <c r="J781" s="52"/>
      <c r="K781" s="77" t="s">
        <v>5227</v>
      </c>
      <c r="L781" s="120" t="s">
        <v>5235</v>
      </c>
      <c r="M781" s="348"/>
      <c r="N781" s="120"/>
      <c r="O781" s="142" t="s">
        <v>4727</v>
      </c>
      <c r="P781" s="120"/>
      <c r="Q781" s="4">
        <v>45790</v>
      </c>
      <c r="R781" s="4">
        <v>45785</v>
      </c>
      <c r="S781" s="4">
        <v>45786</v>
      </c>
      <c r="T781" t="s">
        <v>5229</v>
      </c>
      <c r="U781" s="4" t="s">
        <v>5236</v>
      </c>
      <c r="V781" s="141">
        <v>104229</v>
      </c>
      <c r="W781" s="4" t="s">
        <v>5237</v>
      </c>
      <c r="X781" t="s">
        <v>5238</v>
      </c>
      <c r="Y781" s="9" t="s">
        <v>5239</v>
      </c>
      <c r="Z781" t="s">
        <v>886</v>
      </c>
      <c r="AA781" s="8" t="s">
        <v>1079</v>
      </c>
      <c r="AB781" s="5" t="s">
        <v>4275</v>
      </c>
      <c r="AC781" t="s">
        <v>3161</v>
      </c>
      <c r="AD781" s="496" t="s">
        <v>5240</v>
      </c>
    </row>
    <row r="782" spans="1:30" ht="101.5">
      <c r="A782" s="5" t="s">
        <v>545</v>
      </c>
      <c r="B782" s="46" t="s">
        <v>933</v>
      </c>
      <c r="C782" s="3"/>
      <c r="D782" t="s">
        <v>1265</v>
      </c>
      <c r="E782" s="141" t="s">
        <v>5241</v>
      </c>
      <c r="F782" s="76" t="s">
        <v>5242</v>
      </c>
      <c r="G782" t="s">
        <v>274</v>
      </c>
      <c r="H782" s="13" t="str">
        <f>IFERROR(VLOOKUP(G782, Sheet2!$A:$B, 2, FALSE), A782)</f>
        <v>CAM 8_HKT Information Technology_BTU Huawei Cloud</v>
      </c>
      <c r="I782" s="58" t="s">
        <v>675</v>
      </c>
      <c r="J782" s="52"/>
      <c r="K782" s="52" t="s">
        <v>5243</v>
      </c>
      <c r="L782" s="120" t="s">
        <v>5244</v>
      </c>
      <c r="M782" s="504" t="s">
        <v>5242</v>
      </c>
      <c r="N782" s="120"/>
      <c r="O782" s="142"/>
      <c r="P782" s="120"/>
      <c r="Q782" s="8">
        <v>45786</v>
      </c>
      <c r="R782" s="8">
        <v>45785</v>
      </c>
      <c r="S782" s="8">
        <v>45786</v>
      </c>
      <c r="T782" t="s">
        <v>5245</v>
      </c>
      <c r="U782" t="s">
        <v>5246</v>
      </c>
      <c r="V782" s="141">
        <v>104234</v>
      </c>
      <c r="W782" s="4" t="s">
        <v>5247</v>
      </c>
      <c r="X782" t="s">
        <v>5248</v>
      </c>
      <c r="Y782" s="9" t="s">
        <v>5249</v>
      </c>
      <c r="Z782" t="s">
        <v>4275</v>
      </c>
      <c r="AA782" s="4" t="s">
        <v>4275</v>
      </c>
      <c r="AB782" s="5" t="s">
        <v>5213</v>
      </c>
      <c r="AC782" t="s">
        <v>2680</v>
      </c>
      <c r="AD782" s="193" t="s">
        <v>5250</v>
      </c>
    </row>
    <row r="783" spans="1:30" ht="87">
      <c r="A783" s="5" t="s">
        <v>545</v>
      </c>
      <c r="B783" s="46" t="s">
        <v>2757</v>
      </c>
      <c r="C783" s="3"/>
      <c r="D783" t="s">
        <v>588</v>
      </c>
      <c r="E783" s="141">
        <v>96742005</v>
      </c>
      <c r="F783" s="76" t="s">
        <v>5251</v>
      </c>
      <c r="G783" t="s">
        <v>40</v>
      </c>
      <c r="H783" s="13" t="str">
        <f>IFERROR(VLOOKUP(G783, Sheet2!$A:$B, 2, FALSE), A783)</f>
        <v>DDAAPP LIMITED</v>
      </c>
      <c r="I783" s="58" t="s">
        <v>352</v>
      </c>
      <c r="J783" s="52"/>
      <c r="K783" s="52" t="s">
        <v>5252</v>
      </c>
      <c r="L783" s="120"/>
      <c r="M783" s="348" t="s">
        <v>5253</v>
      </c>
      <c r="N783" s="120"/>
      <c r="O783" s="142" t="s">
        <v>5254</v>
      </c>
      <c r="P783" s="120"/>
      <c r="Q783" s="8">
        <v>45807</v>
      </c>
      <c r="R783" s="8">
        <v>45783</v>
      </c>
      <c r="S783" s="8">
        <v>45807</v>
      </c>
      <c r="T783" t="s">
        <v>5255</v>
      </c>
      <c r="U783" t="s">
        <v>5256</v>
      </c>
      <c r="V783" s="141" t="s">
        <v>5257</v>
      </c>
      <c r="W783" s="8" t="s">
        <v>5258</v>
      </c>
      <c r="X783" t="s">
        <v>5259</v>
      </c>
      <c r="Y783" s="9" t="s">
        <v>5260</v>
      </c>
      <c r="Z783" t="s">
        <v>1248</v>
      </c>
      <c r="AA783" s="4" t="s">
        <v>1248</v>
      </c>
      <c r="AB783" s="5" t="s">
        <v>1248</v>
      </c>
      <c r="AC783" t="s">
        <v>2784</v>
      </c>
      <c r="AD783" s="496" t="s">
        <v>5261</v>
      </c>
    </row>
    <row r="784" spans="1:30" ht="174.5">
      <c r="A784" s="3" t="s">
        <v>350</v>
      </c>
      <c r="B784" s="46" t="s">
        <v>933</v>
      </c>
      <c r="C784" s="3"/>
      <c r="D784" t="s">
        <v>5262</v>
      </c>
      <c r="E784" s="141" t="s">
        <v>5263</v>
      </c>
      <c r="F784" s="76" t="s">
        <v>5264</v>
      </c>
      <c r="G784" t="s">
        <v>276</v>
      </c>
      <c r="H784" s="13" t="str">
        <f>IFERROR(VLOOKUP(G784, Sheet2!$A:$B, 2, FALSE), A784)</f>
        <v>VALUE EXCHANGE INTERNATIONAL LIMITED</v>
      </c>
      <c r="I784" s="58" t="s">
        <v>359</v>
      </c>
      <c r="J784" s="52"/>
      <c r="K784" s="52" t="s">
        <v>5265</v>
      </c>
      <c r="L784" s="120"/>
      <c r="M784" s="504" t="s">
        <v>5264</v>
      </c>
      <c r="N784" s="120"/>
      <c r="O784" s="142" t="s">
        <v>5266</v>
      </c>
      <c r="P784" s="120" t="s">
        <v>5267</v>
      </c>
      <c r="Q784" s="8">
        <v>45787</v>
      </c>
      <c r="R784" s="8">
        <v>45785</v>
      </c>
      <c r="S784" s="8">
        <v>45805</v>
      </c>
      <c r="T784" t="s">
        <v>5268</v>
      </c>
      <c r="U784" t="s">
        <v>5269</v>
      </c>
      <c r="V784" s="141">
        <v>104235</v>
      </c>
      <c r="W784" s="8" t="s">
        <v>5270</v>
      </c>
      <c r="X784" t="s">
        <v>5271</v>
      </c>
      <c r="Y784" s="507" t="s">
        <v>5272</v>
      </c>
      <c r="Z784" s="334" t="s">
        <v>1248</v>
      </c>
      <c r="AA784" s="69" t="s">
        <v>4275</v>
      </c>
      <c r="AB784" s="85" t="s">
        <v>4275</v>
      </c>
      <c r="AC784" s="334" t="s">
        <v>3161</v>
      </c>
      <c r="AD784" s="508" t="s">
        <v>5273</v>
      </c>
    </row>
    <row r="785" spans="1:30" ht="58">
      <c r="A785" s="3" t="s">
        <v>350</v>
      </c>
      <c r="B785" s="46" t="s">
        <v>933</v>
      </c>
      <c r="C785" s="3"/>
      <c r="D785" s="141" t="s">
        <v>3845</v>
      </c>
      <c r="E785" s="141" t="s">
        <v>5274</v>
      </c>
      <c r="F785" s="496" t="s">
        <v>3847</v>
      </c>
      <c r="G785" t="s">
        <v>5275</v>
      </c>
      <c r="H785" s="13" t="str">
        <f>IFERROR(VLOOKUP(G785, Sheet2!$A:$B, 2, FALSE), A785)</f>
        <v>SHANGHAI COMMERCIAL BANK LTD</v>
      </c>
      <c r="I785" s="58" t="s">
        <v>352</v>
      </c>
      <c r="J785" s="52" t="s">
        <v>5276</v>
      </c>
      <c r="K785" s="52" t="s">
        <v>5277</v>
      </c>
      <c r="L785" s="120" t="s">
        <v>5278</v>
      </c>
      <c r="M785" s="348"/>
      <c r="N785" s="120"/>
      <c r="O785" s="142" t="s">
        <v>4282</v>
      </c>
      <c r="P785" s="120"/>
      <c r="Q785" s="4">
        <v>45853</v>
      </c>
      <c r="R785" s="4">
        <v>45849</v>
      </c>
      <c r="S785" s="4">
        <v>45849</v>
      </c>
      <c r="T785" s="4" t="s">
        <v>5279</v>
      </c>
      <c r="U785" s="4" t="s">
        <v>5280</v>
      </c>
      <c r="V785" s="58">
        <v>104331</v>
      </c>
      <c r="W785" s="4" t="s">
        <v>5281</v>
      </c>
      <c r="X785" t="s">
        <v>5282</v>
      </c>
      <c r="Y785" s="7" t="s">
        <v>5283</v>
      </c>
      <c r="Z785" t="s">
        <v>365</v>
      </c>
      <c r="AA785" s="4" t="s">
        <v>4275</v>
      </c>
      <c r="AB785" s="5" t="s">
        <v>4275</v>
      </c>
      <c r="AC785" t="s">
        <v>3161</v>
      </c>
      <c r="AD785" s="193" t="s">
        <v>5284</v>
      </c>
    </row>
    <row r="786" spans="1:30" ht="130.5">
      <c r="A786" s="3" t="s">
        <v>350</v>
      </c>
      <c r="B786" s="46" t="s">
        <v>933</v>
      </c>
      <c r="C786" s="3"/>
      <c r="D786" s="141" t="s">
        <v>5285</v>
      </c>
      <c r="E786" s="141" t="s">
        <v>5286</v>
      </c>
      <c r="F786" s="496" t="s">
        <v>5287</v>
      </c>
      <c r="G786" t="s">
        <v>1365</v>
      </c>
      <c r="H786" s="13" t="str">
        <f>IFERROR(VLOOKUP(G786, Sheet2!$A:$B, 2, FALSE), A786)</f>
        <v>AIRPORT AUTHORITY</v>
      </c>
      <c r="I786" s="58" t="s">
        <v>352</v>
      </c>
      <c r="J786" s="52"/>
      <c r="K786" s="77" t="s">
        <v>5288</v>
      </c>
      <c r="L786" s="142" t="s">
        <v>5289</v>
      </c>
      <c r="M786" s="348"/>
      <c r="N786" s="120"/>
      <c r="O786" s="142" t="s">
        <v>5290</v>
      </c>
      <c r="P786" s="120"/>
      <c r="Q786" s="8">
        <v>45786</v>
      </c>
      <c r="R786" s="8">
        <v>45789</v>
      </c>
      <c r="S786" s="8">
        <v>45789</v>
      </c>
      <c r="T786" s="4" t="s">
        <v>5291</v>
      </c>
      <c r="U786" s="4" t="s">
        <v>5292</v>
      </c>
      <c r="V786" s="141">
        <v>104239</v>
      </c>
      <c r="W786" s="4" t="s">
        <v>5293</v>
      </c>
      <c r="X786" t="s">
        <v>5294</v>
      </c>
      <c r="Y786" s="9" t="s">
        <v>5295</v>
      </c>
      <c r="Z786" t="s">
        <v>489</v>
      </c>
      <c r="AA786" s="4" t="s">
        <v>781</v>
      </c>
      <c r="AB786" s="5" t="s">
        <v>4275</v>
      </c>
      <c r="AC786" t="s">
        <v>3161</v>
      </c>
      <c r="AD786" s="496" t="s">
        <v>5296</v>
      </c>
    </row>
    <row r="787" spans="1:30" ht="130.5">
      <c r="A787" s="3" t="s">
        <v>350</v>
      </c>
      <c r="B787" s="46" t="s">
        <v>4455</v>
      </c>
      <c r="C787" s="3"/>
      <c r="D787" s="141" t="s">
        <v>5285</v>
      </c>
      <c r="E787" s="141" t="s">
        <v>5286</v>
      </c>
      <c r="F787" s="496" t="s">
        <v>5287</v>
      </c>
      <c r="G787" t="s">
        <v>1365</v>
      </c>
      <c r="H787" s="13" t="str">
        <f>IFERROR(VLOOKUP(G787, Sheet2!$A:$B, 2, FALSE), A787)</f>
        <v>AIRPORT AUTHORITY</v>
      </c>
      <c r="I787" s="58" t="s">
        <v>352</v>
      </c>
      <c r="J787" s="52"/>
      <c r="K787" s="77" t="s">
        <v>5288</v>
      </c>
      <c r="L787" s="120" t="s">
        <v>5297</v>
      </c>
      <c r="M787" s="348"/>
      <c r="N787" s="120"/>
      <c r="O787" s="142" t="s">
        <v>5290</v>
      </c>
      <c r="P787" s="120"/>
      <c r="Q787" s="4">
        <v>45796</v>
      </c>
      <c r="R787" s="4">
        <v>45790</v>
      </c>
      <c r="S787" s="4">
        <v>45791</v>
      </c>
      <c r="T787" s="4" t="s">
        <v>5291</v>
      </c>
      <c r="U787" s="4" t="s">
        <v>5298</v>
      </c>
      <c r="V787" s="141">
        <v>104239</v>
      </c>
      <c r="W787" s="4" t="s">
        <v>5299</v>
      </c>
      <c r="X787" t="s">
        <v>5300</v>
      </c>
      <c r="Y787" s="9" t="s">
        <v>5301</v>
      </c>
      <c r="Z787" t="s">
        <v>489</v>
      </c>
      <c r="AA787" s="4" t="s">
        <v>781</v>
      </c>
      <c r="AB787" s="5" t="s">
        <v>4275</v>
      </c>
      <c r="AC787" t="s">
        <v>3161</v>
      </c>
      <c r="AD787" s="496" t="s">
        <v>5302</v>
      </c>
    </row>
    <row r="788" spans="1:30" ht="145">
      <c r="A788" s="3" t="s">
        <v>350</v>
      </c>
      <c r="B788" s="46" t="s">
        <v>933</v>
      </c>
      <c r="C788" s="3"/>
      <c r="D788" s="141" t="s">
        <v>5303</v>
      </c>
      <c r="E788" s="141" t="s">
        <v>5304</v>
      </c>
      <c r="F788" s="496" t="s">
        <v>5305</v>
      </c>
      <c r="G788" t="s">
        <v>5106</v>
      </c>
      <c r="H788" s="13" t="str">
        <f>IFERROR(VLOOKUP(G788, Sheet2!$A:$B, 2, FALSE), A788)</f>
        <v>MIB_POC_HKT</v>
      </c>
      <c r="I788" s="58" t="s">
        <v>675</v>
      </c>
      <c r="J788" s="52"/>
      <c r="K788" s="52" t="s">
        <v>5306</v>
      </c>
      <c r="L788" s="142" t="s">
        <v>5307</v>
      </c>
      <c r="M788" s="502" t="s">
        <v>5105</v>
      </c>
      <c r="N788" s="120"/>
      <c r="O788" s="142" t="s">
        <v>5308</v>
      </c>
      <c r="P788" s="120"/>
      <c r="Q788" s="4">
        <v>45840</v>
      </c>
      <c r="R788" s="4">
        <v>45840</v>
      </c>
      <c r="S788" s="4">
        <v>45840</v>
      </c>
      <c r="T788" s="4" t="s">
        <v>5309</v>
      </c>
      <c r="U788" s="4" t="s">
        <v>5310</v>
      </c>
      <c r="V788" s="58">
        <v>104320</v>
      </c>
      <c r="W788" s="4" t="s">
        <v>5311</v>
      </c>
      <c r="X788" t="s">
        <v>5312</v>
      </c>
      <c r="Y788" s="9" t="s">
        <v>5313</v>
      </c>
      <c r="Z788" t="s">
        <v>4275</v>
      </c>
      <c r="AA788" s="4" t="s">
        <v>4275</v>
      </c>
      <c r="AB788" s="5" t="s">
        <v>5213</v>
      </c>
      <c r="AC788" t="s">
        <v>3161</v>
      </c>
      <c r="AD788" s="506" t="s">
        <v>5314</v>
      </c>
    </row>
    <row r="789" spans="1:30" ht="101.5">
      <c r="A789" s="5" t="s">
        <v>350</v>
      </c>
      <c r="B789" s="46" t="s">
        <v>933</v>
      </c>
      <c r="C789" s="3"/>
      <c r="D789" s="141" t="s">
        <v>5315</v>
      </c>
      <c r="E789" s="141" t="s">
        <v>5316</v>
      </c>
      <c r="F789" s="496" t="s">
        <v>5317</v>
      </c>
      <c r="G789" t="s">
        <v>277</v>
      </c>
      <c r="H789" s="13" t="str">
        <f>IFERROR(VLOOKUP(G789, Sheet2!$A:$B, 2, FALSE), A789)</f>
        <v>THE COMMERCIAL PRESS (HK) LTD</v>
      </c>
      <c r="I789" s="58" t="s">
        <v>359</v>
      </c>
      <c r="J789" s="52"/>
      <c r="K789" s="52" t="s">
        <v>5318</v>
      </c>
      <c r="L789" s="120"/>
      <c r="M789" s="504" t="s">
        <v>5319</v>
      </c>
      <c r="N789" s="120"/>
      <c r="O789" s="142" t="s">
        <v>5320</v>
      </c>
      <c r="P789" s="120"/>
      <c r="Q789" s="4">
        <v>45814</v>
      </c>
      <c r="R789" s="4">
        <v>45811</v>
      </c>
      <c r="S789" s="4">
        <v>45811</v>
      </c>
      <c r="T789" s="4" t="s">
        <v>5321</v>
      </c>
      <c r="U789" s="4" t="s">
        <v>5322</v>
      </c>
      <c r="V789" s="58">
        <v>104279</v>
      </c>
      <c r="W789" s="4" t="s">
        <v>5323</v>
      </c>
      <c r="X789" t="s">
        <v>5324</v>
      </c>
      <c r="Y789" s="9" t="s">
        <v>5325</v>
      </c>
      <c r="Z789" t="s">
        <v>4275</v>
      </c>
      <c r="AA789" s="4" t="s">
        <v>4275</v>
      </c>
      <c r="AB789" s="5" t="s">
        <v>5213</v>
      </c>
      <c r="AC789" t="s">
        <v>2784</v>
      </c>
      <c r="AD789" s="496" t="s">
        <v>5326</v>
      </c>
    </row>
    <row r="790" spans="1:30" ht="406">
      <c r="A790" s="5" t="s">
        <v>350</v>
      </c>
      <c r="B790" s="46" t="s">
        <v>933</v>
      </c>
      <c r="C790" s="3"/>
      <c r="D790" s="141" t="s">
        <v>5327</v>
      </c>
      <c r="E790" s="141" t="s">
        <v>5328</v>
      </c>
      <c r="F790" s="496" t="s">
        <v>5329</v>
      </c>
      <c r="G790" t="s">
        <v>254</v>
      </c>
      <c r="H790" s="13" t="str">
        <f>IFERROR(VLOOKUP(G790, Sheet2!$A:$B, 2, FALSE), A790)</f>
        <v>THE HONG KONG GOLF CLUB</v>
      </c>
      <c r="I790" s="58" t="s">
        <v>352</v>
      </c>
      <c r="J790" s="52" t="s">
        <v>5330</v>
      </c>
      <c r="K790" s="52"/>
      <c r="L790" s="120"/>
      <c r="M790" s="348"/>
      <c r="N790" s="120"/>
      <c r="O790" s="142" t="s">
        <v>5331</v>
      </c>
      <c r="P790" s="120"/>
      <c r="Q790" s="8">
        <v>45798</v>
      </c>
      <c r="R790" s="8">
        <v>45838</v>
      </c>
      <c r="S790" s="4">
        <v>45798</v>
      </c>
      <c r="T790" s="9" t="s">
        <v>5332</v>
      </c>
      <c r="U790" s="9" t="s">
        <v>5333</v>
      </c>
      <c r="V790" s="58">
        <v>104245</v>
      </c>
      <c r="W790" s="4" t="s">
        <v>5334</v>
      </c>
      <c r="X790" t="s">
        <v>5335</v>
      </c>
      <c r="Y790" s="9" t="s">
        <v>5336</v>
      </c>
      <c r="Z790" t="s">
        <v>489</v>
      </c>
      <c r="AA790" s="4" t="s">
        <v>781</v>
      </c>
      <c r="AB790" s="5" t="s">
        <v>4275</v>
      </c>
      <c r="AC790" t="s">
        <v>3161</v>
      </c>
      <c r="AD790" s="496" t="s">
        <v>5337</v>
      </c>
    </row>
    <row r="791" spans="1:30" ht="87">
      <c r="A791" s="5" t="s">
        <v>350</v>
      </c>
      <c r="B791" s="46" t="s">
        <v>933</v>
      </c>
      <c r="C791" s="3"/>
      <c r="D791" s="141" t="s">
        <v>5327</v>
      </c>
      <c r="E791" s="141" t="s">
        <v>5328</v>
      </c>
      <c r="F791" s="496" t="s">
        <v>5329</v>
      </c>
      <c r="G791" t="s">
        <v>254</v>
      </c>
      <c r="H791" s="13" t="str">
        <f>IFERROR(VLOOKUP(G791, Sheet2!$A:$B, 2, FALSE), A791)</f>
        <v>THE HONG KONG GOLF CLUB</v>
      </c>
      <c r="I791" s="58" t="s">
        <v>352</v>
      </c>
      <c r="J791" s="52" t="s">
        <v>5330</v>
      </c>
      <c r="K791" s="77" t="s">
        <v>5338</v>
      </c>
      <c r="L791" s="120"/>
      <c r="M791" s="348"/>
      <c r="N791" s="120"/>
      <c r="O791" s="142" t="s">
        <v>5331</v>
      </c>
      <c r="P791" s="120"/>
      <c r="Q791" s="8">
        <v>45798</v>
      </c>
      <c r="R791" s="8">
        <v>45838</v>
      </c>
      <c r="S791" s="4">
        <v>45798</v>
      </c>
      <c r="T791" s="9" t="s">
        <v>5339</v>
      </c>
      <c r="U791" s="9" t="s">
        <v>5340</v>
      </c>
      <c r="V791" s="58">
        <v>104245</v>
      </c>
      <c r="W791" s="4" t="s">
        <v>5334</v>
      </c>
      <c r="X791" t="s">
        <v>5335</v>
      </c>
      <c r="Y791" s="9" t="s">
        <v>5341</v>
      </c>
      <c r="Z791" t="s">
        <v>489</v>
      </c>
      <c r="AA791" s="4" t="s">
        <v>781</v>
      </c>
      <c r="AB791" s="5" t="s">
        <v>4275</v>
      </c>
      <c r="AC791" t="s">
        <v>3161</v>
      </c>
      <c r="AD791" s="496" t="s">
        <v>5337</v>
      </c>
    </row>
    <row r="792" spans="1:30" ht="87">
      <c r="A792" s="5" t="s">
        <v>350</v>
      </c>
      <c r="B792" s="46" t="s">
        <v>933</v>
      </c>
      <c r="C792" s="3"/>
      <c r="D792" s="141" t="s">
        <v>5327</v>
      </c>
      <c r="E792" s="141" t="s">
        <v>5328</v>
      </c>
      <c r="F792" s="496" t="s">
        <v>5329</v>
      </c>
      <c r="G792" t="s">
        <v>254</v>
      </c>
      <c r="H792" s="13" t="str">
        <f>IFERROR(VLOOKUP(G792, Sheet2!$A:$B, 2, FALSE), A792)</f>
        <v>THE HONG KONG GOLF CLUB</v>
      </c>
      <c r="I792" s="58" t="s">
        <v>352</v>
      </c>
      <c r="J792" s="52" t="s">
        <v>5330</v>
      </c>
      <c r="K792" s="77" t="s">
        <v>5342</v>
      </c>
      <c r="L792" s="120"/>
      <c r="M792" s="348"/>
      <c r="N792" s="120"/>
      <c r="O792" s="142" t="s">
        <v>5343</v>
      </c>
      <c r="P792" s="120"/>
      <c r="Q792" s="8">
        <v>45798</v>
      </c>
      <c r="R792" s="8">
        <v>45838</v>
      </c>
      <c r="S792" s="4">
        <v>45798</v>
      </c>
      <c r="T792" s="9" t="s">
        <v>5344</v>
      </c>
      <c r="U792" s="9" t="s">
        <v>5345</v>
      </c>
      <c r="V792" s="58">
        <v>104245</v>
      </c>
      <c r="W792" s="4" t="s">
        <v>5334</v>
      </c>
      <c r="X792" t="s">
        <v>5335</v>
      </c>
      <c r="Y792" s="9" t="s">
        <v>5346</v>
      </c>
      <c r="Z792" t="s">
        <v>489</v>
      </c>
      <c r="AA792" s="4" t="s">
        <v>781</v>
      </c>
      <c r="AB792" s="5" t="s">
        <v>4275</v>
      </c>
      <c r="AC792" t="s">
        <v>3161</v>
      </c>
      <c r="AD792" s="496" t="s">
        <v>5337</v>
      </c>
    </row>
    <row r="793" spans="1:30" ht="87">
      <c r="A793" s="5" t="s">
        <v>350</v>
      </c>
      <c r="B793" s="46" t="s">
        <v>933</v>
      </c>
      <c r="C793" s="3"/>
      <c r="D793" s="141" t="s">
        <v>5327</v>
      </c>
      <c r="E793" s="141" t="s">
        <v>5328</v>
      </c>
      <c r="F793" s="496" t="s">
        <v>5329</v>
      </c>
      <c r="G793" t="s">
        <v>254</v>
      </c>
      <c r="H793" s="13" t="str">
        <f>IFERROR(VLOOKUP(G793, Sheet2!$A:$B, 2, FALSE), A793)</f>
        <v>THE HONG KONG GOLF CLUB</v>
      </c>
      <c r="I793" s="58" t="s">
        <v>352</v>
      </c>
      <c r="J793" s="52" t="s">
        <v>5330</v>
      </c>
      <c r="K793" s="52" t="s">
        <v>5347</v>
      </c>
      <c r="L793" s="120"/>
      <c r="M793" s="348"/>
      <c r="N793" s="120"/>
      <c r="O793" s="142" t="s">
        <v>5343</v>
      </c>
      <c r="P793" s="120"/>
      <c r="Q793" s="8">
        <v>45798</v>
      </c>
      <c r="R793" s="8">
        <v>45838</v>
      </c>
      <c r="S793" s="4">
        <v>45798</v>
      </c>
      <c r="T793" s="9" t="s">
        <v>5348</v>
      </c>
      <c r="U793" s="9" t="s">
        <v>5349</v>
      </c>
      <c r="V793" s="58">
        <v>104245</v>
      </c>
      <c r="W793" s="4" t="s">
        <v>5334</v>
      </c>
      <c r="X793" t="s">
        <v>5335</v>
      </c>
      <c r="Y793" s="9" t="s">
        <v>5350</v>
      </c>
      <c r="Z793" t="s">
        <v>489</v>
      </c>
      <c r="AA793" s="4" t="s">
        <v>781</v>
      </c>
      <c r="AB793" s="5" t="s">
        <v>4275</v>
      </c>
      <c r="AC793" t="s">
        <v>3161</v>
      </c>
      <c r="AD793" s="496" t="s">
        <v>5337</v>
      </c>
    </row>
    <row r="794" spans="1:30" ht="87">
      <c r="A794" s="5" t="s">
        <v>350</v>
      </c>
      <c r="B794" s="46" t="s">
        <v>933</v>
      </c>
      <c r="C794" s="3"/>
      <c r="D794" s="141" t="s">
        <v>5327</v>
      </c>
      <c r="E794" s="141" t="s">
        <v>5328</v>
      </c>
      <c r="F794" s="496" t="s">
        <v>5329</v>
      </c>
      <c r="G794" t="s">
        <v>254</v>
      </c>
      <c r="H794" s="13" t="str">
        <f>IFERROR(VLOOKUP(G794, Sheet2!$A:$B, 2, FALSE), A794)</f>
        <v>THE HONG KONG GOLF CLUB</v>
      </c>
      <c r="I794" s="58" t="s">
        <v>352</v>
      </c>
      <c r="J794" s="52" t="s">
        <v>5330</v>
      </c>
      <c r="K794" s="52" t="s">
        <v>5351</v>
      </c>
      <c r="L794" s="120"/>
      <c r="M794" s="348"/>
      <c r="N794" s="120"/>
      <c r="O794" s="142" t="s">
        <v>5343</v>
      </c>
      <c r="P794" s="120"/>
      <c r="Q794" s="8">
        <v>45798</v>
      </c>
      <c r="R794" s="8">
        <v>45838</v>
      </c>
      <c r="S794" s="4">
        <v>45798</v>
      </c>
      <c r="T794" s="9" t="s">
        <v>5352</v>
      </c>
      <c r="U794" s="9" t="s">
        <v>5353</v>
      </c>
      <c r="V794" s="58">
        <v>104245</v>
      </c>
      <c r="W794" s="4" t="s">
        <v>5334</v>
      </c>
      <c r="X794" t="s">
        <v>5335</v>
      </c>
      <c r="Y794" s="9" t="s">
        <v>5354</v>
      </c>
      <c r="Z794" t="s">
        <v>489</v>
      </c>
      <c r="AA794" s="4" t="s">
        <v>781</v>
      </c>
      <c r="AB794" s="5" t="s">
        <v>4275</v>
      </c>
      <c r="AC794" t="s">
        <v>3161</v>
      </c>
      <c r="AD794" s="496" t="s">
        <v>5337</v>
      </c>
    </row>
    <row r="795" spans="1:30" ht="87">
      <c r="A795" s="5" t="s">
        <v>350</v>
      </c>
      <c r="B795" s="46" t="s">
        <v>933</v>
      </c>
      <c r="C795" s="3"/>
      <c r="D795" s="141" t="s">
        <v>5327</v>
      </c>
      <c r="E795" s="141" t="s">
        <v>5328</v>
      </c>
      <c r="F795" s="496" t="s">
        <v>5329</v>
      </c>
      <c r="G795" t="s">
        <v>254</v>
      </c>
      <c r="H795" s="13" t="str">
        <f>IFERROR(VLOOKUP(G795, Sheet2!$A:$B, 2, FALSE), A795)</f>
        <v>THE HONG KONG GOLF CLUB</v>
      </c>
      <c r="I795" s="58" t="s">
        <v>352</v>
      </c>
      <c r="J795" s="52" t="s">
        <v>5330</v>
      </c>
      <c r="K795" s="52" t="s">
        <v>5355</v>
      </c>
      <c r="L795" s="120"/>
      <c r="M795" s="348"/>
      <c r="N795" s="120"/>
      <c r="O795" s="142" t="s">
        <v>5343</v>
      </c>
      <c r="P795" s="120"/>
      <c r="Q795" s="8">
        <v>45798</v>
      </c>
      <c r="R795" s="8">
        <v>45838</v>
      </c>
      <c r="S795" s="4">
        <v>45798</v>
      </c>
      <c r="T795" s="9" t="s">
        <v>5356</v>
      </c>
      <c r="U795" s="9" t="s">
        <v>5357</v>
      </c>
      <c r="V795" s="58">
        <v>104245</v>
      </c>
      <c r="W795" s="4" t="s">
        <v>5334</v>
      </c>
      <c r="X795" t="s">
        <v>5335</v>
      </c>
      <c r="Y795" s="9" t="s">
        <v>5358</v>
      </c>
      <c r="Z795" t="s">
        <v>489</v>
      </c>
      <c r="AA795" s="4" t="s">
        <v>781</v>
      </c>
      <c r="AB795" s="5" t="s">
        <v>4275</v>
      </c>
      <c r="AC795" t="s">
        <v>3161</v>
      </c>
      <c r="AD795" s="496" t="s">
        <v>5337</v>
      </c>
    </row>
    <row r="796" spans="1:30" ht="87">
      <c r="A796" s="5" t="s">
        <v>350</v>
      </c>
      <c r="B796" s="46" t="s">
        <v>933</v>
      </c>
      <c r="C796" s="3"/>
      <c r="D796" s="141" t="s">
        <v>5327</v>
      </c>
      <c r="E796" s="141" t="s">
        <v>5328</v>
      </c>
      <c r="F796" s="496" t="s">
        <v>5329</v>
      </c>
      <c r="G796" t="s">
        <v>254</v>
      </c>
      <c r="H796" s="13" t="str">
        <f>IFERROR(VLOOKUP(G796, Sheet2!$A:$B, 2, FALSE), A796)</f>
        <v>THE HONG KONG GOLF CLUB</v>
      </c>
      <c r="I796" s="58" t="s">
        <v>352</v>
      </c>
      <c r="J796" s="52" t="s">
        <v>5330</v>
      </c>
      <c r="K796" s="52" t="s">
        <v>5359</v>
      </c>
      <c r="L796" s="120"/>
      <c r="M796" s="348"/>
      <c r="N796" s="120"/>
      <c r="O796" s="142" t="s">
        <v>5343</v>
      </c>
      <c r="P796" s="120"/>
      <c r="Q796" s="8">
        <v>45798</v>
      </c>
      <c r="R796" s="8">
        <v>45838</v>
      </c>
      <c r="S796" s="4">
        <v>45798</v>
      </c>
      <c r="T796" s="9" t="s">
        <v>5360</v>
      </c>
      <c r="U796" s="9" t="s">
        <v>5361</v>
      </c>
      <c r="V796" s="58">
        <v>104245</v>
      </c>
      <c r="W796" s="4" t="s">
        <v>5334</v>
      </c>
      <c r="X796" t="s">
        <v>5335</v>
      </c>
      <c r="Y796" s="9" t="s">
        <v>5362</v>
      </c>
      <c r="Z796" t="s">
        <v>489</v>
      </c>
      <c r="AA796" s="4" t="s">
        <v>781</v>
      </c>
      <c r="AB796" s="5" t="s">
        <v>4275</v>
      </c>
      <c r="AC796" t="s">
        <v>3161</v>
      </c>
      <c r="AD796" s="496" t="s">
        <v>5337</v>
      </c>
    </row>
    <row r="797" spans="1:30" ht="87">
      <c r="A797" s="5" t="s">
        <v>350</v>
      </c>
      <c r="B797" s="46" t="s">
        <v>933</v>
      </c>
      <c r="C797" s="3"/>
      <c r="D797" s="141" t="s">
        <v>5327</v>
      </c>
      <c r="E797" s="141" t="s">
        <v>5328</v>
      </c>
      <c r="F797" s="496" t="s">
        <v>5329</v>
      </c>
      <c r="G797" t="s">
        <v>254</v>
      </c>
      <c r="H797" s="13" t="str">
        <f>IFERROR(VLOOKUP(G797, Sheet2!$A:$B, 2, FALSE), A797)</f>
        <v>THE HONG KONG GOLF CLUB</v>
      </c>
      <c r="I797" s="58" t="s">
        <v>352</v>
      </c>
      <c r="J797" s="52" t="s">
        <v>5330</v>
      </c>
      <c r="K797" s="77" t="s">
        <v>5363</v>
      </c>
      <c r="L797" s="120"/>
      <c r="M797" s="348"/>
      <c r="N797" s="120"/>
      <c r="O797" s="142" t="s">
        <v>5343</v>
      </c>
      <c r="P797" s="120"/>
      <c r="Q797" s="8">
        <v>45798</v>
      </c>
      <c r="R797" s="8">
        <v>45838</v>
      </c>
      <c r="S797" s="4">
        <v>45798</v>
      </c>
      <c r="T797" t="s">
        <v>5364</v>
      </c>
      <c r="U797" s="9" t="s">
        <v>5365</v>
      </c>
      <c r="V797" s="58">
        <v>104245</v>
      </c>
      <c r="W797" s="4" t="s">
        <v>5334</v>
      </c>
      <c r="X797" t="s">
        <v>5335</v>
      </c>
      <c r="Y797" s="9" t="s">
        <v>5366</v>
      </c>
      <c r="Z797" t="s">
        <v>489</v>
      </c>
      <c r="AA797" s="4" t="s">
        <v>781</v>
      </c>
      <c r="AB797" s="5" t="s">
        <v>4275</v>
      </c>
      <c r="AC797" t="s">
        <v>3161</v>
      </c>
      <c r="AD797" s="496" t="s">
        <v>5337</v>
      </c>
    </row>
    <row r="798" spans="1:30" ht="130.5">
      <c r="A798" s="3" t="s">
        <v>350</v>
      </c>
      <c r="B798" s="46" t="s">
        <v>933</v>
      </c>
      <c r="C798" s="3"/>
      <c r="D798" s="141" t="s">
        <v>5367</v>
      </c>
      <c r="E798" s="141" t="s">
        <v>5368</v>
      </c>
      <c r="F798" s="496" t="s">
        <v>5369</v>
      </c>
      <c r="G798" t="s">
        <v>1365</v>
      </c>
      <c r="H798" s="13" t="str">
        <f>IFERROR(VLOOKUP(G798, Sheet2!$A:$B, 2, FALSE), A798)</f>
        <v>AIRPORT AUTHORITY</v>
      </c>
      <c r="I798" s="58" t="s">
        <v>393</v>
      </c>
      <c r="J798" s="52"/>
      <c r="K798" s="52"/>
      <c r="L798" s="142" t="s">
        <v>5370</v>
      </c>
      <c r="M798" s="348"/>
      <c r="N798" s="120"/>
      <c r="O798" s="142" t="s">
        <v>4727</v>
      </c>
      <c r="P798" s="120"/>
      <c r="Q798" s="8">
        <v>45803</v>
      </c>
      <c r="R798" s="8">
        <v>45796</v>
      </c>
      <c r="S798" s="8">
        <v>45797</v>
      </c>
      <c r="T798" s="4" t="s">
        <v>5371</v>
      </c>
      <c r="U798" s="4" t="s">
        <v>5372</v>
      </c>
      <c r="V798" s="58">
        <v>104249</v>
      </c>
      <c r="W798" s="4" t="s">
        <v>5373</v>
      </c>
      <c r="X798" t="s">
        <v>5374</v>
      </c>
      <c r="Y798" s="9" t="s">
        <v>5375</v>
      </c>
      <c r="Z798" t="s">
        <v>489</v>
      </c>
      <c r="AA798" s="4" t="s">
        <v>781</v>
      </c>
      <c r="AB798" s="5" t="s">
        <v>4275</v>
      </c>
      <c r="AC798" t="s">
        <v>3161</v>
      </c>
      <c r="AD798" s="496" t="s">
        <v>5376</v>
      </c>
    </row>
    <row r="799" spans="1:30" ht="145">
      <c r="A799" s="5" t="s">
        <v>350</v>
      </c>
      <c r="B799" s="46" t="s">
        <v>4455</v>
      </c>
      <c r="C799" s="3"/>
      <c r="D799" s="141" t="s">
        <v>5367</v>
      </c>
      <c r="E799" s="141" t="s">
        <v>5368</v>
      </c>
      <c r="F799" s="496" t="s">
        <v>5369</v>
      </c>
      <c r="G799" t="s">
        <v>1365</v>
      </c>
      <c r="H799" s="13" t="str">
        <f>IFERROR(VLOOKUP(G799, Sheet2!$A:$B, 2, FALSE), A799)</f>
        <v>AIRPORT AUTHORITY</v>
      </c>
      <c r="I799" s="58" t="s">
        <v>393</v>
      </c>
      <c r="J799" s="52"/>
      <c r="K799" s="52"/>
      <c r="L799" s="120" t="s">
        <v>5377</v>
      </c>
      <c r="M799" s="348"/>
      <c r="N799" s="120"/>
      <c r="O799" s="142" t="s">
        <v>4727</v>
      </c>
      <c r="P799" s="120"/>
      <c r="Q799" s="4">
        <v>45806</v>
      </c>
      <c r="R799" s="4">
        <v>45803</v>
      </c>
      <c r="S799" s="4">
        <v>45804</v>
      </c>
      <c r="T799" s="4" t="s">
        <v>5371</v>
      </c>
      <c r="U799" s="4" t="s">
        <v>5378</v>
      </c>
      <c r="V799" s="58">
        <v>104249</v>
      </c>
      <c r="W799" s="4" t="s">
        <v>5379</v>
      </c>
      <c r="X799" t="s">
        <v>5380</v>
      </c>
      <c r="Y799" s="9" t="s">
        <v>5381</v>
      </c>
      <c r="Z799" t="s">
        <v>489</v>
      </c>
      <c r="AA799" s="4" t="s">
        <v>781</v>
      </c>
      <c r="AB799" s="5" t="s">
        <v>4275</v>
      </c>
      <c r="AC799" t="s">
        <v>3161</v>
      </c>
      <c r="AD799" s="496" t="s">
        <v>5382</v>
      </c>
    </row>
    <row r="800" spans="1:30" ht="174">
      <c r="A800" s="3" t="s">
        <v>350</v>
      </c>
      <c r="B800" s="46" t="s">
        <v>933</v>
      </c>
      <c r="C800" s="3"/>
      <c r="D800" s="141" t="s">
        <v>2685</v>
      </c>
      <c r="E800" s="141" t="s">
        <v>5383</v>
      </c>
      <c r="F800" s="496" t="s">
        <v>2951</v>
      </c>
      <c r="G800" t="s">
        <v>279</v>
      </c>
      <c r="H800" s="13" t="str">
        <f>IFERROR(VLOOKUP(G800, Sheet2!$A:$B, 2, FALSE), A800)</f>
        <v>CHOW TAI FOOK JEWELLERY CO LTD</v>
      </c>
      <c r="I800" s="58" t="s">
        <v>359</v>
      </c>
      <c r="J800" s="52"/>
      <c r="K800" s="509" t="s">
        <v>5384</v>
      </c>
      <c r="L800" s="498" t="s">
        <v>5385</v>
      </c>
      <c r="M800" s="502" t="s">
        <v>5385</v>
      </c>
      <c r="N800" s="120"/>
      <c r="O800" s="142" t="s">
        <v>5386</v>
      </c>
      <c r="P800" s="120"/>
      <c r="Q800" s="8">
        <v>45778</v>
      </c>
      <c r="R800" s="4">
        <v>45835</v>
      </c>
      <c r="S800" s="4">
        <v>45838</v>
      </c>
      <c r="T800" s="4" t="s">
        <v>5387</v>
      </c>
      <c r="U800" s="4" t="s">
        <v>5388</v>
      </c>
      <c r="V800" s="58">
        <v>104318</v>
      </c>
      <c r="W800" s="4" t="s">
        <v>5389</v>
      </c>
      <c r="X800" t="s">
        <v>5390</v>
      </c>
      <c r="Y800" s="7" t="s">
        <v>5391</v>
      </c>
      <c r="Z800" t="s">
        <v>489</v>
      </c>
      <c r="AA800" s="4" t="s">
        <v>4275</v>
      </c>
      <c r="AB800" s="5" t="s">
        <v>5213</v>
      </c>
      <c r="AC800" t="s">
        <v>2995</v>
      </c>
      <c r="AD800" s="193" t="s">
        <v>5392</v>
      </c>
    </row>
    <row r="801" spans="1:30" ht="203">
      <c r="A801" s="3" t="s">
        <v>350</v>
      </c>
      <c r="B801" s="46" t="s">
        <v>933</v>
      </c>
      <c r="C801" s="3"/>
      <c r="D801" s="141" t="s">
        <v>2685</v>
      </c>
      <c r="E801" s="141" t="s">
        <v>5383</v>
      </c>
      <c r="F801" s="496" t="s">
        <v>2951</v>
      </c>
      <c r="G801" t="s">
        <v>279</v>
      </c>
      <c r="H801" s="13" t="str">
        <f>IFERROR(VLOOKUP(G801, Sheet2!$A:$B, 2, FALSE), A801)</f>
        <v>CHOW TAI FOOK JEWELLERY CO LTD</v>
      </c>
      <c r="I801" s="58" t="s">
        <v>359</v>
      </c>
      <c r="J801" s="52"/>
      <c r="K801" s="52" t="s">
        <v>5393</v>
      </c>
      <c r="L801" s="510" t="s">
        <v>5394</v>
      </c>
      <c r="M801" s="504" t="s">
        <v>5394</v>
      </c>
      <c r="N801" s="120"/>
      <c r="O801" s="142" t="s">
        <v>5386</v>
      </c>
      <c r="P801" s="120"/>
      <c r="Q801" s="8">
        <v>45778</v>
      </c>
      <c r="R801" s="4">
        <v>45835</v>
      </c>
      <c r="S801" s="4">
        <v>45838</v>
      </c>
      <c r="T801" s="4" t="s">
        <v>5395</v>
      </c>
      <c r="U801" s="4" t="s">
        <v>5396</v>
      </c>
      <c r="V801" s="58">
        <v>104317</v>
      </c>
      <c r="W801" s="4" t="s">
        <v>5389</v>
      </c>
      <c r="X801" t="s">
        <v>5390</v>
      </c>
      <c r="Y801" s="9" t="s">
        <v>5397</v>
      </c>
      <c r="Z801" t="s">
        <v>489</v>
      </c>
      <c r="AA801" s="4" t="s">
        <v>4275</v>
      </c>
      <c r="AB801" s="5" t="s">
        <v>5213</v>
      </c>
      <c r="AC801" t="s">
        <v>2995</v>
      </c>
      <c r="AD801" s="496" t="s">
        <v>5392</v>
      </c>
    </row>
    <row r="802" spans="1:30" ht="87">
      <c r="A802" s="3" t="s">
        <v>350</v>
      </c>
      <c r="B802" s="46" t="s">
        <v>933</v>
      </c>
      <c r="C802" s="3"/>
      <c r="D802" s="141" t="s">
        <v>5398</v>
      </c>
      <c r="E802" s="141" t="s">
        <v>5399</v>
      </c>
      <c r="F802" s="496" t="s">
        <v>5400</v>
      </c>
      <c r="G802" t="s">
        <v>280</v>
      </c>
      <c r="H802" s="13" t="str">
        <f>IFERROR(VLOOKUP(G802, Sheet2!$A:$B, 2, FALSE), A802)</f>
        <v>BANK OF CHINA (HONG KONG) LIMITED</v>
      </c>
      <c r="I802" s="58" t="s">
        <v>359</v>
      </c>
      <c r="J802" s="52"/>
      <c r="K802" s="52" t="s">
        <v>5401</v>
      </c>
      <c r="L802" s="120"/>
      <c r="M802" s="502" t="s">
        <v>5400</v>
      </c>
      <c r="N802" s="120"/>
      <c r="O802" s="142" t="s">
        <v>5402</v>
      </c>
      <c r="P802" s="120"/>
      <c r="Q802" s="8">
        <v>45807</v>
      </c>
      <c r="R802" s="8">
        <v>45800</v>
      </c>
      <c r="S802" s="8">
        <v>45800</v>
      </c>
      <c r="T802" s="4" t="s">
        <v>5403</v>
      </c>
      <c r="U802" s="4" t="s">
        <v>5404</v>
      </c>
      <c r="V802" s="58">
        <v>104255</v>
      </c>
      <c r="W802" s="8" t="s">
        <v>5405</v>
      </c>
      <c r="X802" t="s">
        <v>5406</v>
      </c>
      <c r="Y802" s="9" t="s">
        <v>5407</v>
      </c>
      <c r="Z802" t="s">
        <v>1248</v>
      </c>
      <c r="AA802" s="4" t="s">
        <v>1248</v>
      </c>
      <c r="AB802" s="5" t="s">
        <v>375</v>
      </c>
      <c r="AC802" t="s">
        <v>2995</v>
      </c>
      <c r="AD802" s="193" t="s">
        <v>5408</v>
      </c>
    </row>
    <row r="803" spans="1:30" ht="29">
      <c r="A803" s="3" t="s">
        <v>4131</v>
      </c>
      <c r="B803" s="46" t="s">
        <v>933</v>
      </c>
      <c r="C803" s="3"/>
      <c r="D803" s="141"/>
      <c r="E803" s="141"/>
      <c r="F803" s="496"/>
      <c r="G803" t="s">
        <v>5409</v>
      </c>
      <c r="H803" s="13" t="str">
        <f>IFERROR(VLOOKUP(G803, Sheet2!$A:$B, 2, FALSE), A803)</f>
        <v>HKT BU PROJECT</v>
      </c>
      <c r="I803" s="58" t="s">
        <v>352</v>
      </c>
      <c r="J803" s="52"/>
      <c r="K803" s="52" t="s">
        <v>5410</v>
      </c>
      <c r="L803" s="120" t="s">
        <v>5411</v>
      </c>
      <c r="M803" s="348"/>
      <c r="N803" s="120"/>
      <c r="O803" s="142"/>
      <c r="P803" s="120"/>
      <c r="Q803" s="8" t="s">
        <v>2379</v>
      </c>
      <c r="R803" s="8" t="s">
        <v>2379</v>
      </c>
      <c r="S803" s="8" t="s">
        <v>2379</v>
      </c>
      <c r="T803" s="4" t="s">
        <v>2379</v>
      </c>
      <c r="U803" s="4" t="s">
        <v>2379</v>
      </c>
      <c r="V803" s="58" t="s">
        <v>2379</v>
      </c>
      <c r="W803" s="8" t="s">
        <v>2379</v>
      </c>
      <c r="Y803" s="9" t="s">
        <v>5412</v>
      </c>
      <c r="Z803" t="s">
        <v>1248</v>
      </c>
      <c r="AA803" s="4" t="s">
        <v>1248</v>
      </c>
      <c r="AB803" s="5"/>
      <c r="AC803" t="s">
        <v>1249</v>
      </c>
    </row>
    <row r="804" spans="1:30" ht="43.5">
      <c r="A804" s="3" t="s">
        <v>350</v>
      </c>
      <c r="B804" s="46" t="s">
        <v>933</v>
      </c>
      <c r="C804" s="3"/>
      <c r="D804" s="141" t="s">
        <v>5413</v>
      </c>
      <c r="E804" s="141" t="s">
        <v>5414</v>
      </c>
      <c r="F804" s="496" t="s">
        <v>5415</v>
      </c>
      <c r="G804" t="s">
        <v>5416</v>
      </c>
      <c r="H804" s="13" t="str">
        <f>IFERROR(VLOOKUP(G804, Sheet2!$A:$B, 2, FALSE), A804)</f>
        <v>HYSAN IT SERVICES COMPANY LIMITED</v>
      </c>
      <c r="I804" s="58" t="s">
        <v>352</v>
      </c>
      <c r="J804" s="52"/>
      <c r="K804" s="52" t="s">
        <v>5417</v>
      </c>
      <c r="L804" s="93"/>
      <c r="M804" s="504" t="s">
        <v>5418</v>
      </c>
      <c r="N804" s="120"/>
      <c r="O804" s="142" t="s">
        <v>5419</v>
      </c>
      <c r="P804" s="120"/>
      <c r="Q804" s="8">
        <v>45811</v>
      </c>
      <c r="R804" s="4">
        <v>45803</v>
      </c>
      <c r="S804" s="4">
        <v>45804</v>
      </c>
      <c r="T804" s="4" t="s">
        <v>5420</v>
      </c>
      <c r="U804" s="4" t="s">
        <v>5421</v>
      </c>
      <c r="V804" s="58">
        <v>104259</v>
      </c>
      <c r="W804" s="4" t="s">
        <v>5422</v>
      </c>
      <c r="X804" t="s">
        <v>5423</v>
      </c>
      <c r="Y804" s="9" t="s">
        <v>5424</v>
      </c>
      <c r="Z804" t="s">
        <v>489</v>
      </c>
      <c r="AA804" s="4" t="s">
        <v>4275</v>
      </c>
      <c r="AB804" s="5" t="s">
        <v>4275</v>
      </c>
      <c r="AC804" t="s">
        <v>3161</v>
      </c>
      <c r="AD804" s="193" t="s">
        <v>5425</v>
      </c>
    </row>
    <row r="805" spans="1:30" ht="29">
      <c r="A805" s="5" t="s">
        <v>4131</v>
      </c>
      <c r="B805" s="46" t="s">
        <v>933</v>
      </c>
      <c r="C805" s="3"/>
      <c r="D805" s="141"/>
      <c r="E805" s="141"/>
      <c r="G805" t="s">
        <v>1365</v>
      </c>
      <c r="H805" s="13" t="str">
        <f>IFERROR(VLOOKUP(G805, Sheet2!$A:$B, 2, FALSE), A805)</f>
        <v>AIRPORT AUTHORITY</v>
      </c>
      <c r="I805" s="58" t="s">
        <v>352</v>
      </c>
      <c r="J805" s="52" t="s">
        <v>655</v>
      </c>
      <c r="K805" s="511">
        <v>981376166473</v>
      </c>
      <c r="L805" s="120" t="s">
        <v>5426</v>
      </c>
      <c r="M805" s="348"/>
      <c r="N805" s="120"/>
      <c r="O805" s="142" t="s">
        <v>4727</v>
      </c>
      <c r="P805" s="120"/>
      <c r="Q805" s="4" t="s">
        <v>2379</v>
      </c>
      <c r="R805" s="4" t="s">
        <v>2379</v>
      </c>
      <c r="S805" s="4" t="s">
        <v>2379</v>
      </c>
      <c r="T805" s="4" t="s">
        <v>2379</v>
      </c>
      <c r="U805" s="4" t="s">
        <v>2379</v>
      </c>
      <c r="V805" s="58" t="s">
        <v>2379</v>
      </c>
      <c r="W805" s="4" t="s">
        <v>2379</v>
      </c>
      <c r="Y805" s="7" t="s">
        <v>5427</v>
      </c>
      <c r="AC805" t="s">
        <v>945</v>
      </c>
    </row>
    <row r="806" spans="1:30" ht="29">
      <c r="A806" s="3" t="s">
        <v>4131</v>
      </c>
      <c r="B806" s="46" t="s">
        <v>933</v>
      </c>
      <c r="C806" s="3"/>
      <c r="D806" s="141"/>
      <c r="E806" s="141"/>
      <c r="G806" t="s">
        <v>51</v>
      </c>
      <c r="H806" s="13" t="str">
        <f>IFERROR(VLOOKUP(G806, Sheet2!$A:$B, 2, FALSE), A806)</f>
        <v>AIRPORT AUTHORITY</v>
      </c>
      <c r="I806" s="58" t="s">
        <v>352</v>
      </c>
      <c r="J806" s="52" t="s">
        <v>655</v>
      </c>
      <c r="K806" s="52" t="s">
        <v>5428</v>
      </c>
      <c r="L806" s="120" t="s">
        <v>5429</v>
      </c>
      <c r="M806" s="348"/>
      <c r="N806" s="120"/>
      <c r="O806" s="142" t="s">
        <v>5019</v>
      </c>
      <c r="P806" s="120"/>
      <c r="Q806" s="8" t="s">
        <v>2379</v>
      </c>
      <c r="R806" s="8" t="s">
        <v>2379</v>
      </c>
      <c r="S806" s="8" t="s">
        <v>2379</v>
      </c>
      <c r="T806" s="4" t="s">
        <v>2379</v>
      </c>
      <c r="U806" s="4" t="s">
        <v>2379</v>
      </c>
      <c r="V806" s="58" t="s">
        <v>2379</v>
      </c>
      <c r="W806" s="8" t="s">
        <v>2379</v>
      </c>
      <c r="Y806" s="7" t="s">
        <v>5430</v>
      </c>
      <c r="AC806" t="s">
        <v>945</v>
      </c>
    </row>
    <row r="807" spans="1:30" ht="101.5">
      <c r="A807" s="5" t="s">
        <v>350</v>
      </c>
      <c r="B807" s="46" t="s">
        <v>933</v>
      </c>
      <c r="C807" s="3"/>
      <c r="D807" s="141" t="s">
        <v>4611</v>
      </c>
      <c r="E807" s="141" t="s">
        <v>4612</v>
      </c>
      <c r="F807" s="193" t="s">
        <v>4613</v>
      </c>
      <c r="G807" t="s">
        <v>243</v>
      </c>
      <c r="H807" s="13" t="str">
        <f>IFERROR(VLOOKUP(G807, Sheet2!$A:$B, 2, FALSE), A807)</f>
        <v>MONMONKEY GROUP SECURITIES LIMITED</v>
      </c>
      <c r="I807" s="58" t="s">
        <v>393</v>
      </c>
      <c r="J807" s="512"/>
      <c r="K807" s="511"/>
      <c r="L807" s="120"/>
      <c r="M807" s="348"/>
      <c r="N807" s="120"/>
      <c r="O807" s="142" t="s">
        <v>5431</v>
      </c>
      <c r="P807" s="93" t="s">
        <v>5432</v>
      </c>
      <c r="Q807" s="4">
        <v>45814</v>
      </c>
      <c r="R807" s="4">
        <v>45810</v>
      </c>
      <c r="S807" s="4">
        <v>45814</v>
      </c>
      <c r="T807" s="4" t="s">
        <v>5433</v>
      </c>
      <c r="U807" s="4" t="s">
        <v>5434</v>
      </c>
      <c r="V807" s="58">
        <v>104277</v>
      </c>
      <c r="W807" s="4" t="s">
        <v>5435</v>
      </c>
      <c r="X807" t="s">
        <v>5436</v>
      </c>
      <c r="Y807" s="7" t="s">
        <v>5437</v>
      </c>
      <c r="Z807" t="s">
        <v>489</v>
      </c>
      <c r="AA807" t="s">
        <v>4275</v>
      </c>
      <c r="AB807" t="s">
        <v>4275</v>
      </c>
      <c r="AC807" t="s">
        <v>3161</v>
      </c>
      <c r="AD807" s="193" t="s">
        <v>5438</v>
      </c>
    </row>
    <row r="808" spans="1:30" ht="72.5">
      <c r="A808" s="5" t="s">
        <v>350</v>
      </c>
      <c r="B808" s="46" t="s">
        <v>933</v>
      </c>
      <c r="C808" s="3"/>
      <c r="D808" s="141" t="s">
        <v>3845</v>
      </c>
      <c r="E808" s="141" t="s">
        <v>5439</v>
      </c>
      <c r="F808" s="496" t="s">
        <v>3847</v>
      </c>
      <c r="G808" t="s">
        <v>5275</v>
      </c>
      <c r="H808" s="13" t="str">
        <f>IFERROR(VLOOKUP(G808, Sheet2!$A:$B, 2, FALSE), A808)</f>
        <v>SHANGHAI COMMERCIAL BANK LTD</v>
      </c>
      <c r="I808" s="58" t="s">
        <v>352</v>
      </c>
      <c r="J808" s="52" t="s">
        <v>5440</v>
      </c>
      <c r="K808" s="52" t="s">
        <v>5441</v>
      </c>
      <c r="L808" s="120" t="s">
        <v>5442</v>
      </c>
      <c r="M808" s="502" t="s">
        <v>5443</v>
      </c>
      <c r="N808" s="120"/>
      <c r="O808" s="142" t="s">
        <v>5444</v>
      </c>
      <c r="P808" s="120"/>
      <c r="Q808" s="8">
        <v>45824</v>
      </c>
      <c r="R808" s="8">
        <v>45818</v>
      </c>
      <c r="S808" s="8">
        <v>45819</v>
      </c>
      <c r="T808" s="4" t="s">
        <v>5445</v>
      </c>
      <c r="U808" s="4" t="s">
        <v>5446</v>
      </c>
      <c r="V808" s="58">
        <v>104287</v>
      </c>
      <c r="W808" s="8" t="s">
        <v>5447</v>
      </c>
      <c r="X808" t="s">
        <v>5448</v>
      </c>
      <c r="Y808" s="9" t="s">
        <v>5449</v>
      </c>
      <c r="Z808" t="s">
        <v>4275</v>
      </c>
      <c r="AA808" t="s">
        <v>4275</v>
      </c>
      <c r="AB808" t="s">
        <v>4275</v>
      </c>
      <c r="AC808" t="s">
        <v>3161</v>
      </c>
      <c r="AD808" s="496" t="s">
        <v>5450</v>
      </c>
    </row>
    <row r="809" spans="1:30" ht="29">
      <c r="A809" s="5" t="s">
        <v>4131</v>
      </c>
      <c r="B809" s="46" t="s">
        <v>933</v>
      </c>
      <c r="C809" s="3"/>
      <c r="D809" s="141"/>
      <c r="E809" s="141"/>
      <c r="F809" s="496"/>
      <c r="G809" t="s">
        <v>51</v>
      </c>
      <c r="H809" s="13" t="str">
        <f>IFERROR(VLOOKUP(G809, Sheet2!$A:$B, 2, FALSE), A809)</f>
        <v>AIRPORT AUTHORITY</v>
      </c>
      <c r="I809" s="58" t="s">
        <v>352</v>
      </c>
      <c r="J809" s="52" t="s">
        <v>655</v>
      </c>
      <c r="K809" s="52" t="s">
        <v>5451</v>
      </c>
      <c r="L809" s="120" t="s">
        <v>5452</v>
      </c>
      <c r="M809" s="348"/>
      <c r="N809" s="120"/>
      <c r="O809" s="142" t="s">
        <v>4727</v>
      </c>
      <c r="P809" s="120"/>
      <c r="Q809" s="8" t="s">
        <v>2379</v>
      </c>
      <c r="R809" s="8" t="s">
        <v>2379</v>
      </c>
      <c r="S809" s="8" t="s">
        <v>2379</v>
      </c>
      <c r="T809" s="4" t="s">
        <v>2379</v>
      </c>
      <c r="U809" s="4" t="s">
        <v>2379</v>
      </c>
      <c r="V809" s="58" t="s">
        <v>2379</v>
      </c>
      <c r="W809" s="8" t="s">
        <v>2379</v>
      </c>
      <c r="Y809" s="9" t="s">
        <v>5453</v>
      </c>
      <c r="AC809" t="s">
        <v>3161</v>
      </c>
      <c r="AD809" s="496"/>
    </row>
    <row r="810" spans="1:30" ht="29">
      <c r="A810" s="5" t="s">
        <v>4131</v>
      </c>
      <c r="B810" s="46" t="s">
        <v>933</v>
      </c>
      <c r="C810" s="3"/>
      <c r="D810" s="141"/>
      <c r="E810" s="141"/>
      <c r="F810" s="496"/>
      <c r="G810" t="s">
        <v>51</v>
      </c>
      <c r="H810" s="13" t="str">
        <f>IFERROR(VLOOKUP(G810, Sheet2!$A:$B, 2, FALSE), A810)</f>
        <v>AIRPORT AUTHORITY</v>
      </c>
      <c r="I810" s="58" t="s">
        <v>352</v>
      </c>
      <c r="J810" s="52" t="s">
        <v>655</v>
      </c>
      <c r="K810" s="52" t="s">
        <v>5454</v>
      </c>
      <c r="L810" s="120" t="s">
        <v>5455</v>
      </c>
      <c r="M810" s="348"/>
      <c r="N810" s="120"/>
      <c r="O810" s="142" t="s">
        <v>5019</v>
      </c>
      <c r="P810" s="120"/>
      <c r="Q810" s="8" t="s">
        <v>2379</v>
      </c>
      <c r="R810" s="8" t="s">
        <v>2379</v>
      </c>
      <c r="S810" s="8" t="s">
        <v>2379</v>
      </c>
      <c r="T810" s="4" t="s">
        <v>2379</v>
      </c>
      <c r="U810" s="4" t="s">
        <v>2379</v>
      </c>
      <c r="V810" s="58" t="s">
        <v>2379</v>
      </c>
      <c r="W810" s="8" t="s">
        <v>2379</v>
      </c>
      <c r="Y810" s="9" t="s">
        <v>5453</v>
      </c>
      <c r="AD810" s="496"/>
    </row>
    <row r="811" spans="1:30" ht="29">
      <c r="A811" s="5" t="s">
        <v>4131</v>
      </c>
      <c r="B811" s="46" t="s">
        <v>933</v>
      </c>
      <c r="C811" s="3"/>
      <c r="D811" s="141"/>
      <c r="E811" s="141"/>
      <c r="F811" s="496"/>
      <c r="G811" t="s">
        <v>51</v>
      </c>
      <c r="H811" s="13" t="str">
        <f>IFERROR(VLOOKUP(G811, Sheet2!$A:$B, 2, FALSE), A811)</f>
        <v>AIRPORT AUTHORITY</v>
      </c>
      <c r="I811" s="58" t="s">
        <v>352</v>
      </c>
      <c r="J811" s="52" t="s">
        <v>655</v>
      </c>
      <c r="K811" s="52" t="s">
        <v>5456</v>
      </c>
      <c r="L811" s="120" t="s">
        <v>5457</v>
      </c>
      <c r="M811" s="348"/>
      <c r="N811" s="120"/>
      <c r="O811" s="142" t="s">
        <v>4727</v>
      </c>
      <c r="P811" s="120"/>
      <c r="Q811" s="8" t="s">
        <v>2379</v>
      </c>
      <c r="R811" s="8" t="s">
        <v>2379</v>
      </c>
      <c r="S811" s="8" t="s">
        <v>2379</v>
      </c>
      <c r="T811" s="4" t="s">
        <v>2379</v>
      </c>
      <c r="U811" s="4" t="s">
        <v>2379</v>
      </c>
      <c r="V811" s="58" t="s">
        <v>2379</v>
      </c>
      <c r="W811" s="8" t="s">
        <v>2379</v>
      </c>
      <c r="Y811" s="9" t="s">
        <v>5458</v>
      </c>
      <c r="AD811" s="496"/>
    </row>
    <row r="812" spans="1:30" ht="29">
      <c r="A812" s="5" t="s">
        <v>4131</v>
      </c>
      <c r="B812" s="46" t="s">
        <v>933</v>
      </c>
      <c r="C812" s="3"/>
      <c r="D812" s="141"/>
      <c r="E812" s="141"/>
      <c r="F812" s="496"/>
      <c r="G812" t="s">
        <v>51</v>
      </c>
      <c r="H812" s="13" t="str">
        <f>IFERROR(VLOOKUP(G812, Sheet2!$A:$B, 2, FALSE), A812)</f>
        <v>AIRPORT AUTHORITY</v>
      </c>
      <c r="I812" s="58" t="s">
        <v>352</v>
      </c>
      <c r="J812" s="52" t="s">
        <v>655</v>
      </c>
      <c r="K812" s="52" t="s">
        <v>5459</v>
      </c>
      <c r="L812" s="120" t="s">
        <v>5460</v>
      </c>
      <c r="M812" s="348"/>
      <c r="N812" s="120"/>
      <c r="O812" s="142" t="s">
        <v>5019</v>
      </c>
      <c r="P812" s="120"/>
      <c r="Q812" s="8" t="s">
        <v>2379</v>
      </c>
      <c r="R812" s="8" t="s">
        <v>2379</v>
      </c>
      <c r="S812" s="8" t="s">
        <v>2379</v>
      </c>
      <c r="T812" s="4" t="s">
        <v>2379</v>
      </c>
      <c r="U812" s="4" t="s">
        <v>2379</v>
      </c>
      <c r="V812" s="58" t="s">
        <v>2379</v>
      </c>
      <c r="W812" s="8" t="s">
        <v>2379</v>
      </c>
      <c r="Y812" s="9" t="s">
        <v>5458</v>
      </c>
      <c r="AD812" s="496"/>
    </row>
    <row r="813" spans="1:30" ht="87">
      <c r="A813" s="5" t="s">
        <v>350</v>
      </c>
      <c r="B813" s="46" t="s">
        <v>4455</v>
      </c>
      <c r="C813" s="3"/>
      <c r="D813" s="141" t="s">
        <v>5461</v>
      </c>
      <c r="E813" s="141" t="s">
        <v>5462</v>
      </c>
      <c r="F813" s="496" t="s">
        <v>5463</v>
      </c>
      <c r="G813" t="s">
        <v>51</v>
      </c>
      <c r="H813" s="13" t="str">
        <f>IFERROR(VLOOKUP(G813, Sheet2!$A:$B, 2, FALSE), A813)</f>
        <v>AIRPORT AUTHORITY</v>
      </c>
      <c r="I813" s="58" t="s">
        <v>393</v>
      </c>
      <c r="J813" s="52"/>
      <c r="K813" s="52"/>
      <c r="L813" s="120" t="s">
        <v>5464</v>
      </c>
      <c r="M813" s="348"/>
      <c r="N813" s="120"/>
      <c r="O813" s="142" t="s">
        <v>5019</v>
      </c>
      <c r="P813" s="120"/>
      <c r="Q813" s="8">
        <v>45828</v>
      </c>
      <c r="R813" s="8">
        <v>45826</v>
      </c>
      <c r="S813" s="8">
        <v>45827</v>
      </c>
      <c r="T813" s="4" t="s">
        <v>2948</v>
      </c>
      <c r="U813" s="4" t="s">
        <v>5465</v>
      </c>
      <c r="V813" s="58">
        <v>102322</v>
      </c>
      <c r="W813" s="4" t="s">
        <v>5466</v>
      </c>
      <c r="X813" t="s">
        <v>5467</v>
      </c>
      <c r="Y813" s="9" t="s">
        <v>5468</v>
      </c>
      <c r="Z813" t="s">
        <v>489</v>
      </c>
      <c r="AA813" t="s">
        <v>4275</v>
      </c>
      <c r="AB813" t="s">
        <v>4275</v>
      </c>
      <c r="AC813" t="s">
        <v>3161</v>
      </c>
      <c r="AD813" s="496" t="s">
        <v>5469</v>
      </c>
    </row>
    <row r="814" spans="1:30" ht="174">
      <c r="A814" s="5" t="s">
        <v>350</v>
      </c>
      <c r="B814" s="46" t="s">
        <v>3118</v>
      </c>
      <c r="C814" s="3"/>
      <c r="D814" s="141" t="s">
        <v>5470</v>
      </c>
      <c r="E814" s="141" t="s">
        <v>5471</v>
      </c>
      <c r="F814" s="496" t="s">
        <v>5472</v>
      </c>
      <c r="G814" t="s">
        <v>51</v>
      </c>
      <c r="H814" s="13" t="str">
        <f>IFERROR(VLOOKUP(G814, Sheet2!$A:$B, 2, FALSE), A814)</f>
        <v>AIRPORT AUTHORITY</v>
      </c>
      <c r="I814" s="58" t="s">
        <v>352</v>
      </c>
      <c r="J814" s="52" t="s">
        <v>655</v>
      </c>
      <c r="K814" s="52" t="s">
        <v>5473</v>
      </c>
      <c r="L814" s="120" t="s">
        <v>5474</v>
      </c>
      <c r="M814" s="348"/>
      <c r="N814" s="120"/>
      <c r="O814" s="142" t="s">
        <v>5475</v>
      </c>
      <c r="P814" s="120"/>
      <c r="Q814" s="8">
        <v>45828</v>
      </c>
      <c r="R814" s="8">
        <v>45826</v>
      </c>
      <c r="S814" s="8">
        <v>45827</v>
      </c>
      <c r="T814" s="4" t="s">
        <v>5476</v>
      </c>
      <c r="U814" s="4" t="s">
        <v>5477</v>
      </c>
      <c r="V814" s="58">
        <v>104303</v>
      </c>
      <c r="W814" s="4" t="s">
        <v>5478</v>
      </c>
      <c r="X814" t="s">
        <v>5479</v>
      </c>
      <c r="Y814" s="9" t="s">
        <v>5480</v>
      </c>
      <c r="Z814" t="s">
        <v>489</v>
      </c>
      <c r="AA814" t="s">
        <v>781</v>
      </c>
      <c r="AB814" t="s">
        <v>4275</v>
      </c>
      <c r="AC814" t="s">
        <v>3161</v>
      </c>
      <c r="AD814" s="496" t="s">
        <v>5481</v>
      </c>
    </row>
    <row r="815" spans="1:30" ht="116">
      <c r="A815" s="5" t="s">
        <v>350</v>
      </c>
      <c r="B815" s="46" t="s">
        <v>3118</v>
      </c>
      <c r="C815" s="3"/>
      <c r="D815" s="141" t="s">
        <v>5470</v>
      </c>
      <c r="E815" s="141" t="s">
        <v>5471</v>
      </c>
      <c r="F815" s="496" t="s">
        <v>5472</v>
      </c>
      <c r="G815" t="s">
        <v>51</v>
      </c>
      <c r="H815" s="13" t="str">
        <f>IFERROR(VLOOKUP(G815, Sheet2!$A:$B, 2, FALSE), A815)</f>
        <v>AIRPORT AUTHORITY</v>
      </c>
      <c r="I815" s="58" t="s">
        <v>352</v>
      </c>
      <c r="J815" s="52" t="s">
        <v>655</v>
      </c>
      <c r="K815" s="52" t="s">
        <v>5482</v>
      </c>
      <c r="L815" s="120" t="s">
        <v>5483</v>
      </c>
      <c r="M815" s="348"/>
      <c r="N815" s="120"/>
      <c r="O815" s="142" t="s">
        <v>5484</v>
      </c>
      <c r="P815" s="120"/>
      <c r="Q815" s="4">
        <v>45856</v>
      </c>
      <c r="R815" s="4">
        <v>45853</v>
      </c>
      <c r="S815" s="4">
        <v>45854</v>
      </c>
      <c r="T815" s="4" t="s">
        <v>5485</v>
      </c>
      <c r="U815" s="4" t="s">
        <v>5486</v>
      </c>
      <c r="V815" s="58">
        <v>104338</v>
      </c>
      <c r="W815" s="4" t="s">
        <v>5487</v>
      </c>
      <c r="X815" t="s">
        <v>5479</v>
      </c>
      <c r="Y815" s="9" t="s">
        <v>5488</v>
      </c>
      <c r="Z815" t="s">
        <v>489</v>
      </c>
      <c r="AA815" t="s">
        <v>781</v>
      </c>
      <c r="AB815" t="s">
        <v>4275</v>
      </c>
      <c r="AC815" t="s">
        <v>3161</v>
      </c>
      <c r="AD815" s="496" t="s">
        <v>5489</v>
      </c>
    </row>
    <row r="816" spans="1:30" ht="130.5">
      <c r="A816" s="3" t="s">
        <v>350</v>
      </c>
      <c r="B816" s="46" t="s">
        <v>4455</v>
      </c>
      <c r="C816" s="3"/>
      <c r="D816" s="141" t="s">
        <v>5470</v>
      </c>
      <c r="E816" s="141" t="s">
        <v>5471</v>
      </c>
      <c r="F816" s="496" t="s">
        <v>5472</v>
      </c>
      <c r="G816" t="s">
        <v>51</v>
      </c>
      <c r="H816" s="13" t="str">
        <f>IFERROR(VLOOKUP(G816, Sheet2!$A:$B, 2, FALSE), A816)</f>
        <v>AIRPORT AUTHORITY</v>
      </c>
      <c r="I816" s="58" t="s">
        <v>352</v>
      </c>
      <c r="J816" s="52"/>
      <c r="K816" s="52"/>
      <c r="L816" s="120" t="s">
        <v>5490</v>
      </c>
      <c r="M816" s="348"/>
      <c r="N816" s="120"/>
      <c r="O816" s="142" t="s">
        <v>5484</v>
      </c>
      <c r="P816" s="120"/>
      <c r="Q816" s="8">
        <v>45835</v>
      </c>
      <c r="R816" s="8">
        <v>45890</v>
      </c>
      <c r="S816" s="8">
        <v>45835</v>
      </c>
      <c r="T816" s="4" t="s">
        <v>5476</v>
      </c>
      <c r="U816" s="4" t="s">
        <v>5491</v>
      </c>
      <c r="V816" s="58">
        <v>104303</v>
      </c>
      <c r="W816" s="4" t="s">
        <v>5492</v>
      </c>
      <c r="X816" t="s">
        <v>5493</v>
      </c>
      <c r="Y816" s="9" t="s">
        <v>5494</v>
      </c>
      <c r="Z816" t="s">
        <v>489</v>
      </c>
      <c r="AA816" t="s">
        <v>781</v>
      </c>
      <c r="AB816" t="s">
        <v>4275</v>
      </c>
      <c r="AC816" t="s">
        <v>3161</v>
      </c>
      <c r="AD816" s="496" t="s">
        <v>5495</v>
      </c>
    </row>
    <row r="817" spans="1:30" ht="101.5">
      <c r="A817" s="3" t="s">
        <v>350</v>
      </c>
      <c r="B817" s="46" t="s">
        <v>3118</v>
      </c>
      <c r="C817" s="3"/>
      <c r="D817" s="141" t="s">
        <v>4416</v>
      </c>
      <c r="E817" s="141" t="s">
        <v>4364</v>
      </c>
      <c r="F817" s="193" t="s">
        <v>4511</v>
      </c>
      <c r="G817" s="10" t="s">
        <v>175</v>
      </c>
      <c r="H817" s="13" t="str">
        <f>IFERROR(VLOOKUP(G817, Sheet2!$A:$B, 2, FALSE), A817)</f>
        <v>HOSPITAL AUTHORITY</v>
      </c>
      <c r="I817" s="58" t="s">
        <v>675</v>
      </c>
      <c r="J817" s="52" t="s">
        <v>1663</v>
      </c>
      <c r="K817" s="52" t="s">
        <v>5496</v>
      </c>
      <c r="L817" s="120" t="s">
        <v>5497</v>
      </c>
      <c r="M817" s="502" t="s">
        <v>5498</v>
      </c>
      <c r="N817" s="120"/>
      <c r="O817" s="142" t="s">
        <v>5499</v>
      </c>
      <c r="P817" s="120"/>
      <c r="Q817" s="8">
        <v>45809</v>
      </c>
      <c r="R817" s="8">
        <v>45859</v>
      </c>
      <c r="S817" s="8">
        <v>45809</v>
      </c>
      <c r="T817" s="4" t="s">
        <v>5500</v>
      </c>
      <c r="U817" s="4" t="s">
        <v>5501</v>
      </c>
      <c r="V817" s="58">
        <v>104339</v>
      </c>
      <c r="W817" s="4" t="s">
        <v>5502</v>
      </c>
      <c r="X817" t="s">
        <v>5503</v>
      </c>
      <c r="Y817" s="9" t="s">
        <v>5504</v>
      </c>
      <c r="Z817" t="s">
        <v>4275</v>
      </c>
      <c r="AA817" t="s">
        <v>1072</v>
      </c>
      <c r="AB817" t="s">
        <v>4275</v>
      </c>
      <c r="AC817" t="s">
        <v>3161</v>
      </c>
      <c r="AD817" s="496" t="s">
        <v>5505</v>
      </c>
    </row>
    <row r="818" spans="1:30" ht="101.5">
      <c r="A818" s="3" t="s">
        <v>350</v>
      </c>
      <c r="B818" s="46" t="s">
        <v>3118</v>
      </c>
      <c r="C818" s="3"/>
      <c r="D818" s="141" t="s">
        <v>5163</v>
      </c>
      <c r="E818" s="141" t="s">
        <v>5506</v>
      </c>
      <c r="F818" s="193" t="s">
        <v>5165</v>
      </c>
      <c r="G818" t="s">
        <v>51</v>
      </c>
      <c r="H818" s="13" t="str">
        <f>IFERROR(VLOOKUP(G818, Sheet2!$A:$B, 2, FALSE), A818)</f>
        <v>AIRPORT AUTHORITY</v>
      </c>
      <c r="I818" s="58" t="s">
        <v>352</v>
      </c>
      <c r="J818" s="52"/>
      <c r="K818" s="77" t="s">
        <v>5507</v>
      </c>
      <c r="L818" s="120" t="s">
        <v>5508</v>
      </c>
      <c r="M818" s="502"/>
      <c r="N818" s="120"/>
      <c r="O818" s="142" t="s">
        <v>4727</v>
      </c>
      <c r="P818" s="120"/>
      <c r="Q818" s="8">
        <v>45835</v>
      </c>
      <c r="R818" s="8">
        <v>45831</v>
      </c>
      <c r="S818" s="8">
        <v>45832</v>
      </c>
      <c r="T818" s="4" t="s">
        <v>5509</v>
      </c>
      <c r="U818" s="4" t="s">
        <v>5510</v>
      </c>
      <c r="V818" s="58">
        <v>104309</v>
      </c>
      <c r="W818" s="4" t="s">
        <v>5511</v>
      </c>
      <c r="X818" t="s">
        <v>5512</v>
      </c>
      <c r="Y818" s="9" t="s">
        <v>5513</v>
      </c>
      <c r="Z818" t="s">
        <v>489</v>
      </c>
      <c r="AA818" t="s">
        <v>781</v>
      </c>
      <c r="AB818" t="s">
        <v>4275</v>
      </c>
      <c r="AC818" t="s">
        <v>3161</v>
      </c>
      <c r="AD818" s="496" t="s">
        <v>5514</v>
      </c>
    </row>
    <row r="819" spans="1:30" ht="87">
      <c r="A819" s="3" t="s">
        <v>350</v>
      </c>
      <c r="B819" s="46" t="s">
        <v>2773</v>
      </c>
      <c r="C819" s="3"/>
      <c r="D819" s="141" t="s">
        <v>5173</v>
      </c>
      <c r="E819" s="141" t="s">
        <v>5515</v>
      </c>
      <c r="F819" s="193" t="s">
        <v>5175</v>
      </c>
      <c r="G819" t="s">
        <v>51</v>
      </c>
      <c r="H819" s="13" t="str">
        <f>IFERROR(VLOOKUP(G819, Sheet2!$A:$B, 2, FALSE), A819)</f>
        <v>AIRPORT AUTHORITY</v>
      </c>
      <c r="I819" s="58" t="s">
        <v>352</v>
      </c>
      <c r="J819" s="52"/>
      <c r="K819" s="77" t="s">
        <v>5507</v>
      </c>
      <c r="L819" s="120" t="s">
        <v>5516</v>
      </c>
      <c r="M819" s="502"/>
      <c r="N819" s="120"/>
      <c r="O819" s="142" t="s">
        <v>5019</v>
      </c>
      <c r="P819" s="120"/>
      <c r="Q819" s="8">
        <v>45848</v>
      </c>
      <c r="R819" s="8">
        <v>45842</v>
      </c>
      <c r="S819" s="8">
        <v>45842</v>
      </c>
      <c r="T819" s="4" t="s">
        <v>5517</v>
      </c>
      <c r="U819" s="4" t="s">
        <v>5518</v>
      </c>
      <c r="V819" s="58">
        <v>104309</v>
      </c>
      <c r="W819" s="4" t="s">
        <v>5519</v>
      </c>
      <c r="X819" t="s">
        <v>5520</v>
      </c>
      <c r="Y819" s="9" t="s">
        <v>5521</v>
      </c>
      <c r="Z819" t="s">
        <v>886</v>
      </c>
      <c r="AA819" t="s">
        <v>1079</v>
      </c>
      <c r="AB819" t="s">
        <v>1248</v>
      </c>
      <c r="AC819" t="s">
        <v>1249</v>
      </c>
      <c r="AD819" s="496" t="s">
        <v>5522</v>
      </c>
    </row>
    <row r="820" spans="1:30" ht="72.5">
      <c r="A820" s="3" t="s">
        <v>350</v>
      </c>
      <c r="B820" s="46" t="s">
        <v>3118</v>
      </c>
      <c r="C820" s="3"/>
      <c r="D820" s="141" t="s">
        <v>5523</v>
      </c>
      <c r="E820" s="141">
        <v>39693322</v>
      </c>
      <c r="F820" s="496" t="s">
        <v>5524</v>
      </c>
      <c r="G820" t="s">
        <v>175</v>
      </c>
      <c r="H820" s="13" t="str">
        <f>IFERROR(VLOOKUP(G820, Sheet2!$A:$B, 2, FALSE), A820)</f>
        <v>HOSPITAL AUTHORITY</v>
      </c>
      <c r="I820" s="58" t="s">
        <v>352</v>
      </c>
      <c r="J820" s="52" t="s">
        <v>1663</v>
      </c>
      <c r="K820" s="52"/>
      <c r="L820" s="120"/>
      <c r="M820" s="348"/>
      <c r="N820" s="120"/>
      <c r="O820" s="142" t="s">
        <v>4572</v>
      </c>
      <c r="P820" s="120"/>
      <c r="Q820" s="8">
        <v>45716</v>
      </c>
      <c r="R820" s="8">
        <v>45835</v>
      </c>
      <c r="S820" s="8">
        <v>45716</v>
      </c>
      <c r="T820" s="4" t="s">
        <v>5525</v>
      </c>
      <c r="U820" s="4" t="s">
        <v>5526</v>
      </c>
      <c r="V820" s="58" t="s">
        <v>5527</v>
      </c>
      <c r="W820" s="4" t="s">
        <v>5528</v>
      </c>
      <c r="X820" t="s">
        <v>5529</v>
      </c>
      <c r="Y820" s="9" t="s">
        <v>5530</v>
      </c>
      <c r="Z820" t="s">
        <v>886</v>
      </c>
      <c r="AA820" t="s">
        <v>4275</v>
      </c>
      <c r="AB820" t="s">
        <v>1248</v>
      </c>
      <c r="AC820" t="s">
        <v>1249</v>
      </c>
      <c r="AD820" s="496" t="s">
        <v>5531</v>
      </c>
    </row>
    <row r="821" spans="1:30" ht="72.5">
      <c r="A821" s="3" t="s">
        <v>350</v>
      </c>
      <c r="B821" s="46" t="s">
        <v>3118</v>
      </c>
      <c r="C821" s="3"/>
      <c r="D821" s="141" t="s">
        <v>2666</v>
      </c>
      <c r="E821" s="141">
        <v>39693322</v>
      </c>
      <c r="F821" s="496" t="s">
        <v>5524</v>
      </c>
      <c r="G821" t="s">
        <v>175</v>
      </c>
      <c r="H821" s="13" t="str">
        <f>IFERROR(VLOOKUP(G821, Sheet2!$A:$B, 2, FALSE), A821)</f>
        <v>HOSPITAL AUTHORITY</v>
      </c>
      <c r="I821" s="58" t="s">
        <v>352</v>
      </c>
      <c r="J821" s="52" t="s">
        <v>1663</v>
      </c>
      <c r="K821" s="52"/>
      <c r="L821" s="120"/>
      <c r="M821" s="348"/>
      <c r="N821" s="120"/>
      <c r="O821" s="142" t="s">
        <v>4572</v>
      </c>
      <c r="P821" s="120"/>
      <c r="Q821" s="8">
        <v>45716</v>
      </c>
      <c r="R821" s="8">
        <v>45835</v>
      </c>
      <c r="S821" s="8">
        <v>45716</v>
      </c>
      <c r="T821" s="4" t="s">
        <v>5532</v>
      </c>
      <c r="U821" s="4" t="s">
        <v>5533</v>
      </c>
      <c r="V821" s="58" t="s">
        <v>5527</v>
      </c>
      <c r="W821" s="4" t="s">
        <v>5528</v>
      </c>
      <c r="X821" t="s">
        <v>5529</v>
      </c>
      <c r="Y821" s="9" t="s">
        <v>5534</v>
      </c>
      <c r="Z821" t="s">
        <v>886</v>
      </c>
      <c r="AA821" t="s">
        <v>4275</v>
      </c>
      <c r="AB821" t="s">
        <v>1248</v>
      </c>
      <c r="AC821" t="s">
        <v>1249</v>
      </c>
      <c r="AD821" s="496" t="s">
        <v>5531</v>
      </c>
    </row>
    <row r="822" spans="1:30" ht="130.5">
      <c r="A822" s="3" t="s">
        <v>350</v>
      </c>
      <c r="B822" s="46" t="s">
        <v>3118</v>
      </c>
      <c r="C822" s="3"/>
      <c r="D822" s="141" t="s">
        <v>5535</v>
      </c>
      <c r="E822" s="141" t="s">
        <v>5536</v>
      </c>
      <c r="F822" s="496" t="s">
        <v>5537</v>
      </c>
      <c r="G822" t="s">
        <v>243</v>
      </c>
      <c r="H822" s="13" t="str">
        <f>IFERROR(VLOOKUP(G822, Sheet2!$A:$B, 2, FALSE), A822)</f>
        <v>MONMONKEY GROUP SECURITIES LIMITED</v>
      </c>
      <c r="I822" s="58" t="s">
        <v>393</v>
      </c>
      <c r="J822" s="52"/>
      <c r="K822" s="52"/>
      <c r="L822" s="120"/>
      <c r="M822" s="348"/>
      <c r="N822" s="120"/>
      <c r="O822" s="142" t="s">
        <v>5538</v>
      </c>
      <c r="P822" s="120" t="s">
        <v>5539</v>
      </c>
      <c r="Q822" s="8">
        <v>45845</v>
      </c>
      <c r="R822" s="8">
        <v>45845</v>
      </c>
      <c r="S822" s="4">
        <v>45845</v>
      </c>
      <c r="T822" s="4" t="s">
        <v>5540</v>
      </c>
      <c r="U822" s="4" t="s">
        <v>5541</v>
      </c>
      <c r="V822" s="58">
        <v>104327</v>
      </c>
      <c r="W822" s="4" t="s">
        <v>5542</v>
      </c>
      <c r="X822" t="s">
        <v>5543</v>
      </c>
      <c r="Y822" s="9" t="s">
        <v>5544</v>
      </c>
      <c r="Z822" t="s">
        <v>1248</v>
      </c>
      <c r="AA822" t="s">
        <v>1248</v>
      </c>
      <c r="AB822" t="s">
        <v>1248</v>
      </c>
      <c r="AC822" t="s">
        <v>1249</v>
      </c>
      <c r="AD822" s="496" t="s">
        <v>5545</v>
      </c>
    </row>
    <row r="823" spans="1:30" ht="232">
      <c r="A823" s="5" t="s">
        <v>350</v>
      </c>
      <c r="B823" s="46" t="s">
        <v>933</v>
      </c>
      <c r="C823" s="3"/>
      <c r="D823" s="141" t="s">
        <v>5546</v>
      </c>
      <c r="E823" s="141">
        <v>28837698</v>
      </c>
      <c r="F823" s="193" t="s">
        <v>5547</v>
      </c>
      <c r="G823" t="s">
        <v>281</v>
      </c>
      <c r="H823" s="13" t="str">
        <f>IFERROR(VLOOKUP(G823, Sheet2!$A:$B, 2, FALSE), A823)</f>
        <v>CAM8_HKT SME Operations</v>
      </c>
      <c r="I823" s="58" t="s">
        <v>3365</v>
      </c>
      <c r="J823" s="52" t="s">
        <v>4142</v>
      </c>
      <c r="K823" s="52" t="s">
        <v>5548</v>
      </c>
      <c r="L823" s="120"/>
      <c r="M823" s="502" t="s">
        <v>5549</v>
      </c>
      <c r="N823" s="120"/>
      <c r="O823" s="142" t="s">
        <v>5550</v>
      </c>
      <c r="P823" s="507"/>
      <c r="Q823" s="4">
        <v>45845</v>
      </c>
      <c r="R823" s="4">
        <v>45858</v>
      </c>
      <c r="S823" s="4">
        <v>45875</v>
      </c>
      <c r="T823" s="4" t="s">
        <v>5551</v>
      </c>
      <c r="U823" s="4" t="s">
        <v>5552</v>
      </c>
      <c r="V823" s="58">
        <v>104357</v>
      </c>
      <c r="W823" s="4" t="s">
        <v>5553</v>
      </c>
      <c r="X823" t="s">
        <v>5554</v>
      </c>
      <c r="Y823" s="7" t="s">
        <v>5555</v>
      </c>
      <c r="Z823" t="s">
        <v>886</v>
      </c>
      <c r="AA823" t="s">
        <v>1264</v>
      </c>
      <c r="AC823" t="s">
        <v>2995</v>
      </c>
      <c r="AD823" s="193" t="s">
        <v>5556</v>
      </c>
    </row>
    <row r="824" spans="1:30" ht="130.5">
      <c r="A824" s="3" t="s">
        <v>4131</v>
      </c>
      <c r="B824" s="46" t="s">
        <v>933</v>
      </c>
      <c r="C824" s="3"/>
      <c r="D824" s="141" t="s">
        <v>5557</v>
      </c>
      <c r="E824" s="141" t="s">
        <v>5558</v>
      </c>
      <c r="F824" s="496" t="s">
        <v>5559</v>
      </c>
      <c r="G824" t="s">
        <v>283</v>
      </c>
      <c r="H824" s="13" t="str">
        <f>IFERROR(VLOOKUP(G824, Sheet2!$A:$B, 2, FALSE), A824)</f>
        <v>Experience 11 Limited</v>
      </c>
      <c r="I824" s="58" t="s">
        <v>352</v>
      </c>
      <c r="J824" s="52" t="s">
        <v>4142</v>
      </c>
      <c r="K824" s="52" t="s">
        <v>5560</v>
      </c>
      <c r="L824" s="120"/>
      <c r="M824" s="502" t="s">
        <v>5561</v>
      </c>
      <c r="N824" s="120"/>
      <c r="O824" s="142" t="s">
        <v>5562</v>
      </c>
      <c r="P824" s="120"/>
      <c r="Q824" s="4" t="s">
        <v>2379</v>
      </c>
      <c r="R824" s="4" t="s">
        <v>997</v>
      </c>
      <c r="S824" s="4" t="s">
        <v>997</v>
      </c>
      <c r="T824" s="4" t="s">
        <v>997</v>
      </c>
      <c r="U824" s="4" t="s">
        <v>997</v>
      </c>
      <c r="V824" s="4" t="s">
        <v>997</v>
      </c>
      <c r="W824" s="4" t="s">
        <v>997</v>
      </c>
      <c r="Y824" s="9" t="s">
        <v>5563</v>
      </c>
      <c r="Z824" t="s">
        <v>365</v>
      </c>
      <c r="AC824" t="s">
        <v>2995</v>
      </c>
      <c r="AD824" s="496"/>
    </row>
    <row r="825" spans="1:30" ht="130.5">
      <c r="A825" s="3" t="s">
        <v>4131</v>
      </c>
      <c r="B825" s="46" t="s">
        <v>933</v>
      </c>
      <c r="C825" s="3"/>
      <c r="D825" s="141" t="s">
        <v>5557</v>
      </c>
      <c r="E825" s="141" t="s">
        <v>5558</v>
      </c>
      <c r="F825" s="496" t="s">
        <v>5559</v>
      </c>
      <c r="G825" t="s">
        <v>283</v>
      </c>
      <c r="H825" s="13" t="str">
        <f>IFERROR(VLOOKUP(G825, Sheet2!$A:$B, 2, FALSE), A825)</f>
        <v>Experience 11 Limited</v>
      </c>
      <c r="I825" s="58" t="s">
        <v>352</v>
      </c>
      <c r="J825" s="52" t="s">
        <v>4142</v>
      </c>
      <c r="K825" s="52" t="s">
        <v>5564</v>
      </c>
      <c r="L825" s="120"/>
      <c r="M825" s="502" t="s">
        <v>5565</v>
      </c>
      <c r="N825" s="120"/>
      <c r="O825" s="142" t="s">
        <v>5562</v>
      </c>
      <c r="P825" s="120"/>
      <c r="Q825" s="4" t="s">
        <v>2379</v>
      </c>
      <c r="R825" s="4" t="s">
        <v>2379</v>
      </c>
      <c r="S825" s="4" t="s">
        <v>2379</v>
      </c>
      <c r="T825" s="4" t="s">
        <v>2379</v>
      </c>
      <c r="U825" s="4" t="s">
        <v>2379</v>
      </c>
      <c r="V825" s="4" t="s">
        <v>2379</v>
      </c>
      <c r="W825" s="4" t="s">
        <v>2379</v>
      </c>
      <c r="Y825" s="9" t="s">
        <v>5566</v>
      </c>
      <c r="AC825" t="s">
        <v>2995</v>
      </c>
      <c r="AD825" s="496"/>
    </row>
    <row r="826" spans="1:30" ht="43.5">
      <c r="A826" s="3" t="s">
        <v>350</v>
      </c>
      <c r="B826" s="46" t="s">
        <v>4455</v>
      </c>
      <c r="C826" s="3"/>
      <c r="D826" s="141" t="s">
        <v>5567</v>
      </c>
      <c r="E826" s="141">
        <v>93085397</v>
      </c>
      <c r="F826" s="496" t="s">
        <v>5568</v>
      </c>
      <c r="G826" t="s">
        <v>5569</v>
      </c>
      <c r="H826" s="13" t="str">
        <f>IFERROR(VLOOKUP(G826, Sheet2!$A:$B, 2, FALSE), A826)</f>
        <v>JARDINE MATHESON LIMITED</v>
      </c>
      <c r="I826" s="58" t="s">
        <v>393</v>
      </c>
      <c r="J826" s="52"/>
      <c r="K826" s="52"/>
      <c r="L826" s="120" t="s">
        <v>5570</v>
      </c>
      <c r="M826" s="348"/>
      <c r="N826" s="120"/>
      <c r="O826" s="142" t="s">
        <v>5571</v>
      </c>
      <c r="P826" s="120"/>
      <c r="Q826" s="4">
        <v>45854</v>
      </c>
      <c r="R826" s="4">
        <v>45859</v>
      </c>
      <c r="S826" s="4">
        <v>45854</v>
      </c>
      <c r="T826" s="4" t="s">
        <v>4803</v>
      </c>
      <c r="U826" s="4" t="s">
        <v>5572</v>
      </c>
      <c r="V826" s="58">
        <v>103326</v>
      </c>
      <c r="W826" s="4" t="s">
        <v>5573</v>
      </c>
      <c r="X826" t="s">
        <v>5574</v>
      </c>
      <c r="Y826" s="9" t="s">
        <v>5575</v>
      </c>
      <c r="Z826" t="s">
        <v>489</v>
      </c>
      <c r="AA826" t="s">
        <v>4275</v>
      </c>
      <c r="AB826" t="s">
        <v>4275</v>
      </c>
      <c r="AC826" t="s">
        <v>1249</v>
      </c>
      <c r="AD826" s="496" t="s">
        <v>5576</v>
      </c>
    </row>
    <row r="827" spans="1:30" ht="59.5">
      <c r="A827" s="3" t="s">
        <v>350</v>
      </c>
      <c r="B827" s="46" t="s">
        <v>4455</v>
      </c>
      <c r="C827" s="3"/>
      <c r="D827" s="4" t="s">
        <v>482</v>
      </c>
      <c r="E827" s="58">
        <v>22129233</v>
      </c>
      <c r="F827" s="513" t="s">
        <v>5577</v>
      </c>
      <c r="G827" s="4" t="s">
        <v>26</v>
      </c>
      <c r="H827" s="13" t="str">
        <f>IFERROR(VLOOKUP(G827, Sheet2!$A:$B, 2, FALSE), A827)</f>
        <v>HONOUR MAILING AND PRINTING LTD</v>
      </c>
      <c r="I827" s="6" t="s">
        <v>393</v>
      </c>
      <c r="J827" s="48"/>
      <c r="K827" s="48"/>
      <c r="L827" s="9" t="s">
        <v>5578</v>
      </c>
      <c r="M827" s="5"/>
      <c r="N827" s="5"/>
      <c r="O827" s="292" t="s">
        <v>395</v>
      </c>
      <c r="P827" s="120" t="s">
        <v>484</v>
      </c>
      <c r="Q827" s="4">
        <v>45866</v>
      </c>
      <c r="R827" s="4">
        <v>45862</v>
      </c>
      <c r="S827" s="4">
        <v>45862</v>
      </c>
      <c r="T827" s="4" t="s">
        <v>485</v>
      </c>
      <c r="U827" s="4" t="s">
        <v>5579</v>
      </c>
      <c r="V827" s="58">
        <v>102446</v>
      </c>
      <c r="W827" s="4" t="s">
        <v>5580</v>
      </c>
      <c r="X827" t="s">
        <v>5581</v>
      </c>
      <c r="Y827" s="9" t="s">
        <v>5582</v>
      </c>
      <c r="Z827" t="s">
        <v>489</v>
      </c>
      <c r="AA827" t="s">
        <v>4275</v>
      </c>
      <c r="AB827" t="s">
        <v>4275</v>
      </c>
      <c r="AC827" t="s">
        <v>3161</v>
      </c>
      <c r="AD827" s="496" t="s">
        <v>5583</v>
      </c>
    </row>
    <row r="828" spans="1:30" ht="87">
      <c r="A828" s="3" t="s">
        <v>350</v>
      </c>
      <c r="B828" s="46" t="s">
        <v>933</v>
      </c>
      <c r="C828" s="3"/>
      <c r="D828" s="4" t="s">
        <v>5584</v>
      </c>
      <c r="E828" s="58" t="s">
        <v>5585</v>
      </c>
      <c r="F828" s="514" t="s">
        <v>5586</v>
      </c>
      <c r="G828" s="4" t="s">
        <v>284</v>
      </c>
      <c r="H828" s="13" t="str">
        <f>IFERROR(VLOOKUP(G828, Sheet2!$A:$B, 2, FALSE), A828)</f>
        <v>West Kowloon Cultural District Authority</v>
      </c>
      <c r="I828" s="58" t="s">
        <v>410</v>
      </c>
      <c r="J828" s="52"/>
      <c r="K828" s="52"/>
      <c r="L828" s="510"/>
      <c r="M828" s="510" t="s">
        <v>5587</v>
      </c>
      <c r="N828" s="120"/>
      <c r="O828" s="142" t="s">
        <v>5588</v>
      </c>
      <c r="P828" s="120" t="s">
        <v>5589</v>
      </c>
      <c r="Q828" s="8">
        <v>45870</v>
      </c>
      <c r="R828" s="4">
        <v>45917</v>
      </c>
      <c r="S828" s="4">
        <v>45918</v>
      </c>
      <c r="T828" s="4" t="s">
        <v>5590</v>
      </c>
      <c r="U828" s="4" t="s">
        <v>5591</v>
      </c>
      <c r="V828" s="58">
        <v>104467</v>
      </c>
      <c r="W828" s="4" t="s">
        <v>5592</v>
      </c>
      <c r="X828" t="s">
        <v>5593</v>
      </c>
      <c r="Y828" s="9" t="s">
        <v>5594</v>
      </c>
      <c r="Z828" t="s">
        <v>4275</v>
      </c>
      <c r="AA828" t="s">
        <v>1079</v>
      </c>
      <c r="AB828" t="s">
        <v>5213</v>
      </c>
      <c r="AC828" t="s">
        <v>2995</v>
      </c>
      <c r="AD828" s="496" t="s">
        <v>5595</v>
      </c>
    </row>
    <row r="829" spans="1:30" ht="145">
      <c r="A829" s="3" t="s">
        <v>350</v>
      </c>
      <c r="B829" s="46" t="s">
        <v>933</v>
      </c>
      <c r="C829" s="3"/>
      <c r="D829" s="141" t="s">
        <v>5596</v>
      </c>
      <c r="E829" s="141" t="s">
        <v>5597</v>
      </c>
      <c r="F829" s="496" t="s">
        <v>5586</v>
      </c>
      <c r="G829" t="s">
        <v>285</v>
      </c>
      <c r="H829" s="13" t="str">
        <f>IFERROR(VLOOKUP(G829, Sheet2!$A:$B, 2, FALSE), A829)</f>
        <v>West Kowloon Cultural District Authority</v>
      </c>
      <c r="I829" s="58" t="s">
        <v>393</v>
      </c>
      <c r="J829" s="52"/>
      <c r="K829" s="52"/>
      <c r="L829" s="120"/>
      <c r="M829" s="502"/>
      <c r="N829" s="120"/>
      <c r="O829" s="142" t="s">
        <v>5598</v>
      </c>
      <c r="P829" s="142"/>
      <c r="Q829" s="8">
        <v>45919</v>
      </c>
      <c r="R829" s="8">
        <v>45916</v>
      </c>
      <c r="S829" s="8">
        <v>45918</v>
      </c>
      <c r="T829" s="4" t="s">
        <v>5599</v>
      </c>
      <c r="U829" s="4" t="s">
        <v>5600</v>
      </c>
      <c r="V829" s="58">
        <v>104443</v>
      </c>
      <c r="W829" s="4" t="s">
        <v>5601</v>
      </c>
      <c r="X829" s="515" t="s">
        <v>5602</v>
      </c>
      <c r="Y829" s="9" t="s">
        <v>5603</v>
      </c>
      <c r="Z829" t="s">
        <v>4275</v>
      </c>
      <c r="AA829" t="s">
        <v>1079</v>
      </c>
      <c r="AB829" t="s">
        <v>5213</v>
      </c>
      <c r="AC829" t="s">
        <v>2995</v>
      </c>
      <c r="AD829" s="496" t="s">
        <v>5604</v>
      </c>
    </row>
    <row r="830" spans="1:30" ht="145">
      <c r="A830" s="3" t="s">
        <v>350</v>
      </c>
      <c r="B830" s="46" t="s">
        <v>933</v>
      </c>
      <c r="C830" s="3"/>
      <c r="D830" s="141" t="s">
        <v>5584</v>
      </c>
      <c r="E830" s="141" t="s">
        <v>5585</v>
      </c>
      <c r="F830" s="496" t="s">
        <v>5586</v>
      </c>
      <c r="G830" t="s">
        <v>284</v>
      </c>
      <c r="H830" s="13" t="str">
        <f>IFERROR(VLOOKUP(G830, Sheet2!$A:$B, 2, FALSE), A830)</f>
        <v>West Kowloon Cultural District Authority</v>
      </c>
      <c r="I830" s="58" t="s">
        <v>393</v>
      </c>
      <c r="J830" s="52"/>
      <c r="K830" s="52"/>
      <c r="L830" s="120"/>
      <c r="M830" s="502"/>
      <c r="N830" s="120"/>
      <c r="O830" s="142" t="s">
        <v>5598</v>
      </c>
      <c r="P830" s="142"/>
      <c r="Q830" s="8">
        <v>45919</v>
      </c>
      <c r="R830" s="8">
        <v>45916</v>
      </c>
      <c r="S830" s="8">
        <v>45918</v>
      </c>
      <c r="T830" s="4" t="s">
        <v>5605</v>
      </c>
      <c r="U830" s="4" t="s">
        <v>5606</v>
      </c>
      <c r="V830" s="58">
        <v>104442</v>
      </c>
      <c r="W830" s="4" t="s">
        <v>5601</v>
      </c>
      <c r="X830" s="515" t="s">
        <v>5602</v>
      </c>
      <c r="Y830" s="9" t="s">
        <v>5607</v>
      </c>
      <c r="Z830" t="s">
        <v>4275</v>
      </c>
      <c r="AA830" t="s">
        <v>1079</v>
      </c>
      <c r="AB830" t="s">
        <v>5213</v>
      </c>
      <c r="AC830" t="s">
        <v>2995</v>
      </c>
      <c r="AD830" s="496" t="s">
        <v>5604</v>
      </c>
    </row>
    <row r="831" spans="1:30" ht="145">
      <c r="A831" s="3" t="s">
        <v>350</v>
      </c>
      <c r="B831" s="46" t="s">
        <v>933</v>
      </c>
      <c r="C831" s="3"/>
      <c r="D831" s="141" t="s">
        <v>5584</v>
      </c>
      <c r="E831" s="141" t="s">
        <v>5585</v>
      </c>
      <c r="F831" s="496" t="s">
        <v>5586</v>
      </c>
      <c r="G831" t="s">
        <v>284</v>
      </c>
      <c r="H831" s="13" t="str">
        <f>IFERROR(VLOOKUP(G831, Sheet2!$A:$B, 2, FALSE), A831)</f>
        <v>West Kowloon Cultural District Authority</v>
      </c>
      <c r="I831" s="58" t="s">
        <v>393</v>
      </c>
      <c r="J831" s="52"/>
      <c r="K831" s="52"/>
      <c r="L831" s="120"/>
      <c r="M831" s="502"/>
      <c r="N831" s="120"/>
      <c r="O831" s="142" t="s">
        <v>5598</v>
      </c>
      <c r="P831" s="142"/>
      <c r="Q831" s="8">
        <v>45919</v>
      </c>
      <c r="R831" s="8">
        <v>45916</v>
      </c>
      <c r="S831" s="8">
        <v>45918</v>
      </c>
      <c r="T831" s="4" t="s">
        <v>5608</v>
      </c>
      <c r="U831" s="4" t="s">
        <v>5609</v>
      </c>
      <c r="V831" s="58">
        <v>104441</v>
      </c>
      <c r="W831" s="4" t="s">
        <v>5601</v>
      </c>
      <c r="X831" s="515" t="s">
        <v>5602</v>
      </c>
      <c r="Y831" s="9" t="s">
        <v>5610</v>
      </c>
      <c r="Z831" t="s">
        <v>4275</v>
      </c>
      <c r="AA831" t="s">
        <v>1079</v>
      </c>
      <c r="AB831" t="s">
        <v>5213</v>
      </c>
      <c r="AC831" t="s">
        <v>2995</v>
      </c>
      <c r="AD831" s="496" t="s">
        <v>5604</v>
      </c>
    </row>
    <row r="832" spans="1:30" ht="130.5">
      <c r="A832" s="3" t="s">
        <v>350</v>
      </c>
      <c r="B832" s="46" t="s">
        <v>933</v>
      </c>
      <c r="C832" s="3"/>
      <c r="D832" s="141" t="s">
        <v>5584</v>
      </c>
      <c r="E832" s="141" t="s">
        <v>5585</v>
      </c>
      <c r="F832" s="496" t="s">
        <v>5586</v>
      </c>
      <c r="G832" t="s">
        <v>284</v>
      </c>
      <c r="H832" s="13" t="str">
        <f>IFERROR(VLOOKUP(G832, Sheet2!$A:$B, 2, FALSE), A832)</f>
        <v>West Kowloon Cultural District Authority</v>
      </c>
      <c r="I832" s="58" t="s">
        <v>352</v>
      </c>
      <c r="J832" s="52"/>
      <c r="K832" s="432" t="s">
        <v>5611</v>
      </c>
      <c r="L832" s="120" t="s">
        <v>5612</v>
      </c>
      <c r="M832" s="502" t="s">
        <v>5613</v>
      </c>
      <c r="N832" s="120"/>
      <c r="O832" s="142" t="s">
        <v>5598</v>
      </c>
      <c r="P832" s="120"/>
      <c r="Q832" s="8">
        <v>45919</v>
      </c>
      <c r="R832" s="8">
        <v>45916</v>
      </c>
      <c r="S832" s="8">
        <v>45917</v>
      </c>
      <c r="T832" s="4" t="s">
        <v>5614</v>
      </c>
      <c r="U832" s="4" t="s">
        <v>5615</v>
      </c>
      <c r="V832" s="58">
        <v>104447</v>
      </c>
      <c r="W832" s="8" t="s">
        <v>5616</v>
      </c>
      <c r="X832" s="4" t="s">
        <v>5617</v>
      </c>
      <c r="Y832" s="9" t="s">
        <v>5618</v>
      </c>
      <c r="Z832" t="s">
        <v>4275</v>
      </c>
      <c r="AA832" t="s">
        <v>1079</v>
      </c>
      <c r="AB832" t="s">
        <v>5213</v>
      </c>
      <c r="AC832" t="s">
        <v>2995</v>
      </c>
      <c r="AD832" s="496" t="s">
        <v>5619</v>
      </c>
    </row>
    <row r="833" spans="1:30" ht="130.5">
      <c r="A833" s="3" t="s">
        <v>350</v>
      </c>
      <c r="B833" s="46" t="s">
        <v>933</v>
      </c>
      <c r="C833" s="3"/>
      <c r="D833" s="141" t="s">
        <v>5584</v>
      </c>
      <c r="E833" s="141" t="s">
        <v>5585</v>
      </c>
      <c r="F833" s="496" t="s">
        <v>5620</v>
      </c>
      <c r="G833" t="s">
        <v>284</v>
      </c>
      <c r="H833" s="13" t="str">
        <f>IFERROR(VLOOKUP(G833, Sheet2!$A:$B, 2, FALSE), A833)</f>
        <v>West Kowloon Cultural District Authority</v>
      </c>
      <c r="I833" s="58" t="s">
        <v>352</v>
      </c>
      <c r="J833" s="52"/>
      <c r="K833" s="432" t="s">
        <v>5621</v>
      </c>
      <c r="L833" s="120" t="s">
        <v>5622</v>
      </c>
      <c r="M833" s="504" t="s">
        <v>5623</v>
      </c>
      <c r="N833" s="120"/>
      <c r="O833" s="142" t="s">
        <v>5598</v>
      </c>
      <c r="P833" s="120"/>
      <c r="Q833" s="8">
        <v>45919</v>
      </c>
      <c r="R833" s="8">
        <v>45916</v>
      </c>
      <c r="S833" s="8">
        <v>45917</v>
      </c>
      <c r="T833" s="4" t="s">
        <v>5624</v>
      </c>
      <c r="U833" s="4" t="s">
        <v>5625</v>
      </c>
      <c r="V833" s="58">
        <v>104455</v>
      </c>
      <c r="W833" s="8" t="s">
        <v>5616</v>
      </c>
      <c r="X833" s="8" t="s">
        <v>5617</v>
      </c>
      <c r="Y833" s="9" t="s">
        <v>5626</v>
      </c>
      <c r="Z833" t="s">
        <v>4275</v>
      </c>
      <c r="AA833" t="s">
        <v>1079</v>
      </c>
      <c r="AB833" t="s">
        <v>5213</v>
      </c>
      <c r="AC833" t="s">
        <v>2995</v>
      </c>
      <c r="AD833" s="496" t="s">
        <v>5619</v>
      </c>
    </row>
    <row r="834" spans="1:30" ht="130.5">
      <c r="A834" s="3" t="s">
        <v>350</v>
      </c>
      <c r="B834" s="46" t="s">
        <v>933</v>
      </c>
      <c r="C834" s="3"/>
      <c r="D834" s="141" t="s">
        <v>5584</v>
      </c>
      <c r="E834" s="141" t="s">
        <v>5585</v>
      </c>
      <c r="F834" s="496" t="s">
        <v>5586</v>
      </c>
      <c r="G834" t="s">
        <v>284</v>
      </c>
      <c r="H834" s="13" t="str">
        <f>IFERROR(VLOOKUP(G834, Sheet2!$A:$B, 2, FALSE), A834)</f>
        <v>West Kowloon Cultural District Authority</v>
      </c>
      <c r="I834" s="58" t="s">
        <v>352</v>
      </c>
      <c r="J834" s="52"/>
      <c r="K834" s="432" t="s">
        <v>5627</v>
      </c>
      <c r="L834" s="120" t="s">
        <v>5628</v>
      </c>
      <c r="M834" s="504" t="s">
        <v>5629</v>
      </c>
      <c r="N834" s="120"/>
      <c r="O834" s="142" t="s">
        <v>5598</v>
      </c>
      <c r="P834" s="120"/>
      <c r="Q834" s="8">
        <v>45919</v>
      </c>
      <c r="R834" s="8">
        <v>45916</v>
      </c>
      <c r="S834" s="8">
        <v>45917</v>
      </c>
      <c r="T834" s="4" t="s">
        <v>5630</v>
      </c>
      <c r="U834" s="4" t="s">
        <v>5631</v>
      </c>
      <c r="V834" s="58">
        <v>104452</v>
      </c>
      <c r="W834" s="8" t="s">
        <v>5616</v>
      </c>
      <c r="X834" s="8" t="s">
        <v>5617</v>
      </c>
      <c r="Y834" s="9" t="s">
        <v>5626</v>
      </c>
      <c r="Z834" t="s">
        <v>4275</v>
      </c>
      <c r="AA834" t="s">
        <v>1079</v>
      </c>
      <c r="AB834" t="s">
        <v>5213</v>
      </c>
      <c r="AC834" t="s">
        <v>2995</v>
      </c>
      <c r="AD834" s="496" t="s">
        <v>5619</v>
      </c>
    </row>
    <row r="835" spans="1:30" ht="72.5">
      <c r="A835" s="3" t="s">
        <v>350</v>
      </c>
      <c r="B835" s="46" t="s">
        <v>933</v>
      </c>
      <c r="C835" s="3"/>
      <c r="D835" s="141" t="s">
        <v>5584</v>
      </c>
      <c r="E835" s="141" t="s">
        <v>5585</v>
      </c>
      <c r="F835" s="496" t="s">
        <v>5586</v>
      </c>
      <c r="G835" t="s">
        <v>284</v>
      </c>
      <c r="H835" s="13" t="str">
        <f>IFERROR(VLOOKUP(G835, Sheet2!$A:$B, 2, FALSE), A835)</f>
        <v>West Kowloon Cultural District Authority</v>
      </c>
      <c r="I835" s="58" t="s">
        <v>352</v>
      </c>
      <c r="J835" s="52"/>
      <c r="K835" s="432" t="s">
        <v>5632</v>
      </c>
      <c r="L835" s="120" t="s">
        <v>5633</v>
      </c>
      <c r="M835" s="504" t="s">
        <v>5634</v>
      </c>
      <c r="N835" s="120"/>
      <c r="O835" s="142" t="s">
        <v>5598</v>
      </c>
      <c r="P835" s="120"/>
      <c r="Q835" s="8">
        <v>45919</v>
      </c>
      <c r="R835" s="8">
        <v>45916</v>
      </c>
      <c r="S835" s="8">
        <v>45917</v>
      </c>
      <c r="T835" s="4" t="s">
        <v>5635</v>
      </c>
      <c r="U835" s="4" t="s">
        <v>5636</v>
      </c>
      <c r="V835" s="58">
        <v>104461</v>
      </c>
      <c r="W835" s="8" t="s">
        <v>5616</v>
      </c>
      <c r="X835" s="8" t="s">
        <v>5617</v>
      </c>
      <c r="Y835" s="9" t="s">
        <v>5637</v>
      </c>
      <c r="Z835" t="s">
        <v>4275</v>
      </c>
      <c r="AA835" t="s">
        <v>1079</v>
      </c>
      <c r="AB835" t="s">
        <v>5213</v>
      </c>
      <c r="AC835" t="s">
        <v>2995</v>
      </c>
      <c r="AD835" s="496" t="s">
        <v>5619</v>
      </c>
    </row>
    <row r="836" spans="1:30" ht="72.5">
      <c r="A836" s="3" t="s">
        <v>350</v>
      </c>
      <c r="B836" s="46" t="s">
        <v>933</v>
      </c>
      <c r="C836" s="3"/>
      <c r="D836" s="141" t="s">
        <v>5584</v>
      </c>
      <c r="E836" s="141" t="s">
        <v>5585</v>
      </c>
      <c r="F836" s="496" t="s">
        <v>5586</v>
      </c>
      <c r="G836" t="s">
        <v>284</v>
      </c>
      <c r="H836" s="13" t="str">
        <f>IFERROR(VLOOKUP(G836, Sheet2!$A:$B, 2, FALSE), A836)</f>
        <v>West Kowloon Cultural District Authority</v>
      </c>
      <c r="I836" s="58" t="s">
        <v>352</v>
      </c>
      <c r="J836" s="52"/>
      <c r="K836" s="432" t="s">
        <v>5638</v>
      </c>
      <c r="L836" s="120" t="s">
        <v>5639</v>
      </c>
      <c r="M836" s="504" t="s">
        <v>5640</v>
      </c>
      <c r="N836" s="120"/>
      <c r="O836" s="142" t="s">
        <v>5598</v>
      </c>
      <c r="P836" s="120"/>
      <c r="Q836" s="8">
        <v>45919</v>
      </c>
      <c r="R836" s="8">
        <v>45916</v>
      </c>
      <c r="S836" s="8">
        <v>45917</v>
      </c>
      <c r="T836" s="4" t="s">
        <v>5641</v>
      </c>
      <c r="U836" s="4" t="s">
        <v>5642</v>
      </c>
      <c r="V836" s="58">
        <v>104463</v>
      </c>
      <c r="W836" s="8" t="s">
        <v>5616</v>
      </c>
      <c r="X836" s="8" t="s">
        <v>5617</v>
      </c>
      <c r="Y836" s="9" t="s">
        <v>5637</v>
      </c>
      <c r="Z836" t="s">
        <v>4275</v>
      </c>
      <c r="AA836" t="s">
        <v>1079</v>
      </c>
      <c r="AB836" t="s">
        <v>5213</v>
      </c>
      <c r="AC836" t="s">
        <v>2995</v>
      </c>
      <c r="AD836" s="496" t="s">
        <v>5619</v>
      </c>
    </row>
    <row r="837" spans="1:30" ht="72.5">
      <c r="A837" s="3" t="s">
        <v>350</v>
      </c>
      <c r="B837" s="46" t="s">
        <v>933</v>
      </c>
      <c r="C837" s="3"/>
      <c r="D837" s="141" t="s">
        <v>5584</v>
      </c>
      <c r="E837" s="141" t="s">
        <v>5643</v>
      </c>
      <c r="F837" s="496" t="s">
        <v>5620</v>
      </c>
      <c r="G837" t="s">
        <v>285</v>
      </c>
      <c r="H837" s="13" t="str">
        <f>IFERROR(VLOOKUP(G837, Sheet2!$A:$B, 2, FALSE), A837)</f>
        <v>West Kowloon Cultural District Authority</v>
      </c>
      <c r="I837" s="58" t="s">
        <v>352</v>
      </c>
      <c r="J837" s="52"/>
      <c r="K837" s="432" t="s">
        <v>5644</v>
      </c>
      <c r="L837" s="120" t="s">
        <v>5645</v>
      </c>
      <c r="M837" s="504" t="s">
        <v>5646</v>
      </c>
      <c r="N837" s="120"/>
      <c r="O837" s="142" t="s">
        <v>5598</v>
      </c>
      <c r="P837" s="120"/>
      <c r="Q837" s="8">
        <v>45919</v>
      </c>
      <c r="R837" s="8">
        <v>45916</v>
      </c>
      <c r="S837" s="8">
        <v>45917</v>
      </c>
      <c r="T837" s="4" t="s">
        <v>5647</v>
      </c>
      <c r="U837" s="4" t="s">
        <v>5648</v>
      </c>
      <c r="V837" s="58">
        <v>104449</v>
      </c>
      <c r="W837" s="8" t="s">
        <v>5616</v>
      </c>
      <c r="X837" s="8" t="s">
        <v>5617</v>
      </c>
      <c r="Y837" s="9" t="s">
        <v>5637</v>
      </c>
      <c r="Z837" t="s">
        <v>4275</v>
      </c>
      <c r="AA837" t="s">
        <v>1079</v>
      </c>
      <c r="AB837" t="s">
        <v>5213</v>
      </c>
      <c r="AC837" t="s">
        <v>2995</v>
      </c>
      <c r="AD837" s="496" t="s">
        <v>5619</v>
      </c>
    </row>
    <row r="838" spans="1:30" ht="72.5">
      <c r="A838" s="3" t="s">
        <v>350</v>
      </c>
      <c r="B838" s="46" t="s">
        <v>933</v>
      </c>
      <c r="C838" s="3"/>
      <c r="D838" s="141" t="s">
        <v>5584</v>
      </c>
      <c r="E838" s="141" t="s">
        <v>5649</v>
      </c>
      <c r="F838" s="496" t="s">
        <v>5620</v>
      </c>
      <c r="G838" t="s">
        <v>285</v>
      </c>
      <c r="H838" s="13" t="str">
        <f>IFERROR(VLOOKUP(G838, Sheet2!$A:$B, 2, FALSE), A838)</f>
        <v>West Kowloon Cultural District Authority</v>
      </c>
      <c r="I838" s="58" t="s">
        <v>352</v>
      </c>
      <c r="J838" s="52"/>
      <c r="K838" s="432" t="s">
        <v>5650</v>
      </c>
      <c r="L838" s="120" t="s">
        <v>5651</v>
      </c>
      <c r="M838" s="504" t="s">
        <v>5652</v>
      </c>
      <c r="N838" s="120"/>
      <c r="O838" s="142" t="s">
        <v>5598</v>
      </c>
      <c r="P838" s="120"/>
      <c r="Q838" s="8">
        <v>45919</v>
      </c>
      <c r="R838" s="8">
        <v>45916</v>
      </c>
      <c r="S838" s="8">
        <v>45917</v>
      </c>
      <c r="T838" s="4" t="s">
        <v>5653</v>
      </c>
      <c r="U838" s="4" t="s">
        <v>5654</v>
      </c>
      <c r="V838" s="58">
        <v>104458</v>
      </c>
      <c r="W838" s="8" t="s">
        <v>5616</v>
      </c>
      <c r="X838" s="8" t="s">
        <v>5617</v>
      </c>
      <c r="Y838" s="9" t="s">
        <v>5637</v>
      </c>
      <c r="Z838" t="s">
        <v>4275</v>
      </c>
      <c r="AA838" t="s">
        <v>1079</v>
      </c>
      <c r="AB838" t="s">
        <v>5213</v>
      </c>
      <c r="AC838" t="s">
        <v>2995</v>
      </c>
      <c r="AD838" s="496" t="s">
        <v>5619</v>
      </c>
    </row>
    <row r="839" spans="1:30" ht="72.5">
      <c r="A839" s="3" t="s">
        <v>350</v>
      </c>
      <c r="B839" s="46" t="s">
        <v>933</v>
      </c>
      <c r="C839" s="3"/>
      <c r="D839" s="141" t="s">
        <v>5584</v>
      </c>
      <c r="E839" s="141" t="s">
        <v>5655</v>
      </c>
      <c r="F839" s="496" t="s">
        <v>5620</v>
      </c>
      <c r="G839" t="s">
        <v>284</v>
      </c>
      <c r="H839" s="13" t="str">
        <f>IFERROR(VLOOKUP(G839, Sheet2!$A:$B, 2, FALSE), A839)</f>
        <v>West Kowloon Cultural District Authority</v>
      </c>
      <c r="I839" s="58" t="s">
        <v>352</v>
      </c>
      <c r="J839" s="52"/>
      <c r="K839" s="432" t="s">
        <v>5656</v>
      </c>
      <c r="L839" s="120" t="s">
        <v>5657</v>
      </c>
      <c r="M839" s="504" t="s">
        <v>5658</v>
      </c>
      <c r="N839" s="120"/>
      <c r="O839" s="142" t="s">
        <v>5598</v>
      </c>
      <c r="P839" s="120"/>
      <c r="Q839" s="8">
        <v>45919</v>
      </c>
      <c r="R839" s="8">
        <v>45916</v>
      </c>
      <c r="S839" s="8">
        <v>45917</v>
      </c>
      <c r="T839" s="4" t="s">
        <v>5659</v>
      </c>
      <c r="U839" s="4" t="s">
        <v>5660</v>
      </c>
      <c r="V839" s="58">
        <v>104451</v>
      </c>
      <c r="W839" s="8" t="s">
        <v>5616</v>
      </c>
      <c r="X839" s="8" t="s">
        <v>5617</v>
      </c>
      <c r="Y839" s="9" t="s">
        <v>5637</v>
      </c>
      <c r="Z839" t="s">
        <v>4275</v>
      </c>
      <c r="AA839" t="s">
        <v>1079</v>
      </c>
      <c r="AB839" t="s">
        <v>5213</v>
      </c>
      <c r="AC839" t="s">
        <v>2995</v>
      </c>
      <c r="AD839" s="496" t="s">
        <v>5619</v>
      </c>
    </row>
    <row r="840" spans="1:30" ht="72.5">
      <c r="A840" s="3" t="s">
        <v>350</v>
      </c>
      <c r="B840" s="46" t="s">
        <v>933</v>
      </c>
      <c r="C840" s="3"/>
      <c r="D840" s="141" t="s">
        <v>5584</v>
      </c>
      <c r="E840" s="141" t="s">
        <v>5661</v>
      </c>
      <c r="F840" s="496" t="s">
        <v>5620</v>
      </c>
      <c r="G840" t="s">
        <v>284</v>
      </c>
      <c r="H840" s="13" t="str">
        <f>IFERROR(VLOOKUP(G840, Sheet2!$A:$B, 2, FALSE), A840)</f>
        <v>West Kowloon Cultural District Authority</v>
      </c>
      <c r="I840" s="58" t="s">
        <v>352</v>
      </c>
      <c r="J840" s="52"/>
      <c r="K840" s="432" t="s">
        <v>5662</v>
      </c>
      <c r="L840" s="120" t="s">
        <v>5663</v>
      </c>
      <c r="M840" s="504" t="s">
        <v>5664</v>
      </c>
      <c r="N840" s="120"/>
      <c r="O840" s="142" t="s">
        <v>5598</v>
      </c>
      <c r="P840" s="120"/>
      <c r="Q840" s="8">
        <v>45919</v>
      </c>
      <c r="R840" s="8">
        <v>45916</v>
      </c>
      <c r="S840" s="8">
        <v>45917</v>
      </c>
      <c r="T840" s="4" t="s">
        <v>5665</v>
      </c>
      <c r="U840" s="4" t="s">
        <v>5666</v>
      </c>
      <c r="V840" s="58">
        <v>104453</v>
      </c>
      <c r="W840" s="8" t="s">
        <v>5616</v>
      </c>
      <c r="X840" s="8" t="s">
        <v>5617</v>
      </c>
      <c r="Y840" s="9" t="s">
        <v>5637</v>
      </c>
      <c r="Z840" t="s">
        <v>4275</v>
      </c>
      <c r="AA840" t="s">
        <v>1079</v>
      </c>
      <c r="AB840" t="s">
        <v>5213</v>
      </c>
      <c r="AC840" t="s">
        <v>2995</v>
      </c>
      <c r="AD840" s="496" t="s">
        <v>5619</v>
      </c>
    </row>
    <row r="841" spans="1:30" ht="72.5">
      <c r="A841" s="3" t="s">
        <v>350</v>
      </c>
      <c r="B841" s="46" t="s">
        <v>933</v>
      </c>
      <c r="C841" s="3"/>
      <c r="D841" s="141" t="s">
        <v>5584</v>
      </c>
      <c r="E841" s="141" t="s">
        <v>5667</v>
      </c>
      <c r="F841" s="496" t="s">
        <v>5620</v>
      </c>
      <c r="G841" t="s">
        <v>285</v>
      </c>
      <c r="H841" s="13" t="str">
        <f>IFERROR(VLOOKUP(G841, Sheet2!$A:$B, 2, FALSE), A841)</f>
        <v>West Kowloon Cultural District Authority</v>
      </c>
      <c r="I841" s="58" t="s">
        <v>352</v>
      </c>
      <c r="J841" s="52"/>
      <c r="K841" s="432" t="s">
        <v>5668</v>
      </c>
      <c r="L841" s="120" t="s">
        <v>5669</v>
      </c>
      <c r="M841" s="504" t="s">
        <v>5670</v>
      </c>
      <c r="N841" s="120"/>
      <c r="O841" s="142" t="s">
        <v>5598</v>
      </c>
      <c r="P841" s="120"/>
      <c r="Q841" s="8">
        <v>45919</v>
      </c>
      <c r="R841" s="8">
        <v>45916</v>
      </c>
      <c r="S841" s="8">
        <v>45917</v>
      </c>
      <c r="T841" s="4" t="s">
        <v>5671</v>
      </c>
      <c r="U841" s="4" t="s">
        <v>5672</v>
      </c>
      <c r="V841" s="58">
        <v>104462</v>
      </c>
      <c r="W841" s="8" t="s">
        <v>5616</v>
      </c>
      <c r="X841" s="8" t="s">
        <v>5617</v>
      </c>
      <c r="Y841" s="9" t="s">
        <v>5637</v>
      </c>
      <c r="Z841" t="s">
        <v>4275</v>
      </c>
      <c r="AA841" t="s">
        <v>1079</v>
      </c>
      <c r="AB841" t="s">
        <v>5213</v>
      </c>
      <c r="AC841" t="s">
        <v>2995</v>
      </c>
      <c r="AD841" s="496" t="s">
        <v>5619</v>
      </c>
    </row>
    <row r="842" spans="1:30" ht="72.5">
      <c r="A842" s="3" t="s">
        <v>350</v>
      </c>
      <c r="B842" s="46" t="s">
        <v>933</v>
      </c>
      <c r="C842" s="3"/>
      <c r="D842" s="141" t="s">
        <v>5584</v>
      </c>
      <c r="E842" s="141" t="s">
        <v>5673</v>
      </c>
      <c r="F842" s="496" t="s">
        <v>5620</v>
      </c>
      <c r="G842" t="s">
        <v>284</v>
      </c>
      <c r="H842" s="13" t="str">
        <f>IFERROR(VLOOKUP(G842, Sheet2!$A:$B, 2, FALSE), A842)</f>
        <v>West Kowloon Cultural District Authority</v>
      </c>
      <c r="I842" s="58" t="s">
        <v>352</v>
      </c>
      <c r="J842" s="52"/>
      <c r="K842" s="432" t="s">
        <v>5674</v>
      </c>
      <c r="L842" s="120" t="s">
        <v>5675</v>
      </c>
      <c r="M842" s="504" t="s">
        <v>5676</v>
      </c>
      <c r="N842" s="120"/>
      <c r="O842" s="142" t="s">
        <v>5598</v>
      </c>
      <c r="P842" s="120"/>
      <c r="Q842" s="8">
        <v>45919</v>
      </c>
      <c r="R842" s="8">
        <v>45916</v>
      </c>
      <c r="S842" s="8">
        <v>45917</v>
      </c>
      <c r="T842" s="4" t="s">
        <v>5677</v>
      </c>
      <c r="U842" s="4" t="s">
        <v>5678</v>
      </c>
      <c r="V842" s="58">
        <v>104465</v>
      </c>
      <c r="W842" s="8" t="s">
        <v>5616</v>
      </c>
      <c r="X842" s="8" t="s">
        <v>5617</v>
      </c>
      <c r="Y842" s="9" t="s">
        <v>5637</v>
      </c>
      <c r="Z842" t="s">
        <v>4275</v>
      </c>
      <c r="AA842" t="s">
        <v>1079</v>
      </c>
      <c r="AB842" t="s">
        <v>5213</v>
      </c>
      <c r="AC842" t="s">
        <v>2995</v>
      </c>
      <c r="AD842" s="496" t="s">
        <v>5619</v>
      </c>
    </row>
    <row r="843" spans="1:30" ht="72.5">
      <c r="A843" s="3" t="s">
        <v>350</v>
      </c>
      <c r="B843" s="46" t="s">
        <v>933</v>
      </c>
      <c r="C843" s="3"/>
      <c r="D843" s="141" t="s">
        <v>5584</v>
      </c>
      <c r="E843" s="141" t="s">
        <v>5679</v>
      </c>
      <c r="F843" s="496" t="s">
        <v>5620</v>
      </c>
      <c r="G843" t="s">
        <v>285</v>
      </c>
      <c r="H843" s="13" t="str">
        <f>IFERROR(VLOOKUP(G843, Sheet2!$A:$B, 2, FALSE), A843)</f>
        <v>West Kowloon Cultural District Authority</v>
      </c>
      <c r="I843" s="58" t="s">
        <v>352</v>
      </c>
      <c r="J843" s="52"/>
      <c r="K843" s="432" t="s">
        <v>5680</v>
      </c>
      <c r="L843" s="120" t="s">
        <v>5681</v>
      </c>
      <c r="M843" s="504" t="s">
        <v>5682</v>
      </c>
      <c r="N843" s="120"/>
      <c r="O843" s="142" t="s">
        <v>5598</v>
      </c>
      <c r="P843" s="120"/>
      <c r="Q843" s="8">
        <v>45919</v>
      </c>
      <c r="R843" s="8">
        <v>45916</v>
      </c>
      <c r="S843" s="8">
        <v>45917</v>
      </c>
      <c r="T843" s="4" t="s">
        <v>5683</v>
      </c>
      <c r="U843" s="4" t="s">
        <v>5684</v>
      </c>
      <c r="V843" s="58">
        <v>104445</v>
      </c>
      <c r="W843" s="8" t="s">
        <v>5616</v>
      </c>
      <c r="X843" s="8" t="s">
        <v>5617</v>
      </c>
      <c r="Y843" s="9" t="s">
        <v>5637</v>
      </c>
      <c r="Z843" t="s">
        <v>4275</v>
      </c>
      <c r="AA843" t="s">
        <v>1079</v>
      </c>
      <c r="AB843" t="s">
        <v>5213</v>
      </c>
      <c r="AC843" t="s">
        <v>2995</v>
      </c>
      <c r="AD843" s="496" t="s">
        <v>5619</v>
      </c>
    </row>
    <row r="844" spans="1:30" ht="72.5">
      <c r="A844" s="3" t="s">
        <v>350</v>
      </c>
      <c r="B844" s="46" t="s">
        <v>933</v>
      </c>
      <c r="C844" s="3"/>
      <c r="D844" s="141" t="s">
        <v>5584</v>
      </c>
      <c r="E844" s="141" t="s">
        <v>5685</v>
      </c>
      <c r="F844" s="496" t="s">
        <v>5620</v>
      </c>
      <c r="G844" t="s">
        <v>285</v>
      </c>
      <c r="H844" s="13" t="str">
        <f>IFERROR(VLOOKUP(G844, Sheet2!$A:$B, 2, FALSE), A844)</f>
        <v>West Kowloon Cultural District Authority</v>
      </c>
      <c r="I844" s="58" t="s">
        <v>352</v>
      </c>
      <c r="J844" s="52"/>
      <c r="K844" s="432" t="s">
        <v>5686</v>
      </c>
      <c r="L844" s="120" t="s">
        <v>5687</v>
      </c>
      <c r="M844" s="504" t="s">
        <v>5688</v>
      </c>
      <c r="N844" s="120"/>
      <c r="O844" s="142" t="s">
        <v>5598</v>
      </c>
      <c r="P844" s="120"/>
      <c r="Q844" s="8">
        <v>45919</v>
      </c>
      <c r="R844" s="8">
        <v>45916</v>
      </c>
      <c r="S844" s="8">
        <v>45917</v>
      </c>
      <c r="T844" s="4" t="s">
        <v>5689</v>
      </c>
      <c r="U844" s="4" t="s">
        <v>5690</v>
      </c>
      <c r="V844" s="58">
        <v>104456</v>
      </c>
      <c r="W844" s="8" t="s">
        <v>5616</v>
      </c>
      <c r="X844" s="8" t="s">
        <v>5617</v>
      </c>
      <c r="Y844" s="9" t="s">
        <v>5637</v>
      </c>
      <c r="Z844" t="s">
        <v>4275</v>
      </c>
      <c r="AA844" t="s">
        <v>1079</v>
      </c>
      <c r="AB844" t="s">
        <v>5213</v>
      </c>
      <c r="AC844" t="s">
        <v>2995</v>
      </c>
      <c r="AD844" s="496" t="s">
        <v>5619</v>
      </c>
    </row>
    <row r="845" spans="1:30" ht="116">
      <c r="A845" s="3" t="s">
        <v>350</v>
      </c>
      <c r="B845" s="46" t="s">
        <v>933</v>
      </c>
      <c r="C845" s="3"/>
      <c r="D845" s="141" t="s">
        <v>5584</v>
      </c>
      <c r="E845" s="141" t="s">
        <v>5691</v>
      </c>
      <c r="F845" s="496" t="s">
        <v>5620</v>
      </c>
      <c r="G845" t="s">
        <v>284</v>
      </c>
      <c r="H845" s="13" t="str">
        <f>IFERROR(VLOOKUP(G845, Sheet2!$A:$B, 2, FALSE), A845)</f>
        <v>West Kowloon Cultural District Authority</v>
      </c>
      <c r="I845" s="58" t="s">
        <v>352</v>
      </c>
      <c r="J845" s="52"/>
      <c r="K845" s="432" t="s">
        <v>5692</v>
      </c>
      <c r="L845" s="120" t="s">
        <v>5693</v>
      </c>
      <c r="M845" s="504" t="s">
        <v>5694</v>
      </c>
      <c r="N845" s="120"/>
      <c r="O845" s="142" t="s">
        <v>5598</v>
      </c>
      <c r="P845" s="120"/>
      <c r="Q845" s="8">
        <v>45919</v>
      </c>
      <c r="R845" s="8">
        <v>45916</v>
      </c>
      <c r="S845" s="8">
        <v>45917</v>
      </c>
      <c r="T845" s="4" t="s">
        <v>5695</v>
      </c>
      <c r="U845" s="4" t="s">
        <v>5696</v>
      </c>
      <c r="V845" s="58">
        <v>104460</v>
      </c>
      <c r="W845" s="8" t="s">
        <v>5616</v>
      </c>
      <c r="X845" s="8" t="s">
        <v>5617</v>
      </c>
      <c r="Y845" s="9" t="s">
        <v>5697</v>
      </c>
      <c r="Z845" t="s">
        <v>4275</v>
      </c>
      <c r="AA845" t="s">
        <v>1079</v>
      </c>
      <c r="AB845" t="s">
        <v>5213</v>
      </c>
      <c r="AC845" t="s">
        <v>2995</v>
      </c>
      <c r="AD845" s="496" t="s">
        <v>5619</v>
      </c>
    </row>
    <row r="846" spans="1:30" ht="72.5">
      <c r="A846" s="3" t="s">
        <v>350</v>
      </c>
      <c r="B846" s="46" t="s">
        <v>933</v>
      </c>
      <c r="C846" s="3"/>
      <c r="D846" s="141" t="s">
        <v>5584</v>
      </c>
      <c r="E846" s="141" t="s">
        <v>5698</v>
      </c>
      <c r="F846" s="496" t="s">
        <v>5620</v>
      </c>
      <c r="G846" t="s">
        <v>284</v>
      </c>
      <c r="H846" s="13" t="str">
        <f>IFERROR(VLOOKUP(G846, Sheet2!$A:$B, 2, FALSE), A846)</f>
        <v>West Kowloon Cultural District Authority</v>
      </c>
      <c r="I846" s="58" t="s">
        <v>352</v>
      </c>
      <c r="J846" s="52"/>
      <c r="K846" s="432" t="s">
        <v>5699</v>
      </c>
      <c r="L846" s="120" t="s">
        <v>5700</v>
      </c>
      <c r="M846" s="504" t="s">
        <v>5701</v>
      </c>
      <c r="N846" s="120"/>
      <c r="O846" s="142" t="s">
        <v>5598</v>
      </c>
      <c r="P846" s="120"/>
      <c r="Q846" s="8">
        <v>45919</v>
      </c>
      <c r="R846" s="8">
        <v>45916</v>
      </c>
      <c r="S846" s="8">
        <v>45917</v>
      </c>
      <c r="T846" s="4" t="s">
        <v>5702</v>
      </c>
      <c r="U846" s="4" t="s">
        <v>5703</v>
      </c>
      <c r="V846" s="58">
        <v>104457</v>
      </c>
      <c r="W846" s="8" t="s">
        <v>5616</v>
      </c>
      <c r="X846" s="8" t="s">
        <v>5617</v>
      </c>
      <c r="Y846" s="9" t="s">
        <v>5637</v>
      </c>
      <c r="Z846" t="s">
        <v>4275</v>
      </c>
      <c r="AA846" t="s">
        <v>1079</v>
      </c>
      <c r="AB846" t="s">
        <v>5213</v>
      </c>
      <c r="AC846" t="s">
        <v>2995</v>
      </c>
      <c r="AD846" s="496" t="s">
        <v>5619</v>
      </c>
    </row>
    <row r="847" spans="1:30" ht="72.5">
      <c r="A847" s="3" t="s">
        <v>350</v>
      </c>
      <c r="B847" s="46" t="s">
        <v>933</v>
      </c>
      <c r="C847" s="3"/>
      <c r="D847" s="141" t="s">
        <v>5584</v>
      </c>
      <c r="E847" s="141" t="s">
        <v>5704</v>
      </c>
      <c r="F847" s="496" t="s">
        <v>5586</v>
      </c>
      <c r="G847" t="s">
        <v>284</v>
      </c>
      <c r="H847" s="13" t="str">
        <f>IFERROR(VLOOKUP(G847, Sheet2!$A:$B, 2, FALSE), A847)</f>
        <v>West Kowloon Cultural District Authority</v>
      </c>
      <c r="I847" s="58" t="s">
        <v>352</v>
      </c>
      <c r="J847" s="52"/>
      <c r="K847" s="432" t="s">
        <v>5705</v>
      </c>
      <c r="L847" s="120" t="s">
        <v>5706</v>
      </c>
      <c r="M847" s="516" t="s">
        <v>5707</v>
      </c>
      <c r="N847" s="120"/>
      <c r="O847" s="142" t="s">
        <v>5598</v>
      </c>
      <c r="P847" s="120"/>
      <c r="Q847" s="8">
        <v>45919</v>
      </c>
      <c r="R847" s="8">
        <v>45916</v>
      </c>
      <c r="S847" s="8">
        <v>45917</v>
      </c>
      <c r="T847" s="4" t="s">
        <v>5708</v>
      </c>
      <c r="U847" s="4" t="s">
        <v>5709</v>
      </c>
      <c r="V847" s="58">
        <v>104464</v>
      </c>
      <c r="W847" s="8" t="s">
        <v>5616</v>
      </c>
      <c r="X847" s="8" t="s">
        <v>5617</v>
      </c>
      <c r="Y847" s="9" t="s">
        <v>5637</v>
      </c>
      <c r="Z847" t="s">
        <v>4275</v>
      </c>
      <c r="AA847" t="s">
        <v>1079</v>
      </c>
      <c r="AB847" t="s">
        <v>5213</v>
      </c>
      <c r="AC847" t="s">
        <v>2995</v>
      </c>
      <c r="AD847" s="496" t="s">
        <v>5619</v>
      </c>
    </row>
    <row r="848" spans="1:30" ht="72.5">
      <c r="A848" s="3" t="s">
        <v>350</v>
      </c>
      <c r="B848" s="46" t="s">
        <v>933</v>
      </c>
      <c r="C848" s="3"/>
      <c r="D848" s="141" t="s">
        <v>5584</v>
      </c>
      <c r="E848" s="141" t="s">
        <v>5710</v>
      </c>
      <c r="F848" s="496" t="s">
        <v>5620</v>
      </c>
      <c r="G848" t="s">
        <v>284</v>
      </c>
      <c r="H848" s="13" t="str">
        <f>IFERROR(VLOOKUP(G848, Sheet2!$A:$B, 2, FALSE), A848)</f>
        <v>West Kowloon Cultural District Authority</v>
      </c>
      <c r="I848" s="58" t="s">
        <v>352</v>
      </c>
      <c r="J848" s="52"/>
      <c r="K848" s="432" t="s">
        <v>5711</v>
      </c>
      <c r="L848" s="120" t="s">
        <v>5712</v>
      </c>
      <c r="M848" s="193" t="s">
        <v>5713</v>
      </c>
      <c r="N848" s="120"/>
      <c r="O848" s="142" t="s">
        <v>5598</v>
      </c>
      <c r="P848" s="120"/>
      <c r="Q848" s="8">
        <v>45919</v>
      </c>
      <c r="R848" s="8">
        <v>45916</v>
      </c>
      <c r="S848" s="8">
        <v>45917</v>
      </c>
      <c r="T848" s="4" t="s">
        <v>5714</v>
      </c>
      <c r="U848" s="4" t="s">
        <v>5715</v>
      </c>
      <c r="V848" s="58">
        <v>104448</v>
      </c>
      <c r="W848" s="8" t="s">
        <v>5616</v>
      </c>
      <c r="X848" s="8" t="s">
        <v>5617</v>
      </c>
      <c r="Y848" s="9" t="s">
        <v>5637</v>
      </c>
      <c r="Z848" t="s">
        <v>4275</v>
      </c>
      <c r="AA848" t="s">
        <v>1079</v>
      </c>
      <c r="AB848" t="s">
        <v>5213</v>
      </c>
      <c r="AC848" t="s">
        <v>2995</v>
      </c>
      <c r="AD848" s="496" t="s">
        <v>5619</v>
      </c>
    </row>
    <row r="849" spans="1:30" ht="72.5">
      <c r="A849" s="3" t="s">
        <v>350</v>
      </c>
      <c r="B849" s="46" t="s">
        <v>933</v>
      </c>
      <c r="C849" s="3"/>
      <c r="D849" s="141" t="s">
        <v>5584</v>
      </c>
      <c r="E849" s="141" t="s">
        <v>5716</v>
      </c>
      <c r="F849" s="496" t="s">
        <v>5620</v>
      </c>
      <c r="G849" t="s">
        <v>284</v>
      </c>
      <c r="H849" s="13" t="str">
        <f>IFERROR(VLOOKUP(G849, Sheet2!$A:$B, 2, FALSE), A849)</f>
        <v>West Kowloon Cultural District Authority</v>
      </c>
      <c r="I849" s="58" t="s">
        <v>352</v>
      </c>
      <c r="J849" s="52"/>
      <c r="K849" s="432" t="s">
        <v>5717</v>
      </c>
      <c r="L849" s="120" t="s">
        <v>5718</v>
      </c>
      <c r="M849" s="193" t="s">
        <v>5719</v>
      </c>
      <c r="N849" s="120"/>
      <c r="O849" s="142" t="s">
        <v>5598</v>
      </c>
      <c r="P849" s="120"/>
      <c r="Q849" s="8">
        <v>45919</v>
      </c>
      <c r="R849" s="8">
        <v>45916</v>
      </c>
      <c r="S849" s="8">
        <v>45917</v>
      </c>
      <c r="T849" s="4" t="s">
        <v>5720</v>
      </c>
      <c r="U849" s="4" t="s">
        <v>5721</v>
      </c>
      <c r="V849" s="58">
        <v>104459</v>
      </c>
      <c r="W849" s="8" t="s">
        <v>5616</v>
      </c>
      <c r="X849" s="8" t="s">
        <v>5617</v>
      </c>
      <c r="Y849" s="9" t="s">
        <v>5637</v>
      </c>
      <c r="Z849" t="s">
        <v>4275</v>
      </c>
      <c r="AA849" t="s">
        <v>1079</v>
      </c>
      <c r="AB849" t="s">
        <v>5213</v>
      </c>
      <c r="AC849" t="s">
        <v>2995</v>
      </c>
      <c r="AD849" s="496" t="s">
        <v>5619</v>
      </c>
    </row>
    <row r="850" spans="1:30" ht="72.5">
      <c r="A850" s="3" t="s">
        <v>350</v>
      </c>
      <c r="B850" s="46" t="s">
        <v>933</v>
      </c>
      <c r="C850" s="3"/>
      <c r="D850" s="141" t="s">
        <v>5584</v>
      </c>
      <c r="E850" s="141" t="s">
        <v>5722</v>
      </c>
      <c r="F850" s="496" t="s">
        <v>5620</v>
      </c>
      <c r="G850" t="s">
        <v>284</v>
      </c>
      <c r="H850" s="13" t="str">
        <f>IFERROR(VLOOKUP(G850, Sheet2!$A:$B, 2, FALSE), A850)</f>
        <v>West Kowloon Cultural District Authority</v>
      </c>
      <c r="I850" s="58" t="s">
        <v>352</v>
      </c>
      <c r="J850" s="52"/>
      <c r="K850" s="432" t="s">
        <v>5723</v>
      </c>
      <c r="L850" s="120" t="s">
        <v>5724</v>
      </c>
      <c r="M850" s="193" t="s">
        <v>5725</v>
      </c>
      <c r="N850" s="120"/>
      <c r="O850" s="142" t="s">
        <v>5598</v>
      </c>
      <c r="P850" s="120"/>
      <c r="Q850" s="8">
        <v>45919</v>
      </c>
      <c r="R850" s="8">
        <v>45916</v>
      </c>
      <c r="S850" s="8">
        <v>45917</v>
      </c>
      <c r="T850" s="4" t="s">
        <v>5726</v>
      </c>
      <c r="U850" s="4" t="s">
        <v>5727</v>
      </c>
      <c r="V850" s="58">
        <v>104450</v>
      </c>
      <c r="W850" s="8" t="s">
        <v>5616</v>
      </c>
      <c r="X850" s="8" t="s">
        <v>5617</v>
      </c>
      <c r="Y850" s="9" t="s">
        <v>5637</v>
      </c>
      <c r="Z850" t="s">
        <v>4275</v>
      </c>
      <c r="AA850" t="s">
        <v>1079</v>
      </c>
      <c r="AB850" t="s">
        <v>5213</v>
      </c>
      <c r="AC850" t="s">
        <v>2995</v>
      </c>
      <c r="AD850" s="496" t="s">
        <v>5619</v>
      </c>
    </row>
    <row r="851" spans="1:30" ht="72.5">
      <c r="A851" s="3" t="s">
        <v>350</v>
      </c>
      <c r="B851" s="46" t="s">
        <v>933</v>
      </c>
      <c r="C851" s="3"/>
      <c r="D851" s="141" t="s">
        <v>5584</v>
      </c>
      <c r="E851" s="141" t="s">
        <v>5728</v>
      </c>
      <c r="F851" s="496" t="s">
        <v>5620</v>
      </c>
      <c r="G851" t="s">
        <v>285</v>
      </c>
      <c r="H851" s="13" t="str">
        <f>IFERROR(VLOOKUP(G851, Sheet2!$A:$B, 2, FALSE), A851)</f>
        <v>West Kowloon Cultural District Authority</v>
      </c>
      <c r="I851" s="58" t="s">
        <v>352</v>
      </c>
      <c r="J851" s="52"/>
      <c r="K851" s="432" t="s">
        <v>5729</v>
      </c>
      <c r="L851" s="120" t="s">
        <v>5730</v>
      </c>
      <c r="M851" s="193" t="s">
        <v>5731</v>
      </c>
      <c r="N851" s="120"/>
      <c r="O851" s="142" t="s">
        <v>5598</v>
      </c>
      <c r="P851" s="120"/>
      <c r="Q851" s="8">
        <v>45919</v>
      </c>
      <c r="R851" s="8">
        <v>45916</v>
      </c>
      <c r="S851" s="8">
        <v>45917</v>
      </c>
      <c r="T851" s="4" t="s">
        <v>5732</v>
      </c>
      <c r="U851" s="4" t="s">
        <v>5733</v>
      </c>
      <c r="V851" s="58">
        <v>104454</v>
      </c>
      <c r="W851" s="8" t="s">
        <v>5616</v>
      </c>
      <c r="X851" s="8" t="s">
        <v>5617</v>
      </c>
      <c r="Y851" s="9" t="s">
        <v>5637</v>
      </c>
      <c r="Z851" t="s">
        <v>4275</v>
      </c>
      <c r="AA851" t="s">
        <v>1079</v>
      </c>
      <c r="AB851" t="s">
        <v>5213</v>
      </c>
      <c r="AC851" t="s">
        <v>2995</v>
      </c>
      <c r="AD851" s="496" t="s">
        <v>5619</v>
      </c>
    </row>
    <row r="852" spans="1:30" ht="72.5">
      <c r="A852" s="3" t="s">
        <v>350</v>
      </c>
      <c r="B852" s="46" t="s">
        <v>933</v>
      </c>
      <c r="C852" s="3"/>
      <c r="D852" s="141" t="s">
        <v>5584</v>
      </c>
      <c r="E852" s="141" t="s">
        <v>5734</v>
      </c>
      <c r="F852" s="496" t="s">
        <v>5620</v>
      </c>
      <c r="G852" t="s">
        <v>285</v>
      </c>
      <c r="H852" s="13" t="str">
        <f>IFERROR(VLOOKUP(G852, Sheet2!$A:$B, 2, FALSE), A852)</f>
        <v>West Kowloon Cultural District Authority</v>
      </c>
      <c r="I852" s="58" t="s">
        <v>352</v>
      </c>
      <c r="J852" s="52"/>
      <c r="K852" s="432" t="s">
        <v>5735</v>
      </c>
      <c r="L852" s="120" t="s">
        <v>5736</v>
      </c>
      <c r="M852" s="193" t="s">
        <v>5737</v>
      </c>
      <c r="N852" s="120"/>
      <c r="O852" s="142" t="s">
        <v>5598</v>
      </c>
      <c r="P852" s="120"/>
      <c r="Q852" s="8">
        <v>45919</v>
      </c>
      <c r="R852" s="8">
        <v>45916</v>
      </c>
      <c r="S852" s="8">
        <v>45917</v>
      </c>
      <c r="T852" s="4" t="s">
        <v>5738</v>
      </c>
      <c r="U852" s="4" t="s">
        <v>5739</v>
      </c>
      <c r="V852" s="58">
        <v>104446</v>
      </c>
      <c r="W852" s="8" t="s">
        <v>5616</v>
      </c>
      <c r="X852" s="8" t="s">
        <v>5617</v>
      </c>
      <c r="Y852" s="9" t="s">
        <v>5637</v>
      </c>
      <c r="Z852" t="s">
        <v>4275</v>
      </c>
      <c r="AA852" t="s">
        <v>1079</v>
      </c>
      <c r="AB852" t="s">
        <v>5213</v>
      </c>
      <c r="AC852" t="s">
        <v>2995</v>
      </c>
      <c r="AD852" s="496" t="s">
        <v>5619</v>
      </c>
    </row>
    <row r="853" spans="1:30" ht="87">
      <c r="A853" s="3" t="s">
        <v>350</v>
      </c>
      <c r="B853" s="46" t="s">
        <v>933</v>
      </c>
      <c r="C853" s="3"/>
      <c r="D853" s="141" t="s">
        <v>5740</v>
      </c>
      <c r="E853" s="141">
        <v>31571230</v>
      </c>
      <c r="F853" s="496" t="s">
        <v>5741</v>
      </c>
      <c r="G853" t="s">
        <v>286</v>
      </c>
      <c r="H853" s="13" t="str">
        <f>IFERROR(VLOOKUP(G853, Sheet2!$A:$B, 2, FALSE), A853)</f>
        <v>Axial Partners Limited</v>
      </c>
      <c r="I853" s="58" t="s">
        <v>359</v>
      </c>
      <c r="J853" s="52"/>
      <c r="K853" s="52" t="s">
        <v>5742</v>
      </c>
      <c r="L853" s="120" t="s">
        <v>5741</v>
      </c>
      <c r="M853" s="504" t="s">
        <v>5743</v>
      </c>
      <c r="N853" s="120"/>
      <c r="O853" s="142" t="s">
        <v>5744</v>
      </c>
      <c r="P853" s="120"/>
      <c r="Q853" s="8">
        <v>45876</v>
      </c>
      <c r="R853" s="8">
        <v>45873</v>
      </c>
      <c r="S853" s="4">
        <v>45875</v>
      </c>
      <c r="T853" s="4" t="s">
        <v>5745</v>
      </c>
      <c r="U853" s="4" t="s">
        <v>5746</v>
      </c>
      <c r="V853" s="58">
        <v>104366</v>
      </c>
      <c r="W853" s="8" t="s">
        <v>5747</v>
      </c>
      <c r="X853" s="8" t="s">
        <v>5748</v>
      </c>
      <c r="Y853" s="9" t="s">
        <v>5749</v>
      </c>
      <c r="Z853" t="s">
        <v>1248</v>
      </c>
      <c r="AA853" t="s">
        <v>1248</v>
      </c>
      <c r="AB853" t="s">
        <v>5213</v>
      </c>
      <c r="AC853" t="s">
        <v>2995</v>
      </c>
      <c r="AD853" s="496" t="s">
        <v>5750</v>
      </c>
    </row>
    <row r="854" spans="1:30" ht="116">
      <c r="A854" s="3" t="s">
        <v>350</v>
      </c>
      <c r="B854" s="46" t="s">
        <v>933</v>
      </c>
      <c r="C854" s="3"/>
      <c r="D854" s="141" t="s">
        <v>5751</v>
      </c>
      <c r="E854" s="141" t="s">
        <v>5752</v>
      </c>
      <c r="F854" s="496" t="s">
        <v>5753</v>
      </c>
      <c r="G854" t="s">
        <v>288</v>
      </c>
      <c r="H854" s="13" t="str">
        <f>IFERROR(VLOOKUP(G854, Sheet2!$A:$B, 2, FALSE), A854)</f>
        <v>Vincent Medical Manufacturing Co., Limited</v>
      </c>
      <c r="I854" s="58" t="s">
        <v>352</v>
      </c>
      <c r="J854" s="52"/>
      <c r="K854" s="52" t="s">
        <v>5754</v>
      </c>
      <c r="L854" s="120" t="s">
        <v>5755</v>
      </c>
      <c r="M854" s="504" t="s">
        <v>5756</v>
      </c>
      <c r="N854" s="120"/>
      <c r="O854" s="142" t="s">
        <v>5757</v>
      </c>
      <c r="P854" s="120"/>
      <c r="Q854" s="8">
        <v>45875</v>
      </c>
      <c r="R854" s="8">
        <v>45875</v>
      </c>
      <c r="S854" s="8">
        <v>45875</v>
      </c>
      <c r="T854" s="4" t="s">
        <v>5758</v>
      </c>
      <c r="U854" s="4" t="s">
        <v>5759</v>
      </c>
      <c r="V854" s="6">
        <v>104371</v>
      </c>
      <c r="W854" s="4" t="s">
        <v>5760</v>
      </c>
      <c r="X854" t="s">
        <v>5761</v>
      </c>
      <c r="Y854" s="9" t="s">
        <v>5762</v>
      </c>
      <c r="Z854" t="s">
        <v>489</v>
      </c>
      <c r="AA854" t="s">
        <v>4275</v>
      </c>
      <c r="AB854" t="s">
        <v>5213</v>
      </c>
      <c r="AC854" t="s">
        <v>2784</v>
      </c>
      <c r="AD854" s="496" t="s">
        <v>5763</v>
      </c>
    </row>
    <row r="855" spans="1:30" ht="130.5">
      <c r="A855" s="3" t="s">
        <v>350</v>
      </c>
      <c r="B855" s="46" t="s">
        <v>933</v>
      </c>
      <c r="C855" s="3"/>
      <c r="D855" s="141" t="s">
        <v>4416</v>
      </c>
      <c r="E855" s="141" t="s">
        <v>4364</v>
      </c>
      <c r="F855" s="496" t="s">
        <v>4511</v>
      </c>
      <c r="G855" t="s">
        <v>175</v>
      </c>
      <c r="H855" s="13" t="str">
        <f>IFERROR(VLOOKUP(G855, Sheet2!$A:$B, 2, FALSE), A855)</f>
        <v>HOSPITAL AUTHORITY</v>
      </c>
      <c r="I855" s="58" t="s">
        <v>675</v>
      </c>
      <c r="J855" s="52" t="s">
        <v>1663</v>
      </c>
      <c r="K855" s="52" t="s">
        <v>5764</v>
      </c>
      <c r="L855" s="120" t="s">
        <v>5765</v>
      </c>
      <c r="M855" s="504" t="s">
        <v>5766</v>
      </c>
      <c r="N855" s="120"/>
      <c r="O855" s="142" t="s">
        <v>5767</v>
      </c>
      <c r="P855" s="120"/>
      <c r="Q855" s="8">
        <v>45901</v>
      </c>
      <c r="R855" s="8">
        <v>45951</v>
      </c>
      <c r="S855" s="8">
        <v>45951</v>
      </c>
      <c r="T855" s="4" t="s">
        <v>5768</v>
      </c>
      <c r="U855" s="4" t="s">
        <v>5769</v>
      </c>
      <c r="V855" s="6">
        <v>104525</v>
      </c>
      <c r="W855" s="4" t="s">
        <v>5770</v>
      </c>
      <c r="X855" t="s">
        <v>5771</v>
      </c>
      <c r="Y855" s="9" t="s">
        <v>5772</v>
      </c>
      <c r="Z855" t="s">
        <v>4275</v>
      </c>
      <c r="AA855" t="s">
        <v>1072</v>
      </c>
      <c r="AB855" t="s">
        <v>4275</v>
      </c>
      <c r="AC855" t="s">
        <v>1249</v>
      </c>
      <c r="AD855" s="496" t="s">
        <v>5773</v>
      </c>
    </row>
    <row r="856" spans="1:30" ht="159.5">
      <c r="A856" s="3" t="s">
        <v>350</v>
      </c>
      <c r="B856" s="46" t="s">
        <v>933</v>
      </c>
      <c r="C856" s="3"/>
      <c r="D856" s="141" t="s">
        <v>5774</v>
      </c>
      <c r="E856" s="141">
        <v>28883101</v>
      </c>
      <c r="F856" s="496" t="s">
        <v>5775</v>
      </c>
      <c r="G856" t="s">
        <v>289</v>
      </c>
      <c r="H856" s="13" t="str">
        <f>IFERROR(VLOOKUP(G856, Sheet2!$A:$B, 2, FALSE), A856)</f>
        <v>CAM 8_HKT IPTS_App Dev</v>
      </c>
      <c r="I856" s="58" t="s">
        <v>352</v>
      </c>
      <c r="J856" s="517"/>
      <c r="K856" s="52" t="s">
        <v>5776</v>
      </c>
      <c r="L856" s="120" t="s">
        <v>290</v>
      </c>
      <c r="M856" s="504" t="s">
        <v>5777</v>
      </c>
      <c r="N856" s="517"/>
      <c r="O856" s="142" t="s">
        <v>5778</v>
      </c>
      <c r="P856" s="517"/>
      <c r="Q856" s="8">
        <v>45883</v>
      </c>
      <c r="R856" s="8">
        <v>45876</v>
      </c>
      <c r="S856" s="4">
        <v>45880</v>
      </c>
      <c r="T856" s="4" t="s">
        <v>5779</v>
      </c>
      <c r="U856" s="4" t="s">
        <v>5780</v>
      </c>
      <c r="V856" s="6">
        <v>104373</v>
      </c>
      <c r="W856" s="4" t="s">
        <v>5781</v>
      </c>
      <c r="X856" t="s">
        <v>5782</v>
      </c>
      <c r="Y856" s="9" t="s">
        <v>5783</v>
      </c>
      <c r="Z856" t="s">
        <v>4275</v>
      </c>
      <c r="AA856" t="s">
        <v>4275</v>
      </c>
      <c r="AB856" t="s">
        <v>5213</v>
      </c>
      <c r="AC856" t="s">
        <v>2680</v>
      </c>
      <c r="AD856" s="496" t="s">
        <v>5784</v>
      </c>
    </row>
    <row r="857" spans="1:30" ht="116">
      <c r="A857" s="3" t="s">
        <v>350</v>
      </c>
      <c r="B857" s="46" t="s">
        <v>933</v>
      </c>
      <c r="C857" s="3"/>
      <c r="D857" s="141" t="s">
        <v>5785</v>
      </c>
      <c r="E857" s="141" t="s">
        <v>5786</v>
      </c>
      <c r="F857" s="496" t="s">
        <v>5787</v>
      </c>
      <c r="G857" t="s">
        <v>1365</v>
      </c>
      <c r="H857" s="13" t="str">
        <f>IFERROR(VLOOKUP(G857, Sheet2!$A:$B, 2, FALSE), A857)</f>
        <v>AIRPORT AUTHORITY</v>
      </c>
      <c r="I857" s="58" t="s">
        <v>352</v>
      </c>
      <c r="J857" s="52" t="s">
        <v>655</v>
      </c>
      <c r="K857" s="52" t="s">
        <v>5788</v>
      </c>
      <c r="L857" s="120" t="s">
        <v>5789</v>
      </c>
      <c r="M857" s="348"/>
      <c r="N857" s="120"/>
      <c r="O857" s="142" t="s">
        <v>5790</v>
      </c>
      <c r="P857" s="120"/>
      <c r="Q857" s="8">
        <v>45877</v>
      </c>
      <c r="R857" s="8">
        <v>45877</v>
      </c>
      <c r="S857" s="8">
        <v>45877</v>
      </c>
      <c r="T857" s="4" t="s">
        <v>5791</v>
      </c>
      <c r="U857" s="4" t="s">
        <v>5792</v>
      </c>
      <c r="V857" s="6">
        <v>104368</v>
      </c>
      <c r="W857" s="4" t="s">
        <v>5793</v>
      </c>
      <c r="X857" t="s">
        <v>5794</v>
      </c>
      <c r="Y857" s="9" t="s">
        <v>5795</v>
      </c>
      <c r="Z857" t="s">
        <v>489</v>
      </c>
      <c r="AA857" t="s">
        <v>781</v>
      </c>
      <c r="AB857" t="s">
        <v>4275</v>
      </c>
      <c r="AC857" t="s">
        <v>1249</v>
      </c>
      <c r="AD857" s="496" t="s">
        <v>5796</v>
      </c>
    </row>
    <row r="858" spans="1:30" ht="101.5">
      <c r="A858" s="3" t="s">
        <v>350</v>
      </c>
      <c r="B858" s="46" t="s">
        <v>4455</v>
      </c>
      <c r="C858" s="3"/>
      <c r="D858" s="141" t="s">
        <v>5785</v>
      </c>
      <c r="E858" s="141" t="s">
        <v>5786</v>
      </c>
      <c r="F858" s="496" t="s">
        <v>5787</v>
      </c>
      <c r="G858" t="s">
        <v>1365</v>
      </c>
      <c r="H858" s="13" t="str">
        <f>IFERROR(VLOOKUP(G858, Sheet2!$A:$B, 2, FALSE), A858)</f>
        <v>AIRPORT AUTHORITY</v>
      </c>
      <c r="I858" s="58" t="s">
        <v>352</v>
      </c>
      <c r="J858" s="52" t="s">
        <v>655</v>
      </c>
      <c r="K858" s="52" t="s">
        <v>5788</v>
      </c>
      <c r="L858" s="120" t="s">
        <v>5797</v>
      </c>
      <c r="M858" s="348"/>
      <c r="N858" s="120"/>
      <c r="O858" s="142" t="s">
        <v>5790</v>
      </c>
      <c r="P858" s="120"/>
      <c r="Q858" s="4">
        <v>45894</v>
      </c>
      <c r="R858" s="4">
        <v>45891</v>
      </c>
      <c r="S858" s="4">
        <v>45894</v>
      </c>
      <c r="T858" s="4" t="s">
        <v>5791</v>
      </c>
      <c r="U858" s="4" t="s">
        <v>5798</v>
      </c>
      <c r="V858" s="6">
        <v>104368</v>
      </c>
      <c r="W858" s="4" t="s">
        <v>5799</v>
      </c>
      <c r="X858" t="s">
        <v>5800</v>
      </c>
      <c r="Y858" s="9" t="s">
        <v>5801</v>
      </c>
      <c r="Z858" t="s">
        <v>489</v>
      </c>
      <c r="AA858" t="s">
        <v>781</v>
      </c>
      <c r="AB858" t="s">
        <v>4275</v>
      </c>
      <c r="AC858" t="s">
        <v>1249</v>
      </c>
      <c r="AD858" s="496" t="s">
        <v>5802</v>
      </c>
    </row>
    <row r="859" spans="1:30" ht="101.5">
      <c r="A859" s="3" t="s">
        <v>350</v>
      </c>
      <c r="B859" s="46" t="s">
        <v>933</v>
      </c>
      <c r="C859" s="3"/>
      <c r="D859" s="141" t="s">
        <v>5785</v>
      </c>
      <c r="E859" s="141" t="s">
        <v>5786</v>
      </c>
      <c r="F859" s="496" t="s">
        <v>5787</v>
      </c>
      <c r="G859" t="s">
        <v>51</v>
      </c>
      <c r="H859" s="13" t="str">
        <f>IFERROR(VLOOKUP(G859, Sheet2!$A:$B, 2, FALSE), A859)</f>
        <v>AIRPORT AUTHORITY</v>
      </c>
      <c r="I859" s="58" t="s">
        <v>352</v>
      </c>
      <c r="J859" s="52" t="s">
        <v>655</v>
      </c>
      <c r="K859" s="52" t="s">
        <v>5803</v>
      </c>
      <c r="L859" s="120" t="s">
        <v>5804</v>
      </c>
      <c r="M859" s="348"/>
      <c r="N859" s="120"/>
      <c r="O859" s="142" t="s">
        <v>5790</v>
      </c>
      <c r="P859" s="120"/>
      <c r="Q859" s="8">
        <v>45877</v>
      </c>
      <c r="R859" s="8">
        <v>45877</v>
      </c>
      <c r="S859" s="8">
        <v>45877</v>
      </c>
      <c r="T859" s="4" t="s">
        <v>5805</v>
      </c>
      <c r="U859" s="4" t="s">
        <v>5806</v>
      </c>
      <c r="V859" s="6">
        <v>104367</v>
      </c>
      <c r="W859" s="4" t="s">
        <v>5793</v>
      </c>
      <c r="X859" t="s">
        <v>5807</v>
      </c>
      <c r="Y859" s="9" t="s">
        <v>5808</v>
      </c>
      <c r="Z859" t="s">
        <v>489</v>
      </c>
      <c r="AA859" t="s">
        <v>781</v>
      </c>
      <c r="AB859" t="s">
        <v>4275</v>
      </c>
      <c r="AC859" t="s">
        <v>1249</v>
      </c>
      <c r="AD859" s="496" t="s">
        <v>5796</v>
      </c>
    </row>
    <row r="860" spans="1:30" ht="87">
      <c r="A860" s="3" t="s">
        <v>350</v>
      </c>
      <c r="B860" s="46" t="s">
        <v>933</v>
      </c>
      <c r="C860" s="3"/>
      <c r="D860" s="141" t="s">
        <v>5785</v>
      </c>
      <c r="E860" s="141" t="s">
        <v>5786</v>
      </c>
      <c r="F860" s="496" t="s">
        <v>5787</v>
      </c>
      <c r="G860" t="s">
        <v>1365</v>
      </c>
      <c r="H860" s="13" t="str">
        <f>IFERROR(VLOOKUP(G860, Sheet2!$A:$B, 2, FALSE), A860)</f>
        <v>AIRPORT AUTHORITY</v>
      </c>
      <c r="I860" s="58" t="s">
        <v>352</v>
      </c>
      <c r="J860" s="52" t="s">
        <v>655</v>
      </c>
      <c r="K860" s="52" t="s">
        <v>5809</v>
      </c>
      <c r="L860" s="120" t="s">
        <v>5810</v>
      </c>
      <c r="M860" s="348"/>
      <c r="N860" s="120"/>
      <c r="O860" s="142" t="s">
        <v>5790</v>
      </c>
      <c r="P860" s="120"/>
      <c r="Q860" s="8">
        <v>45877</v>
      </c>
      <c r="R860" s="8">
        <v>45877</v>
      </c>
      <c r="S860" s="8">
        <v>45877</v>
      </c>
      <c r="T860" s="4" t="s">
        <v>5811</v>
      </c>
      <c r="U860" s="4" t="s">
        <v>5812</v>
      </c>
      <c r="V860" s="67" t="s">
        <v>5813</v>
      </c>
      <c r="W860" s="4" t="s">
        <v>5814</v>
      </c>
      <c r="X860" t="s">
        <v>5815</v>
      </c>
      <c r="Y860" s="9" t="s">
        <v>5816</v>
      </c>
      <c r="Z860" t="s">
        <v>489</v>
      </c>
      <c r="AA860" t="s">
        <v>781</v>
      </c>
      <c r="AB860" t="s">
        <v>4275</v>
      </c>
      <c r="AC860" t="s">
        <v>1249</v>
      </c>
      <c r="AD860" s="496" t="s">
        <v>5817</v>
      </c>
    </row>
    <row r="861" spans="1:30" ht="101.5">
      <c r="A861" s="3" t="s">
        <v>350</v>
      </c>
      <c r="B861" s="46" t="s">
        <v>933</v>
      </c>
      <c r="C861" s="3"/>
      <c r="D861" s="141" t="s">
        <v>5785</v>
      </c>
      <c r="E861" s="141" t="s">
        <v>5786</v>
      </c>
      <c r="F861" s="496" t="s">
        <v>5787</v>
      </c>
      <c r="G861" t="s">
        <v>1365</v>
      </c>
      <c r="H861" s="13" t="str">
        <f>IFERROR(VLOOKUP(G861, Sheet2!$A:$B, 2, FALSE), A861)</f>
        <v>AIRPORT AUTHORITY</v>
      </c>
      <c r="I861" s="58" t="s">
        <v>352</v>
      </c>
      <c r="J861" s="52" t="s">
        <v>655</v>
      </c>
      <c r="K861" s="52" t="s">
        <v>5818</v>
      </c>
      <c r="L861" s="120" t="s">
        <v>5819</v>
      </c>
      <c r="M861" s="348"/>
      <c r="N861" s="120"/>
      <c r="O861" s="142" t="s">
        <v>5790</v>
      </c>
      <c r="P861" s="120"/>
      <c r="Q861" s="8">
        <v>45877</v>
      </c>
      <c r="R861" s="8">
        <v>45877</v>
      </c>
      <c r="S861" s="8">
        <v>45877</v>
      </c>
      <c r="T861" s="4" t="s">
        <v>5820</v>
      </c>
      <c r="U861" s="4" t="s">
        <v>5821</v>
      </c>
      <c r="V861" s="6">
        <v>104370</v>
      </c>
      <c r="W861" s="4" t="s">
        <v>5814</v>
      </c>
      <c r="X861" t="s">
        <v>5822</v>
      </c>
      <c r="Y861" s="9" t="s">
        <v>5823</v>
      </c>
      <c r="Z861" t="s">
        <v>489</v>
      </c>
      <c r="AA861" t="s">
        <v>781</v>
      </c>
      <c r="AB861" t="s">
        <v>4275</v>
      </c>
      <c r="AC861" t="s">
        <v>1249</v>
      </c>
      <c r="AD861" s="496" t="s">
        <v>5817</v>
      </c>
    </row>
    <row r="862" spans="1:30" ht="101.5">
      <c r="A862" s="3" t="s">
        <v>350</v>
      </c>
      <c r="B862" s="46" t="s">
        <v>4455</v>
      </c>
      <c r="C862" s="3"/>
      <c r="D862" s="141" t="s">
        <v>5785</v>
      </c>
      <c r="E862" s="141" t="s">
        <v>5786</v>
      </c>
      <c r="F862" s="496" t="s">
        <v>5787</v>
      </c>
      <c r="G862" t="s">
        <v>1365</v>
      </c>
      <c r="H862" s="13" t="str">
        <f>IFERROR(VLOOKUP(G862, Sheet2!$A:$B, 2, FALSE), A862)</f>
        <v>AIRPORT AUTHORITY</v>
      </c>
      <c r="I862" s="58" t="s">
        <v>352</v>
      </c>
      <c r="J862" s="52" t="s">
        <v>655</v>
      </c>
      <c r="K862" s="52" t="s">
        <v>5818</v>
      </c>
      <c r="L862" s="120" t="s">
        <v>5824</v>
      </c>
      <c r="M862" s="348"/>
      <c r="N862" s="120"/>
      <c r="O862" s="142" t="s">
        <v>5790</v>
      </c>
      <c r="P862" s="120"/>
      <c r="Q862" s="4">
        <v>45894</v>
      </c>
      <c r="R862" s="4">
        <v>45891</v>
      </c>
      <c r="S862" s="4">
        <v>45894</v>
      </c>
      <c r="T862" s="4" t="s">
        <v>5820</v>
      </c>
      <c r="U862" s="4" t="s">
        <v>5825</v>
      </c>
      <c r="V862" s="6">
        <v>104369</v>
      </c>
      <c r="W862" s="4" t="s">
        <v>5826</v>
      </c>
      <c r="X862" t="s">
        <v>5827</v>
      </c>
      <c r="Y862" s="9" t="s">
        <v>5828</v>
      </c>
      <c r="Z862" t="s">
        <v>489</v>
      </c>
      <c r="AA862" t="s">
        <v>781</v>
      </c>
      <c r="AB862" t="s">
        <v>4275</v>
      </c>
      <c r="AC862" t="s">
        <v>1249</v>
      </c>
      <c r="AD862" s="496" t="s">
        <v>5829</v>
      </c>
    </row>
    <row r="863" spans="1:30" ht="58">
      <c r="A863" s="3" t="s">
        <v>350</v>
      </c>
      <c r="B863" s="46" t="s">
        <v>3118</v>
      </c>
      <c r="C863" s="3"/>
      <c r="D863" s="141" t="s">
        <v>3845</v>
      </c>
      <c r="E863" s="141" t="s">
        <v>5439</v>
      </c>
      <c r="F863" s="496" t="s">
        <v>3847</v>
      </c>
      <c r="G863" t="s">
        <v>5275</v>
      </c>
      <c r="H863" s="13" t="str">
        <f>IFERROR(VLOOKUP(G863, Sheet2!$A:$B, 2, FALSE), A863)</f>
        <v>SHANGHAI COMMERCIAL BANK LTD</v>
      </c>
      <c r="I863" s="58" t="s">
        <v>352</v>
      </c>
      <c r="J863" s="52" t="s">
        <v>5440</v>
      </c>
      <c r="K863" s="52" t="s">
        <v>5830</v>
      </c>
      <c r="L863" s="120" t="s">
        <v>5831</v>
      </c>
      <c r="M863" s="348"/>
      <c r="N863" s="120"/>
      <c r="O863" s="142" t="s">
        <v>5832</v>
      </c>
      <c r="P863" s="120"/>
      <c r="Q863" s="4">
        <v>45901</v>
      </c>
      <c r="R863" s="4">
        <v>45895</v>
      </c>
      <c r="S863" s="4">
        <v>45896</v>
      </c>
      <c r="T863" s="4" t="s">
        <v>5833</v>
      </c>
      <c r="U863" s="4" t="s">
        <v>5834</v>
      </c>
      <c r="V863" s="4">
        <v>104413</v>
      </c>
      <c r="W863" s="4" t="s">
        <v>5835</v>
      </c>
      <c r="X863" t="s">
        <v>5836</v>
      </c>
      <c r="Y863" s="9" t="s">
        <v>5837</v>
      </c>
      <c r="Z863" t="s">
        <v>4275</v>
      </c>
      <c r="AA863" t="s">
        <v>4275</v>
      </c>
      <c r="AB863" t="s">
        <v>4275</v>
      </c>
      <c r="AC863" t="s">
        <v>3161</v>
      </c>
      <c r="AD863" s="496" t="s">
        <v>5838</v>
      </c>
    </row>
    <row r="864" spans="1:30" ht="29">
      <c r="A864" s="3" t="s">
        <v>4131</v>
      </c>
      <c r="B864" s="46" t="s">
        <v>3118</v>
      </c>
      <c r="C864" s="3"/>
      <c r="D864" s="141"/>
      <c r="E864" s="141"/>
      <c r="F864" s="496"/>
      <c r="G864" t="s">
        <v>2888</v>
      </c>
      <c r="H864" s="13" t="str">
        <f>IFERROR(VLOOKUP(G864, Sheet2!$A:$B, 2, FALSE), A864)</f>
        <v>New World Corporate Services Limited</v>
      </c>
      <c r="I864" s="58" t="s">
        <v>3365</v>
      </c>
      <c r="J864" s="52" t="s">
        <v>4634</v>
      </c>
      <c r="K864" s="52" t="s">
        <v>5839</v>
      </c>
      <c r="L864" s="120" t="s">
        <v>5840</v>
      </c>
      <c r="M864" s="348"/>
      <c r="N864" s="120"/>
      <c r="O864" s="142"/>
      <c r="P864" s="120"/>
      <c r="Q864" s="4" t="s">
        <v>997</v>
      </c>
      <c r="R864" s="4" t="s">
        <v>997</v>
      </c>
      <c r="S864" s="4" t="s">
        <v>997</v>
      </c>
      <c r="T864" s="4" t="s">
        <v>997</v>
      </c>
      <c r="U864" s="4" t="s">
        <v>997</v>
      </c>
      <c r="V864" s="4" t="s">
        <v>997</v>
      </c>
      <c r="W864" s="4" t="s">
        <v>997</v>
      </c>
      <c r="Y864" s="9" t="s">
        <v>5841</v>
      </c>
      <c r="AC864" t="s">
        <v>3161</v>
      </c>
      <c r="AD864" s="496"/>
    </row>
    <row r="865" spans="1:30" ht="130.5">
      <c r="A865" s="3" t="s">
        <v>3366</v>
      </c>
      <c r="B865" s="46" t="s">
        <v>3118</v>
      </c>
      <c r="C865" s="3"/>
      <c r="D865" s="141" t="s">
        <v>5842</v>
      </c>
      <c r="E865" s="141" t="s">
        <v>5843</v>
      </c>
      <c r="F865" s="496" t="s">
        <v>5844</v>
      </c>
      <c r="G865" t="s">
        <v>291</v>
      </c>
      <c r="H865" s="13" t="str">
        <f>IFERROR(VLOOKUP(G865, Sheet2!$A:$B, 2, FALSE), A865)</f>
        <v>UOB Kay Hian (Hong Kong) Limited</v>
      </c>
      <c r="I865" s="58" t="s">
        <v>359</v>
      </c>
      <c r="J865" s="52"/>
      <c r="K865" s="52" t="s">
        <v>5845</v>
      </c>
      <c r="L865" s="498" t="s">
        <v>5844</v>
      </c>
      <c r="M865" s="504" t="s">
        <v>5844</v>
      </c>
      <c r="N865" s="120"/>
      <c r="O865" s="142" t="s">
        <v>5846</v>
      </c>
      <c r="P865" s="120"/>
      <c r="Q865" s="4" t="s">
        <v>997</v>
      </c>
      <c r="R865" s="4" t="s">
        <v>997</v>
      </c>
      <c r="S865" s="4" t="s">
        <v>997</v>
      </c>
      <c r="T865" s="4" t="s">
        <v>997</v>
      </c>
      <c r="U865" s="4" t="s">
        <v>997</v>
      </c>
      <c r="V865" s="4" t="s">
        <v>997</v>
      </c>
      <c r="W865" s="4" t="s">
        <v>997</v>
      </c>
      <c r="Y865" s="9" t="s">
        <v>5847</v>
      </c>
      <c r="AB865" t="s">
        <v>5213</v>
      </c>
      <c r="AC865" t="s">
        <v>2784</v>
      </c>
      <c r="AD865" s="496"/>
    </row>
    <row r="866" spans="1:30" ht="145">
      <c r="A866" s="3" t="s">
        <v>350</v>
      </c>
      <c r="B866" s="46" t="s">
        <v>933</v>
      </c>
      <c r="C866" s="3"/>
      <c r="D866" s="141" t="s">
        <v>3297</v>
      </c>
      <c r="E866" s="141">
        <v>67594210</v>
      </c>
      <c r="F866" s="496" t="s">
        <v>3330</v>
      </c>
      <c r="G866" t="s">
        <v>2888</v>
      </c>
      <c r="H866" s="13" t="str">
        <f>IFERROR(VLOOKUP(G866, Sheet2!$A:$B, 2, FALSE), A866)</f>
        <v>New World Corporate Services Limited</v>
      </c>
      <c r="I866" s="58" t="s">
        <v>352</v>
      </c>
      <c r="J866" s="52" t="s">
        <v>3122</v>
      </c>
      <c r="K866" s="52" t="s">
        <v>5848</v>
      </c>
      <c r="L866" s="52" t="s">
        <v>5849</v>
      </c>
      <c r="M866" s="193" t="s">
        <v>5850</v>
      </c>
      <c r="N866" s="120"/>
      <c r="O866" s="142" t="s">
        <v>5851</v>
      </c>
      <c r="P866" s="120"/>
      <c r="Q866" s="8">
        <v>45932</v>
      </c>
      <c r="R866" s="8">
        <v>45932</v>
      </c>
      <c r="S866" s="8">
        <v>45932</v>
      </c>
      <c r="T866" s="4" t="s">
        <v>5852</v>
      </c>
      <c r="U866" s="4" t="s">
        <v>5853</v>
      </c>
      <c r="V866" s="58">
        <v>104495</v>
      </c>
      <c r="W866" s="4" t="s">
        <v>5854</v>
      </c>
      <c r="X866" t="s">
        <v>5855</v>
      </c>
      <c r="Y866" s="9" t="s">
        <v>5856</v>
      </c>
      <c r="Z866" t="s">
        <v>365</v>
      </c>
      <c r="AA866" t="s">
        <v>1248</v>
      </c>
      <c r="AB866" t="s">
        <v>5213</v>
      </c>
      <c r="AC866" t="s">
        <v>2680</v>
      </c>
      <c r="AD866" s="496" t="s">
        <v>5857</v>
      </c>
    </row>
    <row r="867" spans="1:30" ht="43.5">
      <c r="A867" s="3" t="s">
        <v>4131</v>
      </c>
      <c r="B867" s="46" t="s">
        <v>933</v>
      </c>
      <c r="C867" s="3"/>
      <c r="D867" s="141"/>
      <c r="E867" s="141"/>
      <c r="F867" s="496"/>
      <c r="H867" s="13" t="str">
        <f>IFERROR(VLOOKUP(G867, Sheet2!$A:$B, 2, FALSE), A867)</f>
        <v>Pending for order issued</v>
      </c>
      <c r="I867" s="58" t="s">
        <v>352</v>
      </c>
      <c r="J867" s="52" t="s">
        <v>5858</v>
      </c>
      <c r="K867" s="52" t="s">
        <v>5859</v>
      </c>
      <c r="L867" s="120" t="s">
        <v>5860</v>
      </c>
      <c r="M867" s="348"/>
      <c r="N867" s="120"/>
      <c r="O867" s="142"/>
      <c r="P867" s="120"/>
      <c r="Q867" s="8" t="s">
        <v>2379</v>
      </c>
      <c r="R867" s="8" t="s">
        <v>2379</v>
      </c>
      <c r="S867" s="8" t="s">
        <v>2379</v>
      </c>
      <c r="T867" s="4" t="s">
        <v>2379</v>
      </c>
      <c r="U867" s="4" t="s">
        <v>2379</v>
      </c>
      <c r="V867" s="4" t="s">
        <v>2379</v>
      </c>
      <c r="W867" s="8" t="s">
        <v>2379</v>
      </c>
      <c r="X867" t="s">
        <v>5861</v>
      </c>
      <c r="Y867" s="9" t="s">
        <v>5862</v>
      </c>
      <c r="AC867" t="s">
        <v>945</v>
      </c>
      <c r="AD867" s="496"/>
    </row>
    <row r="868" spans="1:30" ht="130.5">
      <c r="A868" s="3" t="s">
        <v>350</v>
      </c>
      <c r="B868" s="46" t="s">
        <v>933</v>
      </c>
      <c r="C868" s="3"/>
      <c r="D868" s="141" t="s">
        <v>5863</v>
      </c>
      <c r="E868" s="141" t="s">
        <v>5864</v>
      </c>
      <c r="F868" s="496" t="s">
        <v>5865</v>
      </c>
      <c r="G868" t="s">
        <v>293</v>
      </c>
      <c r="H868" s="13" t="str">
        <f>IFERROR(VLOOKUP(G868, Sheet2!$A:$B, 2, FALSE), A868)</f>
        <v>HONG KONG FINANCE COMPANY LIMITED</v>
      </c>
      <c r="I868" s="58" t="s">
        <v>359</v>
      </c>
      <c r="J868" s="52"/>
      <c r="K868" s="52" t="s">
        <v>5866</v>
      </c>
      <c r="L868" s="120"/>
      <c r="M868" s="504" t="s">
        <v>5867</v>
      </c>
      <c r="N868" s="120"/>
      <c r="O868" s="142" t="s">
        <v>5868</v>
      </c>
      <c r="P868" s="120"/>
      <c r="Q868" s="8">
        <v>45912</v>
      </c>
      <c r="R868" s="8">
        <v>45910</v>
      </c>
      <c r="S868" s="8">
        <v>45911</v>
      </c>
      <c r="T868" s="4" t="s">
        <v>5869</v>
      </c>
      <c r="U868" s="4" t="s">
        <v>5870</v>
      </c>
      <c r="V868" s="58">
        <v>104433</v>
      </c>
      <c r="W868" s="4" t="s">
        <v>5871</v>
      </c>
      <c r="X868" t="s">
        <v>5872</v>
      </c>
      <c r="Y868" s="9" t="s">
        <v>5873</v>
      </c>
      <c r="Z868" t="s">
        <v>425</v>
      </c>
      <c r="AA868" t="s">
        <v>1248</v>
      </c>
      <c r="AB868" t="s">
        <v>5213</v>
      </c>
      <c r="AC868" t="s">
        <v>2784</v>
      </c>
      <c r="AD868" s="496" t="s">
        <v>5874</v>
      </c>
    </row>
    <row r="869" spans="1:30" ht="72.5">
      <c r="A869" s="3" t="s">
        <v>350</v>
      </c>
      <c r="B869" s="46" t="s">
        <v>933</v>
      </c>
      <c r="C869" s="3"/>
      <c r="D869" s="141" t="s">
        <v>5875</v>
      </c>
      <c r="E869" s="141" t="s">
        <v>5876</v>
      </c>
      <c r="F869" s="496" t="s">
        <v>5586</v>
      </c>
      <c r="G869" t="s">
        <v>285</v>
      </c>
      <c r="H869" s="13" t="str">
        <f>IFERROR(VLOOKUP(G869, Sheet2!$A:$B, 2, FALSE), A869)</f>
        <v>West Kowloon Cultural District Authority</v>
      </c>
      <c r="I869" s="58" t="s">
        <v>359</v>
      </c>
      <c r="J869" s="52"/>
      <c r="K869" s="52" t="s">
        <v>5877</v>
      </c>
      <c r="L869" s="120"/>
      <c r="M869" s="502" t="s">
        <v>5878</v>
      </c>
      <c r="N869" s="120"/>
      <c r="O869" s="142" t="s">
        <v>5879</v>
      </c>
      <c r="P869" s="120"/>
      <c r="Q869" s="8">
        <v>45952</v>
      </c>
      <c r="R869" s="8">
        <v>45951</v>
      </c>
      <c r="S869" s="4">
        <v>45952</v>
      </c>
      <c r="T869" s="4" t="s">
        <v>5880</v>
      </c>
      <c r="U869" s="4" t="s">
        <v>5881</v>
      </c>
      <c r="V869" s="58">
        <v>104519</v>
      </c>
      <c r="W869" s="4" t="s">
        <v>5882</v>
      </c>
      <c r="X869" t="s">
        <v>5883</v>
      </c>
      <c r="Y869" s="9" t="s">
        <v>5884</v>
      </c>
      <c r="Z869" t="s">
        <v>425</v>
      </c>
      <c r="AA869" t="s">
        <v>1248</v>
      </c>
      <c r="AB869" t="s">
        <v>5213</v>
      </c>
      <c r="AC869" t="s">
        <v>2784</v>
      </c>
      <c r="AD869" s="193" t="s">
        <v>5885</v>
      </c>
    </row>
    <row r="870" spans="1:30" ht="117.5">
      <c r="A870" s="3" t="s">
        <v>350</v>
      </c>
      <c r="B870" s="46" t="s">
        <v>933</v>
      </c>
      <c r="C870" s="3"/>
      <c r="D870" s="141" t="s">
        <v>4416</v>
      </c>
      <c r="E870" s="141" t="s">
        <v>5886</v>
      </c>
      <c r="F870" s="465" t="s">
        <v>4511</v>
      </c>
      <c r="G870" t="s">
        <v>175</v>
      </c>
      <c r="H870" s="13" t="str">
        <f>IFERROR(VLOOKUP(G870, Sheet2!$A:$B, 2, FALSE), A870)</f>
        <v>HOSPITAL AUTHORITY</v>
      </c>
      <c r="I870" s="58" t="s">
        <v>675</v>
      </c>
      <c r="J870" s="52"/>
      <c r="K870" s="52" t="s">
        <v>5887</v>
      </c>
      <c r="L870" s="518" t="s">
        <v>5888</v>
      </c>
      <c r="M870" s="502" t="s">
        <v>5889</v>
      </c>
      <c r="N870" s="120"/>
      <c r="O870" s="142" t="s">
        <v>5890</v>
      </c>
      <c r="P870" s="120"/>
      <c r="Q870" s="8">
        <v>45931</v>
      </c>
      <c r="R870" s="8">
        <v>45979</v>
      </c>
      <c r="S870" s="8">
        <v>45931</v>
      </c>
      <c r="T870" s="4" t="s">
        <v>5891</v>
      </c>
      <c r="U870" s="4" t="s">
        <v>5892</v>
      </c>
      <c r="V870" s="4">
        <v>104559</v>
      </c>
      <c r="W870" s="8" t="s">
        <v>5893</v>
      </c>
      <c r="X870" s="500" t="s">
        <v>5894</v>
      </c>
      <c r="Y870" s="9" t="s">
        <v>5895</v>
      </c>
      <c r="Z870" t="s">
        <v>425</v>
      </c>
      <c r="AA870" t="s">
        <v>1072</v>
      </c>
      <c r="AB870" t="s">
        <v>4275</v>
      </c>
      <c r="AC870" t="s">
        <v>3161</v>
      </c>
      <c r="AD870" s="465" t="s">
        <v>5896</v>
      </c>
    </row>
    <row r="871" spans="1:30" ht="101.5">
      <c r="A871" s="3" t="s">
        <v>350</v>
      </c>
      <c r="B871" s="46" t="s">
        <v>933</v>
      </c>
      <c r="C871" s="3"/>
      <c r="D871" s="141" t="s">
        <v>5897</v>
      </c>
      <c r="E871" s="141">
        <v>21833949</v>
      </c>
      <c r="F871" s="496" t="s">
        <v>5898</v>
      </c>
      <c r="G871" t="s">
        <v>1365</v>
      </c>
      <c r="H871" s="13" t="str">
        <f>IFERROR(VLOOKUP(G871, Sheet2!$A:$B, 2, FALSE), A871)</f>
        <v>AIRPORT AUTHORITY</v>
      </c>
      <c r="I871" s="58" t="s">
        <v>393</v>
      </c>
      <c r="J871" s="52"/>
      <c r="K871" s="52"/>
      <c r="L871" s="142" t="s">
        <v>5899</v>
      </c>
      <c r="M871" s="348"/>
      <c r="N871" s="120"/>
      <c r="O871" s="142" t="s">
        <v>5900</v>
      </c>
      <c r="P871" s="120"/>
      <c r="Q871" s="8">
        <v>45922</v>
      </c>
      <c r="R871" s="8">
        <v>45918</v>
      </c>
      <c r="S871" s="8">
        <v>45919</v>
      </c>
      <c r="T871" s="4" t="s">
        <v>5901</v>
      </c>
      <c r="U871" s="4" t="s">
        <v>5902</v>
      </c>
      <c r="V871" s="58">
        <v>104472</v>
      </c>
      <c r="W871" s="4" t="s">
        <v>5903</v>
      </c>
      <c r="X871" s="503" t="s">
        <v>5904</v>
      </c>
      <c r="Y871" s="9" t="s">
        <v>5905</v>
      </c>
      <c r="Z871" t="s">
        <v>489</v>
      </c>
      <c r="AA871" t="s">
        <v>781</v>
      </c>
      <c r="AB871" t="s">
        <v>4275</v>
      </c>
      <c r="AC871" t="s">
        <v>3161</v>
      </c>
      <c r="AD871" s="496" t="s">
        <v>5906</v>
      </c>
    </row>
    <row r="872" spans="1:30" ht="87">
      <c r="A872" s="3" t="s">
        <v>350</v>
      </c>
      <c r="B872" s="46" t="s">
        <v>933</v>
      </c>
      <c r="C872" s="3"/>
      <c r="D872" s="141" t="s">
        <v>5897</v>
      </c>
      <c r="E872" s="141">
        <v>21833949</v>
      </c>
      <c r="F872" s="496" t="s">
        <v>5898</v>
      </c>
      <c r="G872" t="s">
        <v>1365</v>
      </c>
      <c r="H872" s="13" t="str">
        <f>IFERROR(VLOOKUP(G872, Sheet2!$A:$B, 2, FALSE), A872)</f>
        <v>AIRPORT AUTHORITY</v>
      </c>
      <c r="I872" s="58" t="s">
        <v>393</v>
      </c>
      <c r="J872" s="52"/>
      <c r="K872" s="52"/>
      <c r="L872" s="120" t="s">
        <v>5907</v>
      </c>
      <c r="M872" s="348"/>
      <c r="N872" s="120"/>
      <c r="O872" s="142" t="s">
        <v>5900</v>
      </c>
      <c r="P872" s="120"/>
      <c r="Q872" s="8">
        <v>45926</v>
      </c>
      <c r="R872" s="8">
        <v>45925</v>
      </c>
      <c r="S872" s="8">
        <v>45925</v>
      </c>
      <c r="T872" s="4" t="s">
        <v>5901</v>
      </c>
      <c r="U872" s="8" t="s">
        <v>5908</v>
      </c>
      <c r="V872" s="58">
        <v>104472</v>
      </c>
      <c r="W872" s="8" t="s">
        <v>5909</v>
      </c>
      <c r="X872" s="503" t="s">
        <v>5910</v>
      </c>
      <c r="Y872" s="9" t="s">
        <v>5911</v>
      </c>
      <c r="Z872" t="s">
        <v>489</v>
      </c>
      <c r="AA872" t="s">
        <v>781</v>
      </c>
      <c r="AB872" t="s">
        <v>4275</v>
      </c>
      <c r="AC872" t="s">
        <v>3161</v>
      </c>
      <c r="AD872" s="506" t="s">
        <v>5912</v>
      </c>
    </row>
    <row r="873" spans="1:30" ht="72.5">
      <c r="A873" s="3" t="s">
        <v>350</v>
      </c>
      <c r="B873" s="46" t="s">
        <v>933</v>
      </c>
      <c r="C873" s="3"/>
      <c r="D873" s="141" t="s">
        <v>5897</v>
      </c>
      <c r="E873" s="141">
        <v>21833949</v>
      </c>
      <c r="F873" s="496" t="s">
        <v>5898</v>
      </c>
      <c r="G873" t="s">
        <v>1365</v>
      </c>
      <c r="H873" s="13" t="str">
        <f>IFERROR(VLOOKUP(G873, Sheet2!$A:$B, 2, FALSE), A873)</f>
        <v>AIRPORT AUTHORITY</v>
      </c>
      <c r="I873" s="58" t="s">
        <v>393</v>
      </c>
      <c r="J873" s="52"/>
      <c r="K873" s="52"/>
      <c r="L873" s="142" t="s">
        <v>5913</v>
      </c>
      <c r="M873" s="348"/>
      <c r="N873" s="120"/>
      <c r="O873" s="142" t="s">
        <v>5900</v>
      </c>
      <c r="P873" s="120"/>
      <c r="Q873" s="8">
        <v>45922</v>
      </c>
      <c r="R873" s="8">
        <v>45918</v>
      </c>
      <c r="S873" s="8">
        <v>45919</v>
      </c>
      <c r="T873" s="4" t="s">
        <v>5914</v>
      </c>
      <c r="U873" s="4" t="s">
        <v>5915</v>
      </c>
      <c r="V873" s="58">
        <v>104471</v>
      </c>
      <c r="W873" s="4" t="s">
        <v>5903</v>
      </c>
      <c r="X873" s="503" t="s">
        <v>5916</v>
      </c>
      <c r="Y873" s="9" t="s">
        <v>5917</v>
      </c>
      <c r="Z873" t="s">
        <v>425</v>
      </c>
      <c r="AA873" t="s">
        <v>781</v>
      </c>
      <c r="AB873" t="s">
        <v>4275</v>
      </c>
      <c r="AC873" t="s">
        <v>1249</v>
      </c>
      <c r="AD873" s="496" t="s">
        <v>5906</v>
      </c>
    </row>
    <row r="874" spans="1:30" ht="145">
      <c r="A874" s="3" t="s">
        <v>350</v>
      </c>
      <c r="B874" s="46" t="s">
        <v>933</v>
      </c>
      <c r="C874" s="3"/>
      <c r="D874" s="141" t="s">
        <v>5918</v>
      </c>
      <c r="E874" s="141" t="s">
        <v>5919</v>
      </c>
      <c r="F874" s="496" t="s">
        <v>5920</v>
      </c>
      <c r="G874" t="s">
        <v>295</v>
      </c>
      <c r="H874" s="13" t="str">
        <f>IFERROR(VLOOKUP(G874, Sheet2!$A:$B, 2, FALSE), A874)</f>
        <v>Well &amp; Well Holdings Limited</v>
      </c>
      <c r="I874" s="58" t="s">
        <v>352</v>
      </c>
      <c r="J874" s="52"/>
      <c r="K874" s="52" t="s">
        <v>5921</v>
      </c>
      <c r="L874" s="120"/>
      <c r="M874" s="502" t="s">
        <v>5922</v>
      </c>
      <c r="N874" s="120"/>
      <c r="O874" s="142" t="s">
        <v>5923</v>
      </c>
      <c r="P874" s="120"/>
      <c r="Q874" s="8">
        <v>45922</v>
      </c>
      <c r="R874" s="8">
        <v>45919</v>
      </c>
      <c r="S874" s="8">
        <v>45922</v>
      </c>
      <c r="T874" s="4" t="s">
        <v>5924</v>
      </c>
      <c r="U874" s="4" t="s">
        <v>5925</v>
      </c>
      <c r="V874" s="58">
        <v>104473</v>
      </c>
      <c r="W874" s="8" t="s">
        <v>5926</v>
      </c>
      <c r="X874" s="503" t="s">
        <v>5927</v>
      </c>
      <c r="Y874" s="9" t="s">
        <v>5928</v>
      </c>
      <c r="Z874" t="s">
        <v>365</v>
      </c>
      <c r="AA874" t="s">
        <v>1248</v>
      </c>
      <c r="AB874" t="s">
        <v>1248</v>
      </c>
      <c r="AC874" t="s">
        <v>1249</v>
      </c>
      <c r="AD874" s="496" t="s">
        <v>5929</v>
      </c>
    </row>
    <row r="875" spans="1:30" ht="130.5">
      <c r="A875" s="3" t="s">
        <v>350</v>
      </c>
      <c r="B875" s="46" t="s">
        <v>933</v>
      </c>
      <c r="C875" s="3"/>
      <c r="D875" s="141" t="s">
        <v>5930</v>
      </c>
      <c r="E875" s="141">
        <v>61868423</v>
      </c>
      <c r="F875" s="496" t="s">
        <v>5165</v>
      </c>
      <c r="G875" t="s">
        <v>1365</v>
      </c>
      <c r="H875" s="13" t="str">
        <f>IFERROR(VLOOKUP(G875, Sheet2!$A:$B, 2, FALSE), A875)</f>
        <v>AIRPORT AUTHORITY</v>
      </c>
      <c r="I875" s="58" t="s">
        <v>352</v>
      </c>
      <c r="J875" s="52" t="s">
        <v>655</v>
      </c>
      <c r="K875" s="52" t="s">
        <v>5931</v>
      </c>
      <c r="L875" s="120" t="s">
        <v>5932</v>
      </c>
      <c r="M875" s="504" t="s">
        <v>5933</v>
      </c>
      <c r="N875" s="120"/>
      <c r="O875" s="142" t="s">
        <v>5900</v>
      </c>
      <c r="P875" s="120"/>
      <c r="Q875" s="8">
        <v>45922</v>
      </c>
      <c r="R875" s="8">
        <v>45919</v>
      </c>
      <c r="S875" s="8">
        <v>45922</v>
      </c>
      <c r="T875" s="4" t="s">
        <v>5934</v>
      </c>
      <c r="U875" s="4" t="s">
        <v>5935</v>
      </c>
      <c r="V875" s="58">
        <v>104475</v>
      </c>
      <c r="W875" s="4" t="s">
        <v>5936</v>
      </c>
      <c r="X875" s="503" t="s">
        <v>5937</v>
      </c>
      <c r="Y875" s="9" t="s">
        <v>5938</v>
      </c>
      <c r="Z875" t="s">
        <v>489</v>
      </c>
      <c r="AA875" t="s">
        <v>781</v>
      </c>
      <c r="AB875" t="s">
        <v>1248</v>
      </c>
      <c r="AC875" t="s">
        <v>1249</v>
      </c>
      <c r="AD875" s="496" t="s">
        <v>5939</v>
      </c>
    </row>
    <row r="876" spans="1:30" ht="130.5">
      <c r="A876" s="3" t="s">
        <v>350</v>
      </c>
      <c r="B876" s="46" t="s">
        <v>933</v>
      </c>
      <c r="C876" s="3"/>
      <c r="D876" s="141" t="s">
        <v>5930</v>
      </c>
      <c r="E876" s="141">
        <v>61868423</v>
      </c>
      <c r="F876" s="496" t="s">
        <v>5165</v>
      </c>
      <c r="G876" t="s">
        <v>1365</v>
      </c>
      <c r="H876" s="13" t="str">
        <f>IFERROR(VLOOKUP(G876, Sheet2!$A:$B, 2, FALSE), A876)</f>
        <v>AIRPORT AUTHORITY</v>
      </c>
      <c r="I876" s="58" t="s">
        <v>352</v>
      </c>
      <c r="J876" s="52" t="s">
        <v>655</v>
      </c>
      <c r="K876" s="52" t="s">
        <v>5940</v>
      </c>
      <c r="L876" s="120" t="s">
        <v>5941</v>
      </c>
      <c r="M876" s="504" t="s">
        <v>5942</v>
      </c>
      <c r="N876" s="120"/>
      <c r="O876" s="142" t="s">
        <v>5900</v>
      </c>
      <c r="P876" s="120"/>
      <c r="Q876" s="8">
        <v>45922</v>
      </c>
      <c r="R876" s="8">
        <v>45919</v>
      </c>
      <c r="S876" s="8">
        <v>45922</v>
      </c>
      <c r="T876" s="4" t="s">
        <v>5943</v>
      </c>
      <c r="U876" s="4" t="s">
        <v>5944</v>
      </c>
      <c r="V876" s="58">
        <v>104476</v>
      </c>
      <c r="W876" s="4" t="s">
        <v>5936</v>
      </c>
      <c r="X876" s="503" t="s">
        <v>5945</v>
      </c>
      <c r="Y876" s="9" t="s">
        <v>5946</v>
      </c>
      <c r="Z876" t="s">
        <v>489</v>
      </c>
      <c r="AA876" t="s">
        <v>781</v>
      </c>
      <c r="AB876" t="s">
        <v>1248</v>
      </c>
      <c r="AC876" t="s">
        <v>1249</v>
      </c>
      <c r="AD876" s="496" t="s">
        <v>5939</v>
      </c>
    </row>
    <row r="877" spans="1:30" ht="87">
      <c r="A877" s="3" t="s">
        <v>350</v>
      </c>
      <c r="B877" s="46" t="s">
        <v>4455</v>
      </c>
      <c r="C877" s="3"/>
      <c r="D877" s="141" t="s">
        <v>5930</v>
      </c>
      <c r="E877" s="141">
        <v>61868423</v>
      </c>
      <c r="F877" s="496" t="s">
        <v>5165</v>
      </c>
      <c r="G877" t="s">
        <v>1365</v>
      </c>
      <c r="H877" s="13" t="str">
        <f>IFERROR(VLOOKUP(G877, Sheet2!$A:$B, 2, FALSE), A877)</f>
        <v>AIRPORT AUTHORITY</v>
      </c>
      <c r="I877" s="58" t="s">
        <v>352</v>
      </c>
      <c r="J877" s="52" t="s">
        <v>655</v>
      </c>
      <c r="K877" s="52" t="s">
        <v>5940</v>
      </c>
      <c r="L877" s="120" t="s">
        <v>5947</v>
      </c>
      <c r="M877" s="504" t="s">
        <v>5942</v>
      </c>
      <c r="N877" s="120"/>
      <c r="O877" s="142" t="s">
        <v>5900</v>
      </c>
      <c r="P877" s="120"/>
      <c r="Q877" s="8">
        <v>45926</v>
      </c>
      <c r="R877" s="8">
        <v>45925</v>
      </c>
      <c r="S877" s="8">
        <v>45925</v>
      </c>
      <c r="T877" s="4" t="s">
        <v>5943</v>
      </c>
      <c r="U877" s="4" t="s">
        <v>5948</v>
      </c>
      <c r="V877" s="58">
        <v>104476</v>
      </c>
      <c r="W877" s="4" t="s">
        <v>5949</v>
      </c>
      <c r="X877" s="503" t="s">
        <v>5950</v>
      </c>
      <c r="Y877" s="9" t="s">
        <v>5951</v>
      </c>
      <c r="Z877" t="s">
        <v>489</v>
      </c>
      <c r="AA877" t="s">
        <v>781</v>
      </c>
      <c r="AB877" t="s">
        <v>1248</v>
      </c>
      <c r="AC877" t="s">
        <v>1249</v>
      </c>
      <c r="AD877" s="496" t="s">
        <v>5952</v>
      </c>
    </row>
    <row r="878" spans="1:30" ht="101.5">
      <c r="A878" s="3" t="s">
        <v>350</v>
      </c>
      <c r="B878" s="46" t="s">
        <v>933</v>
      </c>
      <c r="C878" s="3"/>
      <c r="D878" s="141" t="s">
        <v>5953</v>
      </c>
      <c r="E878" s="141">
        <v>21887177</v>
      </c>
      <c r="F878" s="496" t="s">
        <v>5954</v>
      </c>
      <c r="G878" t="s">
        <v>1365</v>
      </c>
      <c r="H878" s="13" t="str">
        <f>IFERROR(VLOOKUP(G878, Sheet2!$A:$B, 2, FALSE), A878)</f>
        <v>AIRPORT AUTHORITY</v>
      </c>
      <c r="I878" s="58" t="s">
        <v>393</v>
      </c>
      <c r="J878" s="52" t="s">
        <v>655</v>
      </c>
      <c r="K878" s="52"/>
      <c r="L878" s="142" t="s">
        <v>5955</v>
      </c>
      <c r="M878" s="348"/>
      <c r="N878" s="120"/>
      <c r="O878" s="142" t="s">
        <v>5900</v>
      </c>
      <c r="P878" s="120"/>
      <c r="Q878" s="8">
        <v>45922</v>
      </c>
      <c r="R878" s="8">
        <v>45920</v>
      </c>
      <c r="S878" s="8">
        <v>45922</v>
      </c>
      <c r="T878" s="4" t="s">
        <v>5956</v>
      </c>
      <c r="U878" s="4" t="s">
        <v>5957</v>
      </c>
      <c r="V878" s="58">
        <v>104474</v>
      </c>
      <c r="W878" s="4" t="s">
        <v>5958</v>
      </c>
      <c r="X878" s="503" t="s">
        <v>5959</v>
      </c>
      <c r="Y878" s="9" t="s">
        <v>5960</v>
      </c>
      <c r="Z878" t="s">
        <v>489</v>
      </c>
      <c r="AA878" t="s">
        <v>781</v>
      </c>
      <c r="AB878" t="s">
        <v>1248</v>
      </c>
      <c r="AC878" t="s">
        <v>1249</v>
      </c>
      <c r="AD878" s="193" t="s">
        <v>5961</v>
      </c>
    </row>
    <row r="879" spans="1:30" ht="101.5">
      <c r="A879" s="3" t="s">
        <v>350</v>
      </c>
      <c r="B879" s="46" t="s">
        <v>933</v>
      </c>
      <c r="C879" s="3"/>
      <c r="D879" s="141" t="s">
        <v>5953</v>
      </c>
      <c r="E879" s="141">
        <v>21887177</v>
      </c>
      <c r="F879" s="496" t="s">
        <v>3977</v>
      </c>
      <c r="G879" t="s">
        <v>1365</v>
      </c>
      <c r="H879" s="13" t="str">
        <f>IFERROR(VLOOKUP(G879, Sheet2!$A:$B, 2, FALSE), A879)</f>
        <v>AIRPORT AUTHORITY</v>
      </c>
      <c r="I879" s="58" t="s">
        <v>393</v>
      </c>
      <c r="J879" s="52" t="s">
        <v>655</v>
      </c>
      <c r="K879" s="52"/>
      <c r="L879" s="142"/>
      <c r="M879" s="502"/>
      <c r="N879" s="120"/>
      <c r="O879" s="142" t="s">
        <v>5900</v>
      </c>
      <c r="P879" s="120"/>
      <c r="Q879" s="8">
        <v>45922</v>
      </c>
      <c r="R879" s="8">
        <v>45920</v>
      </c>
      <c r="S879" s="8">
        <v>45922</v>
      </c>
      <c r="T879" s="4" t="s">
        <v>5962</v>
      </c>
      <c r="U879" s="4" t="s">
        <v>5963</v>
      </c>
      <c r="V879" s="6">
        <v>104477</v>
      </c>
      <c r="W879" s="4" t="s">
        <v>5958</v>
      </c>
      <c r="X879" s="503" t="s">
        <v>5964</v>
      </c>
      <c r="Y879" s="9" t="s">
        <v>5965</v>
      </c>
      <c r="Z879" t="s">
        <v>489</v>
      </c>
      <c r="AA879" t="s">
        <v>781</v>
      </c>
      <c r="AB879" t="s">
        <v>1248</v>
      </c>
      <c r="AC879" t="s">
        <v>1249</v>
      </c>
      <c r="AD879" s="496" t="s">
        <v>5961</v>
      </c>
    </row>
    <row r="880" spans="1:30" ht="72.5">
      <c r="A880" s="3" t="s">
        <v>350</v>
      </c>
      <c r="B880" s="46" t="s">
        <v>4455</v>
      </c>
      <c r="C880" s="3"/>
      <c r="D880" s="141" t="s">
        <v>5953</v>
      </c>
      <c r="E880" s="141">
        <v>21887177</v>
      </c>
      <c r="F880" s="496" t="s">
        <v>3977</v>
      </c>
      <c r="G880" t="s">
        <v>1365</v>
      </c>
      <c r="H880" s="13" t="str">
        <f>IFERROR(VLOOKUP(G880, Sheet2!$A:$B, 2, FALSE), A880)</f>
        <v>AIRPORT AUTHORITY</v>
      </c>
      <c r="I880" s="58" t="s">
        <v>393</v>
      </c>
      <c r="J880" s="52" t="s">
        <v>655</v>
      </c>
      <c r="K880" s="52"/>
      <c r="L880" s="120" t="s">
        <v>5966</v>
      </c>
      <c r="M880" s="348"/>
      <c r="N880" s="120"/>
      <c r="O880" s="142" t="s">
        <v>5900</v>
      </c>
      <c r="P880" s="120"/>
      <c r="Q880" s="8">
        <v>45926</v>
      </c>
      <c r="R880" s="8">
        <v>45925</v>
      </c>
      <c r="S880" s="8">
        <v>45925</v>
      </c>
      <c r="T880" s="4" t="s">
        <v>5956</v>
      </c>
      <c r="U880" s="4" t="s">
        <v>5967</v>
      </c>
      <c r="V880" s="6">
        <v>104477</v>
      </c>
      <c r="W880" s="4" t="s">
        <v>5968</v>
      </c>
      <c r="X880" s="503" t="s">
        <v>5969</v>
      </c>
      <c r="Y880" s="9" t="s">
        <v>5970</v>
      </c>
      <c r="Z880" t="s">
        <v>489</v>
      </c>
      <c r="AA880" t="s">
        <v>781</v>
      </c>
      <c r="AB880" t="s">
        <v>1248</v>
      </c>
      <c r="AC880" t="s">
        <v>1249</v>
      </c>
      <c r="AD880" s="506" t="s">
        <v>5971</v>
      </c>
    </row>
    <row r="881" spans="1:30" ht="59.5">
      <c r="A881" s="3" t="s">
        <v>4131</v>
      </c>
      <c r="B881" s="46" t="s">
        <v>933</v>
      </c>
      <c r="C881" s="3"/>
      <c r="D881" s="141" t="s">
        <v>5972</v>
      </c>
      <c r="E881" s="141">
        <v>60522243</v>
      </c>
      <c r="F881" s="193" t="s">
        <v>5973</v>
      </c>
      <c r="G881" t="s">
        <v>297</v>
      </c>
      <c r="H881" s="13" t="str">
        <f>IFERROR(VLOOKUP(G881, Sheet2!$A:$B, 2, FALSE), A881)</f>
        <v>CSR2</v>
      </c>
      <c r="I881" s="58" t="s">
        <v>675</v>
      </c>
      <c r="J881" s="52"/>
      <c r="K881" s="52" t="s">
        <v>5974</v>
      </c>
      <c r="L881" s="518" t="s">
        <v>5975</v>
      </c>
      <c r="M881" s="502" t="s">
        <v>5973</v>
      </c>
      <c r="N881" s="120"/>
      <c r="O881" s="142"/>
      <c r="P881" s="120"/>
      <c r="Q881" s="4" t="s">
        <v>2379</v>
      </c>
      <c r="R881" s="8" t="s">
        <v>2379</v>
      </c>
      <c r="S881" s="8" t="s">
        <v>2379</v>
      </c>
      <c r="T881" s="4" t="s">
        <v>2379</v>
      </c>
      <c r="U881" s="4" t="s">
        <v>2379</v>
      </c>
      <c r="V881" s="4" t="s">
        <v>2379</v>
      </c>
      <c r="W881" s="4" t="s">
        <v>2379</v>
      </c>
      <c r="X881" s="519"/>
      <c r="Y881" s="9" t="s">
        <v>5976</v>
      </c>
      <c r="AC881" t="s">
        <v>2995</v>
      </c>
    </row>
    <row r="882" spans="1:30" ht="30.5">
      <c r="A882" s="3" t="s">
        <v>4131</v>
      </c>
      <c r="B882" s="46" t="s">
        <v>933</v>
      </c>
      <c r="C882" s="3"/>
      <c r="D882" s="141" t="s">
        <v>2379</v>
      </c>
      <c r="E882" s="141" t="s">
        <v>2379</v>
      </c>
      <c r="F882" s="141" t="s">
        <v>2379</v>
      </c>
      <c r="G882" t="s">
        <v>44</v>
      </c>
      <c r="H882" s="13" t="str">
        <f>IFERROR(VLOOKUP(G882, Sheet2!$A:$B, 2, FALSE), A882)</f>
        <v>CHOW TAI FOOK JEWELLERY CO LTD</v>
      </c>
      <c r="I882" s="58" t="s">
        <v>352</v>
      </c>
      <c r="J882" s="52" t="s">
        <v>609</v>
      </c>
      <c r="K882" s="52" t="s">
        <v>5977</v>
      </c>
      <c r="L882" s="518" t="s">
        <v>5978</v>
      </c>
      <c r="M882" s="502"/>
      <c r="N882" s="120"/>
      <c r="O882" s="142"/>
      <c r="P882" s="120"/>
      <c r="Q882" s="4" t="s">
        <v>2379</v>
      </c>
      <c r="R882" s="8" t="s">
        <v>2379</v>
      </c>
      <c r="S882" s="8" t="s">
        <v>2379</v>
      </c>
      <c r="T882" s="4" t="s">
        <v>2379</v>
      </c>
      <c r="U882" s="4" t="s">
        <v>2379</v>
      </c>
      <c r="V882" s="4" t="s">
        <v>2379</v>
      </c>
      <c r="W882" s="4" t="s">
        <v>2379</v>
      </c>
      <c r="X882" s="519" t="s">
        <v>2379</v>
      </c>
      <c r="Y882" s="9" t="s">
        <v>5979</v>
      </c>
    </row>
    <row r="883" spans="1:30" ht="58">
      <c r="A883" s="3" t="s">
        <v>2799</v>
      </c>
      <c r="B883" s="46" t="s">
        <v>5032</v>
      </c>
      <c r="C883" s="3"/>
      <c r="D883" s="141" t="s">
        <v>4183</v>
      </c>
      <c r="E883" s="141" t="s">
        <v>5980</v>
      </c>
      <c r="F883" s="520" t="s">
        <v>4184</v>
      </c>
      <c r="G883" t="s">
        <v>175</v>
      </c>
      <c r="H883" s="13" t="str">
        <f>IFERROR(VLOOKUP(G883, Sheet2!$A:$B, 2, FALSE), A883)</f>
        <v>HOSPITAL AUTHORITY</v>
      </c>
      <c r="I883" s="58" t="s">
        <v>675</v>
      </c>
      <c r="J883" s="52" t="s">
        <v>1663</v>
      </c>
      <c r="K883" s="52" t="s">
        <v>4004</v>
      </c>
      <c r="L883" s="120" t="s">
        <v>4005</v>
      </c>
      <c r="M883" s="504" t="s">
        <v>4006</v>
      </c>
      <c r="N883" s="120"/>
      <c r="O883" s="142" t="s">
        <v>4007</v>
      </c>
      <c r="P883" s="120" t="s">
        <v>4008</v>
      </c>
      <c r="Q883" s="4" t="s">
        <v>2379</v>
      </c>
      <c r="R883" s="8" t="s">
        <v>2379</v>
      </c>
      <c r="S883" s="8" t="s">
        <v>2379</v>
      </c>
      <c r="T883" s="4" t="s">
        <v>2379</v>
      </c>
      <c r="U883" s="4" t="s">
        <v>2379</v>
      </c>
      <c r="V883" s="4" t="s">
        <v>2379</v>
      </c>
      <c r="W883" s="4" t="s">
        <v>2379</v>
      </c>
      <c r="X883" s="519" t="s">
        <v>2379</v>
      </c>
      <c r="Y883" s="9" t="s">
        <v>5981</v>
      </c>
      <c r="Z883" t="s">
        <v>4275</v>
      </c>
      <c r="AA883" t="s">
        <v>4275</v>
      </c>
      <c r="AB883" t="s">
        <v>4275</v>
      </c>
      <c r="AC883" t="s">
        <v>1249</v>
      </c>
      <c r="AD883" s="193"/>
    </row>
    <row r="884" spans="1:30" ht="87">
      <c r="A884" s="3" t="s">
        <v>350</v>
      </c>
      <c r="B884" s="46" t="s">
        <v>933</v>
      </c>
      <c r="C884" s="3"/>
      <c r="D884" s="141" t="s">
        <v>5982</v>
      </c>
      <c r="E884" s="141" t="s">
        <v>5983</v>
      </c>
      <c r="F884" s="193" t="s">
        <v>5984</v>
      </c>
      <c r="G884" t="s">
        <v>298</v>
      </c>
      <c r="H884" s="13" t="str">
        <f>IFERROR(VLOOKUP(G884, Sheet2!$A:$B, 2, FALSE), A884)</f>
        <v>HUNDSUN AYERS TECHNOLOGIES LTD</v>
      </c>
      <c r="I884" s="58" t="s">
        <v>410</v>
      </c>
      <c r="J884" s="52"/>
      <c r="K884" s="77" t="s">
        <v>5985</v>
      </c>
      <c r="L884" s="120"/>
      <c r="M884" s="502" t="s">
        <v>5986</v>
      </c>
      <c r="N884" s="120"/>
      <c r="O884" s="142" t="s">
        <v>5987</v>
      </c>
      <c r="P884" s="142" t="s">
        <v>5988</v>
      </c>
      <c r="Q884" s="8">
        <v>45933</v>
      </c>
      <c r="R884" s="8">
        <v>45929</v>
      </c>
      <c r="S884" s="8">
        <v>45929</v>
      </c>
      <c r="T884" s="4" t="s">
        <v>5989</v>
      </c>
      <c r="U884" s="4" t="s">
        <v>5990</v>
      </c>
      <c r="V884" s="58">
        <v>104487</v>
      </c>
      <c r="W884" s="4" t="s">
        <v>5991</v>
      </c>
      <c r="X884" s="505" t="s">
        <v>5992</v>
      </c>
      <c r="Y884" s="9" t="s">
        <v>5993</v>
      </c>
      <c r="Z884" t="s">
        <v>4275</v>
      </c>
      <c r="AA884" t="s">
        <v>4275</v>
      </c>
      <c r="AB884" t="s">
        <v>5213</v>
      </c>
      <c r="AC884" t="s">
        <v>2680</v>
      </c>
      <c r="AD884" s="193" t="s">
        <v>5994</v>
      </c>
    </row>
    <row r="885" spans="1:30" ht="58">
      <c r="A885" s="3" t="s">
        <v>350</v>
      </c>
      <c r="B885" s="46" t="s">
        <v>933</v>
      </c>
      <c r="C885" s="3"/>
      <c r="D885" s="141" t="s">
        <v>2685</v>
      </c>
      <c r="E885" s="141">
        <v>90323685</v>
      </c>
      <c r="F885" s="496" t="s">
        <v>5995</v>
      </c>
      <c r="G885" t="s">
        <v>43</v>
      </c>
      <c r="H885" s="13" t="str">
        <f>IFERROR(VLOOKUP(G885, Sheet2!$A:$B, 2, FALSE), A885)</f>
        <v>CHOW TAI FOOK JEWELLERY CO LTD</v>
      </c>
      <c r="I885" s="58" t="s">
        <v>410</v>
      </c>
      <c r="J885" s="52"/>
      <c r="K885" s="52" t="s">
        <v>5996</v>
      </c>
      <c r="L885" s="120"/>
      <c r="M885" s="504" t="s">
        <v>5995</v>
      </c>
      <c r="N885" s="120"/>
      <c r="O885" s="142" t="s">
        <v>5386</v>
      </c>
      <c r="P885" s="142" t="s">
        <v>5997</v>
      </c>
      <c r="Q885" s="8">
        <v>45930</v>
      </c>
      <c r="R885" s="8">
        <v>45932</v>
      </c>
      <c r="S885" s="8">
        <v>45932</v>
      </c>
      <c r="T885" s="4" t="s">
        <v>5998</v>
      </c>
      <c r="U885" s="4" t="s">
        <v>5999</v>
      </c>
      <c r="V885" s="58">
        <v>104493</v>
      </c>
      <c r="W885" s="8" t="s">
        <v>6000</v>
      </c>
      <c r="X885" s="505" t="s">
        <v>6001</v>
      </c>
      <c r="Y885" s="9" t="s">
        <v>6002</v>
      </c>
      <c r="Z885" t="s">
        <v>1248</v>
      </c>
      <c r="AA885" t="s">
        <v>1248</v>
      </c>
      <c r="AB885" t="s">
        <v>375</v>
      </c>
      <c r="AC885" t="s">
        <v>2995</v>
      </c>
      <c r="AD885" s="496" t="s">
        <v>6003</v>
      </c>
    </row>
    <row r="886" spans="1:30" ht="87">
      <c r="A886" s="3" t="s">
        <v>350</v>
      </c>
      <c r="B886" s="46" t="s">
        <v>933</v>
      </c>
      <c r="C886" s="3"/>
      <c r="D886" s="520" t="s">
        <v>6004</v>
      </c>
      <c r="E886" s="141" t="s">
        <v>6005</v>
      </c>
      <c r="F886" s="496" t="s">
        <v>6006</v>
      </c>
      <c r="G886" t="s">
        <v>300</v>
      </c>
      <c r="H886" s="13" t="str">
        <f>IFERROR(VLOOKUP(G886, Sheet2!$A:$B, 2, FALSE), A886)</f>
        <v>THE BOYS' AND GIRLS' CLUBS ASSOCIATION</v>
      </c>
      <c r="I886" s="58" t="s">
        <v>410</v>
      </c>
      <c r="J886" s="52"/>
      <c r="K886" s="52" t="s">
        <v>6007</v>
      </c>
      <c r="L886" s="120"/>
      <c r="M886" s="504" t="s">
        <v>6004</v>
      </c>
      <c r="N886" s="120"/>
      <c r="O886" s="142" t="s">
        <v>6008</v>
      </c>
      <c r="P886" s="142" t="s">
        <v>6009</v>
      </c>
      <c r="Q886" s="8">
        <v>45940</v>
      </c>
      <c r="R886" s="8">
        <v>45933</v>
      </c>
      <c r="S886" s="8">
        <v>45938</v>
      </c>
      <c r="T886" s="4" t="s">
        <v>6010</v>
      </c>
      <c r="U886" s="4" t="s">
        <v>6011</v>
      </c>
      <c r="V886" s="58">
        <v>104497</v>
      </c>
      <c r="W886" s="8" t="s">
        <v>6012</v>
      </c>
      <c r="X886" s="505" t="s">
        <v>6013</v>
      </c>
      <c r="Y886" s="9" t="s">
        <v>6014</v>
      </c>
      <c r="Z886" t="s">
        <v>1248</v>
      </c>
      <c r="AA886" t="s">
        <v>1248</v>
      </c>
      <c r="AB886" t="s">
        <v>375</v>
      </c>
      <c r="AC886" t="s">
        <v>2995</v>
      </c>
      <c r="AD886" s="496" t="s">
        <v>6015</v>
      </c>
    </row>
    <row r="887" spans="1:30" ht="101.5">
      <c r="A887" s="3" t="s">
        <v>350</v>
      </c>
      <c r="B887" s="46" t="s">
        <v>933</v>
      </c>
      <c r="C887" s="3"/>
      <c r="D887" s="521" t="s">
        <v>6016</v>
      </c>
      <c r="E887" s="141" t="s">
        <v>6017</v>
      </c>
      <c r="F887" s="496" t="s">
        <v>6018</v>
      </c>
      <c r="G887" t="s">
        <v>302</v>
      </c>
      <c r="H887" s="13" t="str">
        <f>IFERROR(VLOOKUP(G887, Sheet2!$A:$B, 2, FALSE), A887)</f>
        <v>HONG KONG AIR CARGO TERMINALS LIMITED</v>
      </c>
      <c r="I887" s="58" t="s">
        <v>410</v>
      </c>
      <c r="J887" s="52"/>
      <c r="K887" s="52" t="s">
        <v>6019</v>
      </c>
      <c r="L887" s="120"/>
      <c r="M887" s="502" t="s">
        <v>6018</v>
      </c>
      <c r="N887" s="120"/>
      <c r="O887" s="142" t="s">
        <v>6020</v>
      </c>
      <c r="P887" s="142" t="s">
        <v>6021</v>
      </c>
      <c r="Q887" s="8">
        <v>45936</v>
      </c>
      <c r="R887" s="8">
        <v>45938</v>
      </c>
      <c r="S887" s="8">
        <v>45939</v>
      </c>
      <c r="T887" s="4" t="s">
        <v>6022</v>
      </c>
      <c r="U887" s="4" t="s">
        <v>6023</v>
      </c>
      <c r="V887" s="58">
        <v>104505</v>
      </c>
      <c r="W887" s="8" t="s">
        <v>6024</v>
      </c>
      <c r="X887" s="505" t="s">
        <v>6025</v>
      </c>
      <c r="Y887" s="9" t="s">
        <v>6026</v>
      </c>
      <c r="Z887" t="s">
        <v>1248</v>
      </c>
      <c r="AA887" t="s">
        <v>1248</v>
      </c>
      <c r="AB887" t="s">
        <v>375</v>
      </c>
      <c r="AC887" t="s">
        <v>2995</v>
      </c>
      <c r="AD887" s="506" t="s">
        <v>6027</v>
      </c>
    </row>
    <row r="888" spans="1:30" ht="116">
      <c r="A888" s="3" t="s">
        <v>350</v>
      </c>
      <c r="B888" s="46" t="s">
        <v>933</v>
      </c>
      <c r="C888" s="3"/>
      <c r="D888" s="521" t="s">
        <v>6028</v>
      </c>
      <c r="E888" s="141" t="s">
        <v>6029</v>
      </c>
      <c r="F888" s="506" t="s">
        <v>6030</v>
      </c>
      <c r="G888" t="s">
        <v>70</v>
      </c>
      <c r="H888" s="13" t="str">
        <f>IFERROR(VLOOKUP(G888, Sheet2!$A:$B, 2, FALSE), A888)</f>
        <v>MODERN BEAUTY SALON (HK) LTD</v>
      </c>
      <c r="I888" s="58" t="s">
        <v>410</v>
      </c>
      <c r="J888" s="52"/>
      <c r="K888" s="52" t="s">
        <v>6031</v>
      </c>
      <c r="L888" s="120"/>
      <c r="M888" s="488" t="s">
        <v>6032</v>
      </c>
      <c r="N888" s="120"/>
      <c r="O888" s="142" t="s">
        <v>6033</v>
      </c>
      <c r="P888" s="142" t="s">
        <v>6034</v>
      </c>
      <c r="Q888" s="8">
        <v>45946</v>
      </c>
      <c r="R888" s="8">
        <v>45940</v>
      </c>
      <c r="S888" s="4">
        <v>45943</v>
      </c>
      <c r="T888" s="4" t="s">
        <v>6035</v>
      </c>
      <c r="U888" s="4" t="s">
        <v>6036</v>
      </c>
      <c r="V888" s="58">
        <v>104509</v>
      </c>
      <c r="W888" s="4" t="s">
        <v>6037</v>
      </c>
      <c r="X888" s="505" t="s">
        <v>6038</v>
      </c>
      <c r="Y888" s="9" t="s">
        <v>6039</v>
      </c>
      <c r="Z888" t="s">
        <v>1248</v>
      </c>
      <c r="AA888" t="s">
        <v>1248</v>
      </c>
      <c r="AB888" t="s">
        <v>375</v>
      </c>
      <c r="AC888" t="s">
        <v>2680</v>
      </c>
      <c r="AD888" s="496" t="s">
        <v>6040</v>
      </c>
    </row>
    <row r="889" spans="1:30" ht="87">
      <c r="A889" s="3" t="s">
        <v>350</v>
      </c>
      <c r="B889" s="46" t="s">
        <v>933</v>
      </c>
      <c r="C889" s="3"/>
      <c r="D889" s="521" t="s">
        <v>6041</v>
      </c>
      <c r="E889" s="141">
        <v>21836421</v>
      </c>
      <c r="F889" s="496" t="s">
        <v>6042</v>
      </c>
      <c r="G889" t="s">
        <v>1365</v>
      </c>
      <c r="H889" s="13" t="str">
        <f>IFERROR(VLOOKUP(G889, Sheet2!$A:$B, 2, FALSE), A889)</f>
        <v>AIRPORT AUTHORITY</v>
      </c>
      <c r="I889" s="58" t="s">
        <v>393</v>
      </c>
      <c r="J889" s="52"/>
      <c r="K889" s="52"/>
      <c r="L889" s="120" t="s">
        <v>6043</v>
      </c>
      <c r="M889" s="348"/>
      <c r="N889" s="120"/>
      <c r="O889" s="142" t="s">
        <v>5900</v>
      </c>
      <c r="P889" s="120"/>
      <c r="Q889" s="8">
        <v>45945</v>
      </c>
      <c r="R889" s="8">
        <v>45943</v>
      </c>
      <c r="S889" s="8">
        <v>45943</v>
      </c>
      <c r="T889" s="4" t="s">
        <v>6044</v>
      </c>
      <c r="U889" s="4" t="s">
        <v>6045</v>
      </c>
      <c r="V889" s="58">
        <v>104512</v>
      </c>
      <c r="W889" s="4" t="s">
        <v>6046</v>
      </c>
      <c r="X889" s="505" t="s">
        <v>6047</v>
      </c>
      <c r="Y889" s="9" t="s">
        <v>6048</v>
      </c>
      <c r="Z889" t="s">
        <v>5213</v>
      </c>
      <c r="AA889" t="s">
        <v>781</v>
      </c>
      <c r="AB889" t="s">
        <v>4275</v>
      </c>
      <c r="AC889" t="s">
        <v>3161</v>
      </c>
      <c r="AD889" s="496" t="s">
        <v>6049</v>
      </c>
    </row>
    <row r="890" spans="1:30" ht="87">
      <c r="A890" s="3" t="s">
        <v>350</v>
      </c>
      <c r="B890" s="46" t="s">
        <v>4455</v>
      </c>
      <c r="C890" s="3"/>
      <c r="D890" s="521" t="s">
        <v>6041</v>
      </c>
      <c r="E890" s="141">
        <v>21836421</v>
      </c>
      <c r="F890" s="496" t="s">
        <v>6042</v>
      </c>
      <c r="G890" t="s">
        <v>1365</v>
      </c>
      <c r="H890" s="13" t="str">
        <f>IFERROR(VLOOKUP(G890, Sheet2!$A:$B, 2, FALSE), A890)</f>
        <v>AIRPORT AUTHORITY</v>
      </c>
      <c r="I890" s="58" t="s">
        <v>393</v>
      </c>
      <c r="J890" s="52"/>
      <c r="K890" s="52"/>
      <c r="L890" s="120" t="s">
        <v>6050</v>
      </c>
      <c r="M890" s="348"/>
      <c r="N890" s="120"/>
      <c r="O890" s="142" t="s">
        <v>5900</v>
      </c>
      <c r="P890" s="120"/>
      <c r="Q890" s="4">
        <v>45952</v>
      </c>
      <c r="R890" s="4">
        <v>45947</v>
      </c>
      <c r="S890" s="4">
        <v>45947</v>
      </c>
      <c r="T890" s="4" t="s">
        <v>6044</v>
      </c>
      <c r="U890" s="58" t="s">
        <v>6051</v>
      </c>
      <c r="V890" s="58">
        <v>104512</v>
      </c>
      <c r="W890" s="4" t="s">
        <v>6052</v>
      </c>
      <c r="X890" s="505" t="s">
        <v>6053</v>
      </c>
      <c r="Y890" s="9" t="s">
        <v>6054</v>
      </c>
      <c r="Z890" t="s">
        <v>5213</v>
      </c>
      <c r="AA890" t="s">
        <v>781</v>
      </c>
      <c r="AB890" t="s">
        <v>4275</v>
      </c>
      <c r="AC890" t="s">
        <v>3161</v>
      </c>
      <c r="AD890" s="496" t="s">
        <v>6055</v>
      </c>
    </row>
    <row r="891" spans="1:30" ht="29">
      <c r="A891" s="3" t="s">
        <v>350</v>
      </c>
      <c r="B891" s="46" t="s">
        <v>933</v>
      </c>
      <c r="C891" s="3"/>
      <c r="D891" s="521" t="s">
        <v>6041</v>
      </c>
      <c r="E891" s="141">
        <v>21836421</v>
      </c>
      <c r="F891" s="496" t="s">
        <v>6042</v>
      </c>
      <c r="G891" t="s">
        <v>1365</v>
      </c>
      <c r="H891" s="13" t="str">
        <f>IFERROR(VLOOKUP(G891, Sheet2!$A:$B, 2, FALSE), A891)</f>
        <v>AIRPORT AUTHORITY</v>
      </c>
      <c r="I891" s="58" t="s">
        <v>393</v>
      </c>
      <c r="J891" s="52"/>
      <c r="K891" s="52"/>
      <c r="L891" s="120" t="s">
        <v>6056</v>
      </c>
      <c r="M891" s="348"/>
      <c r="N891" s="120"/>
      <c r="O891" s="142" t="s">
        <v>5900</v>
      </c>
      <c r="P891" s="120"/>
      <c r="Q891" s="8">
        <v>45945</v>
      </c>
      <c r="R891" s="8">
        <v>45943</v>
      </c>
      <c r="S891" s="8">
        <v>45943</v>
      </c>
      <c r="T891" s="4" t="s">
        <v>6057</v>
      </c>
      <c r="U891" s="4" t="s">
        <v>6058</v>
      </c>
      <c r="V891" s="58">
        <v>104511</v>
      </c>
      <c r="W891" s="8" t="s">
        <v>6059</v>
      </c>
      <c r="X891" s="505" t="s">
        <v>6060</v>
      </c>
      <c r="Y891" s="9" t="s">
        <v>6061</v>
      </c>
      <c r="Z891" t="s">
        <v>4275</v>
      </c>
      <c r="AA891" t="s">
        <v>781</v>
      </c>
      <c r="AB891" t="s">
        <v>4275</v>
      </c>
      <c r="AC891" t="s">
        <v>3161</v>
      </c>
      <c r="AD891" s="496" t="s">
        <v>6049</v>
      </c>
    </row>
    <row r="892" spans="1:30" ht="58">
      <c r="A892" s="3" t="s">
        <v>4131</v>
      </c>
      <c r="B892" s="46" t="s">
        <v>5032</v>
      </c>
      <c r="C892" s="3"/>
      <c r="D892" s="521" t="s">
        <v>4183</v>
      </c>
      <c r="E892" s="141">
        <v>39693287</v>
      </c>
      <c r="F892" s="496" t="s">
        <v>4184</v>
      </c>
      <c r="G892" t="s">
        <v>175</v>
      </c>
      <c r="H892" s="13" t="str">
        <f>IFERROR(VLOOKUP(G892, Sheet2!$A:$B, 2, FALSE), A892)</f>
        <v>HOSPITAL AUTHORITY</v>
      </c>
      <c r="I892" s="58" t="s">
        <v>352</v>
      </c>
      <c r="J892" s="52"/>
      <c r="K892" s="52" t="s">
        <v>6062</v>
      </c>
      <c r="L892" s="120" t="s">
        <v>6063</v>
      </c>
      <c r="M892" s="502" t="s">
        <v>6064</v>
      </c>
      <c r="N892" s="120"/>
      <c r="O892" s="142" t="s">
        <v>6065</v>
      </c>
      <c r="P892" s="142" t="s">
        <v>6066</v>
      </c>
      <c r="Q892" s="4" t="s">
        <v>997</v>
      </c>
      <c r="R892" s="4" t="s">
        <v>997</v>
      </c>
      <c r="S892" s="4" t="s">
        <v>997</v>
      </c>
      <c r="T892" s="4" t="s">
        <v>997</v>
      </c>
      <c r="U892" s="4" t="s">
        <v>997</v>
      </c>
      <c r="V892" s="4" t="s">
        <v>997</v>
      </c>
      <c r="W892" s="4" t="s">
        <v>997</v>
      </c>
      <c r="X892" s="505"/>
      <c r="Y892" s="9" t="s">
        <v>6067</v>
      </c>
      <c r="Z892" t="s">
        <v>4275</v>
      </c>
      <c r="AA892" t="s">
        <v>4275</v>
      </c>
      <c r="AB892" t="s">
        <v>4275</v>
      </c>
      <c r="AD892" s="496"/>
    </row>
    <row r="893" spans="1:30" ht="29">
      <c r="A893" s="3" t="s">
        <v>4131</v>
      </c>
      <c r="B893" s="46" t="s">
        <v>933</v>
      </c>
      <c r="C893" s="3"/>
      <c r="D893" s="141" t="s">
        <v>5875</v>
      </c>
      <c r="E893" s="141" t="s">
        <v>5876</v>
      </c>
      <c r="F893" s="496" t="s">
        <v>5586</v>
      </c>
      <c r="G893" t="s">
        <v>284</v>
      </c>
      <c r="H893" s="13" t="str">
        <f>IFERROR(VLOOKUP(G893, Sheet2!$A:$B, 2, FALSE), A893)</f>
        <v>West Kowloon Cultural District Authority</v>
      </c>
      <c r="I893" s="58" t="s">
        <v>352</v>
      </c>
      <c r="J893" s="52" t="s">
        <v>6068</v>
      </c>
      <c r="K893" s="52"/>
      <c r="L893" s="120"/>
      <c r="M893" s="348"/>
      <c r="N893" s="120"/>
      <c r="O893" s="142" t="s">
        <v>5879</v>
      </c>
      <c r="P893" s="120"/>
      <c r="Q893" s="8"/>
      <c r="R893" s="8"/>
      <c r="S893" s="8"/>
      <c r="T893" s="4"/>
      <c r="U893" s="4"/>
      <c r="V893" s="58"/>
      <c r="W893" s="8"/>
      <c r="X893" s="505"/>
      <c r="Y893" s="9" t="s">
        <v>6069</v>
      </c>
      <c r="AC893" t="s">
        <v>3161</v>
      </c>
      <c r="AD893" s="496"/>
    </row>
    <row r="894" spans="1:30" ht="88.5">
      <c r="A894" s="3" t="s">
        <v>350</v>
      </c>
      <c r="B894" s="46" t="s">
        <v>933</v>
      </c>
      <c r="C894" s="3"/>
      <c r="D894" s="141" t="s">
        <v>6070</v>
      </c>
      <c r="E894" s="141"/>
      <c r="F894" s="520" t="s">
        <v>6071</v>
      </c>
      <c r="G894" t="s">
        <v>303</v>
      </c>
      <c r="H894" s="13" t="str">
        <f>IFERROR(VLOOKUP(G894, Sheet2!$A:$B, 2, FALSE), A894)</f>
        <v>MAXIM'S CATERERS LTD</v>
      </c>
      <c r="I894" s="58" t="s">
        <v>410</v>
      </c>
      <c r="J894" s="100"/>
      <c r="K894" s="52" t="s">
        <v>6072</v>
      </c>
      <c r="L894" s="518"/>
      <c r="M894" s="522" t="s">
        <v>6073</v>
      </c>
      <c r="N894" s="120"/>
      <c r="O894" s="142" t="s">
        <v>6074</v>
      </c>
      <c r="P894" s="142"/>
      <c r="Q894" s="4">
        <v>45989</v>
      </c>
      <c r="R894" s="8">
        <v>45993</v>
      </c>
      <c r="S894" s="4">
        <v>45989</v>
      </c>
      <c r="T894" s="4" t="s">
        <v>6075</v>
      </c>
      <c r="U894" s="4" t="s">
        <v>6076</v>
      </c>
      <c r="V894" s="58">
        <v>104572</v>
      </c>
      <c r="W894" s="4" t="s">
        <v>6077</v>
      </c>
      <c r="X894" s="500" t="s">
        <v>6078</v>
      </c>
      <c r="Y894" s="9" t="s">
        <v>6079</v>
      </c>
      <c r="Z894" t="s">
        <v>1248</v>
      </c>
      <c r="AA894" t="s">
        <v>1248</v>
      </c>
      <c r="AB894" t="s">
        <v>5213</v>
      </c>
      <c r="AC894" t="s">
        <v>2995</v>
      </c>
      <c r="AD894" s="193" t="s">
        <v>6080</v>
      </c>
    </row>
    <row r="895" spans="1:30" ht="116">
      <c r="A895" s="3" t="s">
        <v>350</v>
      </c>
      <c r="B895" s="46" t="s">
        <v>933</v>
      </c>
      <c r="C895" s="3"/>
      <c r="D895" s="141" t="s">
        <v>6081</v>
      </c>
      <c r="E895" s="141" t="s">
        <v>6082</v>
      </c>
      <c r="F895" s="520" t="s">
        <v>6083</v>
      </c>
      <c r="G895" t="s">
        <v>6084</v>
      </c>
      <c r="H895" s="13" t="str">
        <f>IFERROR(VLOOKUP(G895, Sheet2!$A:$B, 2, FALSE), A895)</f>
        <v>CONSUMER COUNCIL</v>
      </c>
      <c r="I895" s="6" t="s">
        <v>359</v>
      </c>
      <c r="J895" s="52"/>
      <c r="K895" s="52" t="s">
        <v>6085</v>
      </c>
      <c r="L895" s="120"/>
      <c r="M895" s="504" t="s">
        <v>6086</v>
      </c>
      <c r="N895" s="120"/>
      <c r="O895" s="142" t="s">
        <v>6087</v>
      </c>
      <c r="P895" s="120"/>
      <c r="Q895" s="8">
        <v>45961</v>
      </c>
      <c r="R895" s="8">
        <v>45965</v>
      </c>
      <c r="S895" s="8" t="s">
        <v>2379</v>
      </c>
      <c r="T895" s="4" t="s">
        <v>6088</v>
      </c>
      <c r="U895" s="4" t="s">
        <v>6089</v>
      </c>
      <c r="V895" s="58">
        <v>104533</v>
      </c>
      <c r="W895" s="4" t="s">
        <v>6090</v>
      </c>
      <c r="X895" s="503" t="s">
        <v>6091</v>
      </c>
      <c r="Y895" s="9" t="s">
        <v>6092</v>
      </c>
      <c r="Z895" t="s">
        <v>4275</v>
      </c>
      <c r="AA895" t="s">
        <v>781</v>
      </c>
      <c r="AC895" t="s">
        <v>3161</v>
      </c>
      <c r="AD895" s="496" t="s">
        <v>6093</v>
      </c>
    </row>
    <row r="896" spans="1:30" ht="130.5">
      <c r="A896" s="3" t="s">
        <v>6094</v>
      </c>
      <c r="B896" s="46" t="s">
        <v>933</v>
      </c>
      <c r="C896" s="3"/>
      <c r="D896" s="141" t="s">
        <v>6095</v>
      </c>
      <c r="E896" s="141">
        <v>67775293</v>
      </c>
      <c r="F896" s="520" t="s">
        <v>6096</v>
      </c>
      <c r="G896" t="s">
        <v>6097</v>
      </c>
      <c r="H896" s="13" t="str">
        <f>IFERROR(VLOOKUP(G896, Sheet2!$A:$B, 2, FALSE), A896)</f>
        <v>Hong Kong Police Force</v>
      </c>
      <c r="I896" s="58" t="s">
        <v>352</v>
      </c>
      <c r="J896" s="100"/>
      <c r="K896" s="52" t="s">
        <v>6098</v>
      </c>
      <c r="L896" s="334" t="s">
        <v>6099</v>
      </c>
      <c r="M896" s="522" t="s">
        <v>6100</v>
      </c>
      <c r="N896" s="120"/>
      <c r="O896" s="142" t="s">
        <v>6101</v>
      </c>
      <c r="P896" s="142"/>
      <c r="Q896" s="8">
        <v>45961</v>
      </c>
      <c r="R896" s="8">
        <v>45965</v>
      </c>
      <c r="S896" s="8">
        <v>45965</v>
      </c>
      <c r="T896" s="4" t="s">
        <v>6102</v>
      </c>
      <c r="U896" s="4" t="s">
        <v>6103</v>
      </c>
      <c r="V896" s="58">
        <v>104534</v>
      </c>
      <c r="W896" s="4" t="s">
        <v>6104</v>
      </c>
      <c r="X896" s="500" t="s">
        <v>6105</v>
      </c>
      <c r="Y896" s="9" t="s">
        <v>6106</v>
      </c>
      <c r="Z896" t="s">
        <v>4275</v>
      </c>
      <c r="AA896" t="s">
        <v>4275</v>
      </c>
      <c r="AC896" t="s">
        <v>3161</v>
      </c>
      <c r="AD896" s="193" t="s">
        <v>6107</v>
      </c>
    </row>
    <row r="897" spans="1:30" ht="45">
      <c r="A897" s="3" t="s">
        <v>4131</v>
      </c>
      <c r="B897" s="46" t="s">
        <v>933</v>
      </c>
      <c r="C897" s="3"/>
      <c r="D897" s="141" t="s">
        <v>997</v>
      </c>
      <c r="E897" s="141" t="s">
        <v>997</v>
      </c>
      <c r="F897" s="521" t="s">
        <v>997</v>
      </c>
      <c r="G897" t="s">
        <v>305</v>
      </c>
      <c r="H897" s="13" t="str">
        <f>IFERROR(VLOOKUP(G897, Sheet2!$A:$B, 2, FALSE), A897)</f>
        <v>MAXIM'S CATERERS LTD</v>
      </c>
      <c r="I897" s="58" t="s">
        <v>352</v>
      </c>
      <c r="J897" s="52" t="s">
        <v>6108</v>
      </c>
      <c r="K897" s="52"/>
      <c r="L897" s="518"/>
      <c r="M897" s="522"/>
      <c r="N897" s="120"/>
      <c r="O897" s="142"/>
      <c r="P897" s="142"/>
      <c r="Q897" s="4" t="s">
        <v>2379</v>
      </c>
      <c r="R897" s="8" t="s">
        <v>2379</v>
      </c>
      <c r="S897" s="8" t="s">
        <v>2379</v>
      </c>
      <c r="T897" s="4" t="s">
        <v>2379</v>
      </c>
      <c r="U897" s="4" t="s">
        <v>2379</v>
      </c>
      <c r="V897" s="58" t="s">
        <v>2379</v>
      </c>
      <c r="W897" s="4" t="s">
        <v>2379</v>
      </c>
      <c r="X897" s="500"/>
      <c r="Y897" s="9" t="s">
        <v>6109</v>
      </c>
      <c r="AC897" t="s">
        <v>3161</v>
      </c>
      <c r="AD897" s="193"/>
    </row>
    <row r="898" spans="1:30" ht="103">
      <c r="A898" s="3" t="s">
        <v>350</v>
      </c>
      <c r="B898" s="46" t="s">
        <v>933</v>
      </c>
      <c r="C898" s="3"/>
      <c r="D898" s="141" t="s">
        <v>6110</v>
      </c>
      <c r="E898" s="141">
        <v>91045523</v>
      </c>
      <c r="F898" s="523" t="s">
        <v>6111</v>
      </c>
      <c r="G898" t="s">
        <v>306</v>
      </c>
      <c r="H898" s="13" t="str">
        <f>IFERROR(VLOOKUP(G898, Sheet2!$A:$B, 2, FALSE), A898)</f>
        <v>OPTIMIST TECHNOLOGY LIMITED</v>
      </c>
      <c r="I898" s="6" t="s">
        <v>359</v>
      </c>
      <c r="J898" s="52"/>
      <c r="K898" s="52" t="s">
        <v>6112</v>
      </c>
      <c r="L898" s="518"/>
      <c r="M898" s="524" t="s">
        <v>6113</v>
      </c>
      <c r="N898" s="120"/>
      <c r="O898" s="142" t="s">
        <v>6114</v>
      </c>
      <c r="P898" s="142"/>
      <c r="Q898" s="4">
        <v>45978</v>
      </c>
      <c r="R898" s="8">
        <v>45974</v>
      </c>
      <c r="S898" s="4">
        <v>45978</v>
      </c>
      <c r="T898" s="4" t="s">
        <v>6115</v>
      </c>
      <c r="U898" s="4" t="s">
        <v>6116</v>
      </c>
      <c r="V898" s="58">
        <v>104548</v>
      </c>
      <c r="W898" s="4" t="s">
        <v>6117</v>
      </c>
      <c r="X898" s="500" t="s">
        <v>6118</v>
      </c>
      <c r="Y898" s="9" t="s">
        <v>6119</v>
      </c>
      <c r="Z898" t="s">
        <v>4275</v>
      </c>
      <c r="AA898" t="s">
        <v>4275</v>
      </c>
      <c r="AC898" t="s">
        <v>2995</v>
      </c>
      <c r="AD898" s="193" t="s">
        <v>6120</v>
      </c>
    </row>
    <row r="899" spans="1:30" ht="116">
      <c r="A899" s="3" t="s">
        <v>4131</v>
      </c>
      <c r="B899" s="46" t="s">
        <v>933</v>
      </c>
      <c r="C899" s="3"/>
      <c r="D899" s="141" t="s">
        <v>6121</v>
      </c>
      <c r="E899" s="141" t="s">
        <v>6122</v>
      </c>
      <c r="F899" s="520" t="s">
        <v>6123</v>
      </c>
      <c r="G899" t="s">
        <v>308</v>
      </c>
      <c r="H899" s="13" t="str">
        <f>IFERROR(VLOOKUP(G899, Sheet2!$A:$B, 2, FALSE), A899)</f>
        <v>CAM 8_HKT CSL SMSGW</v>
      </c>
      <c r="I899" s="58" t="s">
        <v>352</v>
      </c>
      <c r="J899" s="100"/>
      <c r="K899" s="52" t="s">
        <v>6124</v>
      </c>
      <c r="L899" s="193" t="s">
        <v>6125</v>
      </c>
      <c r="M899" s="522" t="s">
        <v>6125</v>
      </c>
      <c r="N899" s="120"/>
      <c r="O899" s="142" t="s">
        <v>6126</v>
      </c>
      <c r="P899" s="142"/>
      <c r="Q899" s="4" t="s">
        <v>2379</v>
      </c>
      <c r="R899" s="4" t="s">
        <v>2379</v>
      </c>
      <c r="S899" s="4" t="s">
        <v>2379</v>
      </c>
      <c r="T899" s="4" t="s">
        <v>2379</v>
      </c>
      <c r="U899" s="4" t="s">
        <v>2379</v>
      </c>
      <c r="V899" s="58" t="s">
        <v>2379</v>
      </c>
      <c r="W899" s="4" t="s">
        <v>2379</v>
      </c>
      <c r="X899" s="500"/>
      <c r="Y899" s="9" t="s">
        <v>6127</v>
      </c>
      <c r="Z899" t="s">
        <v>1248</v>
      </c>
      <c r="AA899" t="s">
        <v>4275</v>
      </c>
      <c r="AB899" t="s">
        <v>5213</v>
      </c>
      <c r="AC899" t="s">
        <v>2995</v>
      </c>
      <c r="AD899" s="193"/>
    </row>
    <row r="900" spans="1:30" ht="58">
      <c r="A900" s="3" t="s">
        <v>350</v>
      </c>
      <c r="B900" s="46" t="s">
        <v>933</v>
      </c>
      <c r="C900" s="3"/>
      <c r="D900" s="8" t="s">
        <v>2834</v>
      </c>
      <c r="E900" s="290" t="s">
        <v>2835</v>
      </c>
      <c r="G900" t="s">
        <v>6128</v>
      </c>
      <c r="H900" s="13" t="str">
        <f>IFERROR(VLOOKUP(G900, Sheet2!$A:$B, 2, FALSE), A900)</f>
        <v>New World Corporate Services Limited</v>
      </c>
      <c r="I900" s="58" t="s">
        <v>352</v>
      </c>
      <c r="J900" s="52"/>
      <c r="K900" s="52" t="s">
        <v>6129</v>
      </c>
      <c r="L900" s="93" t="s">
        <v>6130</v>
      </c>
      <c r="M900" s="502" t="s">
        <v>6131</v>
      </c>
      <c r="N900" s="120"/>
      <c r="O900" s="142" t="s">
        <v>2839</v>
      </c>
      <c r="P900" s="120"/>
      <c r="Q900" s="8">
        <v>45986</v>
      </c>
      <c r="R900" s="8">
        <v>45986</v>
      </c>
      <c r="S900" s="8">
        <v>45986</v>
      </c>
      <c r="T900" s="4" t="s">
        <v>6132</v>
      </c>
      <c r="U900" s="4" t="s">
        <v>6133</v>
      </c>
      <c r="V900" s="58">
        <v>104566</v>
      </c>
      <c r="W900" s="4" t="s">
        <v>6134</v>
      </c>
      <c r="X900" s="503" t="s">
        <v>6135</v>
      </c>
      <c r="Y900" s="9" t="s">
        <v>6136</v>
      </c>
      <c r="Z900" t="s">
        <v>4275</v>
      </c>
      <c r="AA900" t="s">
        <v>4275</v>
      </c>
      <c r="AB900" t="s">
        <v>1248</v>
      </c>
      <c r="AC900" t="s">
        <v>3161</v>
      </c>
      <c r="AD900" s="496" t="s">
        <v>6137</v>
      </c>
    </row>
    <row r="901" spans="1:30" ht="116">
      <c r="A901" s="3" t="s">
        <v>350</v>
      </c>
      <c r="B901" s="46" t="s">
        <v>5032</v>
      </c>
      <c r="C901" s="3"/>
      <c r="D901" s="4" t="s">
        <v>6138</v>
      </c>
      <c r="E901" s="525">
        <v>92300831</v>
      </c>
      <c r="F901" s="496" t="s">
        <v>6139</v>
      </c>
      <c r="G901" t="s">
        <v>153</v>
      </c>
      <c r="H901" s="13" t="str">
        <f>IFERROR(VLOOKUP(G901, Sheet2!$A:$B, 2, FALSE), A901)</f>
        <v>FORIS LIMITED</v>
      </c>
      <c r="I901" s="6" t="s">
        <v>359</v>
      </c>
      <c r="J901" s="52"/>
      <c r="K901" s="52" t="s">
        <v>6140</v>
      </c>
      <c r="L901" s="120"/>
      <c r="M901" s="504" t="s">
        <v>6141</v>
      </c>
      <c r="N901" s="120"/>
      <c r="O901" s="142" t="s">
        <v>6142</v>
      </c>
      <c r="P901" s="120"/>
      <c r="Q901" s="8">
        <v>45992</v>
      </c>
      <c r="R901" s="8">
        <v>45993</v>
      </c>
      <c r="S901" s="8">
        <v>45992</v>
      </c>
      <c r="T901" s="4" t="s">
        <v>1361</v>
      </c>
      <c r="U901" s="4" t="s">
        <v>6143</v>
      </c>
      <c r="V901" s="58">
        <v>103016</v>
      </c>
      <c r="W901" s="4" t="s">
        <v>6144</v>
      </c>
      <c r="X901" s="503" t="s">
        <v>6145</v>
      </c>
      <c r="Y901" s="9" t="s">
        <v>6146</v>
      </c>
      <c r="Z901" t="s">
        <v>4275</v>
      </c>
      <c r="AA901" t="s">
        <v>4275</v>
      </c>
      <c r="AB901" t="s">
        <v>4275</v>
      </c>
      <c r="AC901" t="s">
        <v>2784</v>
      </c>
      <c r="AD901" s="496" t="s">
        <v>6147</v>
      </c>
    </row>
    <row r="902" spans="1:30" ht="101.5">
      <c r="A902" s="3" t="s">
        <v>350</v>
      </c>
      <c r="B902" s="46" t="s">
        <v>5032</v>
      </c>
      <c r="C902" s="3"/>
      <c r="D902" s="4" t="s">
        <v>6138</v>
      </c>
      <c r="E902" s="525">
        <v>92300831</v>
      </c>
      <c r="F902" s="496" t="s">
        <v>6139</v>
      </c>
      <c r="G902" t="s">
        <v>153</v>
      </c>
      <c r="H902" s="13" t="str">
        <f>IFERROR(VLOOKUP(G902, Sheet2!$A:$B, 2, FALSE), A902)</f>
        <v>FORIS LIMITED</v>
      </c>
      <c r="I902" s="6" t="s">
        <v>359</v>
      </c>
      <c r="J902" s="52"/>
      <c r="K902" s="52" t="s">
        <v>4759</v>
      </c>
      <c r="L902" s="120"/>
      <c r="M902" s="504" t="s">
        <v>4760</v>
      </c>
      <c r="N902" s="120"/>
      <c r="O902" s="142" t="s">
        <v>6142</v>
      </c>
      <c r="P902" s="120"/>
      <c r="Q902" s="8">
        <v>45992</v>
      </c>
      <c r="R902" s="4">
        <v>46000</v>
      </c>
      <c r="S902" s="8">
        <v>45992</v>
      </c>
      <c r="T902" s="4" t="s">
        <v>4762</v>
      </c>
      <c r="U902" s="4" t="s">
        <v>6148</v>
      </c>
      <c r="V902" s="58">
        <v>104095</v>
      </c>
      <c r="W902" s="4" t="s">
        <v>6144</v>
      </c>
      <c r="X902" s="503" t="s">
        <v>6149</v>
      </c>
      <c r="Y902" s="9" t="s">
        <v>6150</v>
      </c>
      <c r="Z902" t="s">
        <v>4275</v>
      </c>
      <c r="AA902" t="s">
        <v>4275</v>
      </c>
      <c r="AB902" t="s">
        <v>4275</v>
      </c>
      <c r="AC902" t="s">
        <v>2784</v>
      </c>
      <c r="AD902" s="496" t="s">
        <v>6147</v>
      </c>
    </row>
    <row r="903" spans="1:30" ht="72.5">
      <c r="A903" s="3" t="s">
        <v>350</v>
      </c>
      <c r="B903" s="46" t="s">
        <v>5032</v>
      </c>
      <c r="C903" s="3"/>
      <c r="D903" s="5" t="s">
        <v>1118</v>
      </c>
      <c r="E903" s="58" t="s">
        <v>1119</v>
      </c>
      <c r="F903" s="57"/>
      <c r="G903" s="13" t="s">
        <v>43</v>
      </c>
      <c r="H903" s="13" t="str">
        <f>IFERROR(VLOOKUP(G903, Sheet2!$A:$B, 2, FALSE), A903)</f>
        <v>CHOW TAI FOOK JEWELLERY CO LTD</v>
      </c>
      <c r="I903" s="6" t="s">
        <v>359</v>
      </c>
      <c r="J903" s="52"/>
      <c r="K903" s="79" t="s">
        <v>1408</v>
      </c>
      <c r="L903" s="120"/>
      <c r="M903" s="192" t="s">
        <v>1409</v>
      </c>
      <c r="N903" s="120"/>
      <c r="O903" s="142" t="s">
        <v>618</v>
      </c>
      <c r="P903" s="120"/>
      <c r="Q903" s="8">
        <v>45980</v>
      </c>
      <c r="R903" s="8">
        <v>45993</v>
      </c>
      <c r="S903" s="8">
        <v>45980</v>
      </c>
      <c r="T903" s="4" t="s">
        <v>1410</v>
      </c>
      <c r="U903" s="4" t="s">
        <v>6151</v>
      </c>
      <c r="V903" s="58">
        <v>103041</v>
      </c>
      <c r="W903" s="8" t="s">
        <v>6152</v>
      </c>
      <c r="X903" s="503" t="s">
        <v>6153</v>
      </c>
      <c r="Y903" s="9" t="s">
        <v>6154</v>
      </c>
      <c r="Z903" t="s">
        <v>4275</v>
      </c>
      <c r="AA903" t="s">
        <v>4275</v>
      </c>
      <c r="AB903" t="s">
        <v>4275</v>
      </c>
      <c r="AC903" t="s">
        <v>2784</v>
      </c>
      <c r="AD903" s="193" t="s">
        <v>6155</v>
      </c>
    </row>
    <row r="904" spans="1:30" ht="72.5">
      <c r="A904" s="3" t="s">
        <v>350</v>
      </c>
      <c r="B904" s="46" t="s">
        <v>5032</v>
      </c>
      <c r="C904" s="3"/>
      <c r="D904" s="5" t="s">
        <v>1118</v>
      </c>
      <c r="E904" s="58" t="s">
        <v>1119</v>
      </c>
      <c r="F904" s="57"/>
      <c r="G904" s="13" t="s">
        <v>43</v>
      </c>
      <c r="H904" s="13" t="str">
        <f>IFERROR(VLOOKUP(G904, Sheet2!$A:$B, 2, FALSE), A904)</f>
        <v>CHOW TAI FOOK JEWELLERY CO LTD</v>
      </c>
      <c r="I904" s="6" t="s">
        <v>359</v>
      </c>
      <c r="J904" s="52"/>
      <c r="K904" s="79" t="s">
        <v>1414</v>
      </c>
      <c r="L904" s="120"/>
      <c r="M904" s="192" t="s">
        <v>1415</v>
      </c>
      <c r="N904" s="120"/>
      <c r="O904" s="142" t="s">
        <v>6156</v>
      </c>
      <c r="P904" s="120"/>
      <c r="Q904" s="8">
        <v>45980</v>
      </c>
      <c r="R904" s="8">
        <v>45993</v>
      </c>
      <c r="S904" s="8">
        <v>45980</v>
      </c>
      <c r="T904" s="4" t="s">
        <v>1427</v>
      </c>
      <c r="U904" s="4" t="s">
        <v>6157</v>
      </c>
      <c r="V904" s="58">
        <v>103041</v>
      </c>
      <c r="W904" s="8" t="s">
        <v>6152</v>
      </c>
      <c r="X904" s="503" t="s">
        <v>6153</v>
      </c>
      <c r="Y904" s="9" t="s">
        <v>6158</v>
      </c>
      <c r="Z904" t="s">
        <v>4275</v>
      </c>
      <c r="AA904" t="s">
        <v>4275</v>
      </c>
      <c r="AB904" t="s">
        <v>4275</v>
      </c>
      <c r="AC904" t="s">
        <v>2784</v>
      </c>
      <c r="AD904" s="193" t="s">
        <v>6155</v>
      </c>
    </row>
    <row r="905" spans="1:30" ht="101.5">
      <c r="A905" s="3" t="s">
        <v>350</v>
      </c>
      <c r="B905" s="46" t="s">
        <v>5032</v>
      </c>
      <c r="C905" s="3"/>
      <c r="D905" s="5" t="s">
        <v>1118</v>
      </c>
      <c r="E905" s="58" t="s">
        <v>1119</v>
      </c>
      <c r="F905" s="57"/>
      <c r="G905" s="13" t="s">
        <v>43</v>
      </c>
      <c r="H905" s="13" t="str">
        <f>IFERROR(VLOOKUP(G905, Sheet2!$A:$B, 2, FALSE), A905)</f>
        <v>CHOW TAI FOOK JEWELLERY CO LTD</v>
      </c>
      <c r="I905" s="58" t="s">
        <v>352</v>
      </c>
      <c r="J905" s="52" t="s">
        <v>609</v>
      </c>
      <c r="K905" s="52" t="s">
        <v>6159</v>
      </c>
      <c r="L905" s="120" t="s">
        <v>6160</v>
      </c>
      <c r="M905" s="504" t="s">
        <v>6161</v>
      </c>
      <c r="N905" s="120"/>
      <c r="O905" s="142" t="s">
        <v>6156</v>
      </c>
      <c r="P905" s="120"/>
      <c r="Q905" s="8">
        <v>45980</v>
      </c>
      <c r="R905" s="8">
        <v>45993</v>
      </c>
      <c r="S905" s="8">
        <v>45980</v>
      </c>
      <c r="T905" s="4" t="s">
        <v>6162</v>
      </c>
      <c r="U905" s="4" t="s">
        <v>6163</v>
      </c>
      <c r="V905" s="58">
        <v>103042</v>
      </c>
      <c r="W905" s="8" t="s">
        <v>6152</v>
      </c>
      <c r="X905" s="526" t="s">
        <v>6164</v>
      </c>
      <c r="Y905" s="9" t="s">
        <v>6165</v>
      </c>
      <c r="Z905" t="s">
        <v>4275</v>
      </c>
      <c r="AA905" t="s">
        <v>4275</v>
      </c>
      <c r="AB905" t="s">
        <v>4275</v>
      </c>
      <c r="AC905" t="s">
        <v>3161</v>
      </c>
      <c r="AD905" s="193" t="s">
        <v>6155</v>
      </c>
    </row>
    <row r="906" spans="1:30" ht="101.5">
      <c r="A906" s="3" t="s">
        <v>350</v>
      </c>
      <c r="B906" s="46" t="s">
        <v>5032</v>
      </c>
      <c r="C906" s="3"/>
      <c r="D906" s="5" t="s">
        <v>1118</v>
      </c>
      <c r="E906" s="58" t="s">
        <v>1119</v>
      </c>
      <c r="F906" s="57"/>
      <c r="G906" s="13" t="s">
        <v>43</v>
      </c>
      <c r="H906" s="13" t="str">
        <f>IFERROR(VLOOKUP(G906, Sheet2!$A:$B, 2, FALSE), A906)</f>
        <v>CHOW TAI FOOK JEWELLERY CO LTD</v>
      </c>
      <c r="I906" s="58" t="s">
        <v>352</v>
      </c>
      <c r="J906" s="52" t="s">
        <v>609</v>
      </c>
      <c r="K906" s="52" t="s">
        <v>6166</v>
      </c>
      <c r="L906" s="120" t="s">
        <v>6167</v>
      </c>
      <c r="M906" s="504" t="s">
        <v>6168</v>
      </c>
      <c r="N906" s="120"/>
      <c r="O906" s="142" t="s">
        <v>6156</v>
      </c>
      <c r="P906" s="120"/>
      <c r="Q906" s="8">
        <v>45980</v>
      </c>
      <c r="R906" s="8">
        <v>45993</v>
      </c>
      <c r="S906" s="8">
        <v>45980</v>
      </c>
      <c r="T906" s="4" t="s">
        <v>1399</v>
      </c>
      <c r="U906" s="4" t="s">
        <v>6169</v>
      </c>
      <c r="V906" s="58">
        <v>103042</v>
      </c>
      <c r="W906" s="8" t="s">
        <v>6152</v>
      </c>
      <c r="X906" s="526" t="s">
        <v>6170</v>
      </c>
      <c r="Y906" s="9" t="s">
        <v>6171</v>
      </c>
      <c r="AA906" t="s">
        <v>4275</v>
      </c>
      <c r="AC906" t="s">
        <v>3161</v>
      </c>
      <c r="AD906" s="193" t="s">
        <v>6155</v>
      </c>
    </row>
    <row r="907" spans="1:30" ht="101.5">
      <c r="A907" s="3" t="s">
        <v>350</v>
      </c>
      <c r="B907" s="46" t="s">
        <v>3118</v>
      </c>
      <c r="C907" s="3"/>
      <c r="D907" s="5" t="s">
        <v>1118</v>
      </c>
      <c r="E907" s="58" t="s">
        <v>1119</v>
      </c>
      <c r="F907" s="57" t="s">
        <v>2951</v>
      </c>
      <c r="G907" s="13" t="s">
        <v>43</v>
      </c>
      <c r="H907" s="13" t="str">
        <f>IFERROR(VLOOKUP(G907, Sheet2!$A:$B, 2, FALSE), A907)</f>
        <v>CHOW TAI FOOK JEWELLERY CO LTD</v>
      </c>
      <c r="I907" s="6" t="s">
        <v>359</v>
      </c>
      <c r="J907" s="52"/>
      <c r="K907" s="52" t="s">
        <v>6172</v>
      </c>
      <c r="L907" s="120"/>
      <c r="M907" s="504" t="s">
        <v>6173</v>
      </c>
      <c r="N907" s="120"/>
      <c r="O907" s="142" t="s">
        <v>6156</v>
      </c>
      <c r="P907" s="120"/>
      <c r="Q907" s="4">
        <v>46045</v>
      </c>
      <c r="R907" s="4">
        <v>46044</v>
      </c>
      <c r="S907" s="4">
        <v>46044</v>
      </c>
      <c r="T907" s="4" t="s">
        <v>6174</v>
      </c>
      <c r="U907" s="4" t="s">
        <v>6175</v>
      </c>
      <c r="V907" s="58">
        <v>104699</v>
      </c>
      <c r="W907" s="4" t="s">
        <v>6176</v>
      </c>
      <c r="X907" s="526" t="s">
        <v>6177</v>
      </c>
      <c r="Y907" s="9" t="s">
        <v>6178</v>
      </c>
      <c r="Z907" t="s">
        <v>4275</v>
      </c>
      <c r="AA907" t="s">
        <v>781</v>
      </c>
      <c r="AB907" t="s">
        <v>5213</v>
      </c>
      <c r="AC907" t="s">
        <v>2784</v>
      </c>
      <c r="AD907" s="193" t="s">
        <v>6179</v>
      </c>
    </row>
    <row r="908" spans="1:30" ht="87">
      <c r="A908" s="3" t="s">
        <v>350</v>
      </c>
      <c r="B908" s="46" t="s">
        <v>5032</v>
      </c>
      <c r="C908" s="3"/>
      <c r="D908" s="5" t="s">
        <v>5315</v>
      </c>
      <c r="E908" s="58" t="s">
        <v>5316</v>
      </c>
      <c r="F908" s="57"/>
      <c r="G908" s="13" t="s">
        <v>310</v>
      </c>
      <c r="H908" s="13" t="str">
        <f>IFERROR(VLOOKUP(G908, Sheet2!$A:$B, 2, FALSE), A908)</f>
        <v>THE COMMERCIAL PRESS (HK) LTD</v>
      </c>
      <c r="I908" s="6" t="s">
        <v>359</v>
      </c>
      <c r="J908" s="52"/>
      <c r="K908" s="52" t="s">
        <v>5318</v>
      </c>
      <c r="L908" s="120"/>
      <c r="M908" s="504" t="s">
        <v>5319</v>
      </c>
      <c r="N908" s="120"/>
      <c r="O908" s="142" t="s">
        <v>5320</v>
      </c>
      <c r="P908" s="120"/>
      <c r="Q908" s="4">
        <v>46001</v>
      </c>
      <c r="R908" s="4">
        <v>45995</v>
      </c>
      <c r="S908" s="4">
        <v>46001</v>
      </c>
      <c r="T908" s="4" t="s">
        <v>5321</v>
      </c>
      <c r="U908" s="4" t="s">
        <v>6180</v>
      </c>
      <c r="V908" s="58">
        <v>104279</v>
      </c>
      <c r="W908" s="4" t="s">
        <v>6181</v>
      </c>
      <c r="X908" s="526" t="s">
        <v>6182</v>
      </c>
      <c r="Y908" s="9" t="s">
        <v>6183</v>
      </c>
      <c r="Z908" t="s">
        <v>4275</v>
      </c>
      <c r="AA908" t="s">
        <v>4275</v>
      </c>
      <c r="AB908" t="s">
        <v>4275</v>
      </c>
      <c r="AC908" t="s">
        <v>2784</v>
      </c>
      <c r="AD908" s="193" t="s">
        <v>6184</v>
      </c>
    </row>
    <row r="909" spans="1:30" ht="101.5">
      <c r="A909" s="3" t="s">
        <v>4131</v>
      </c>
      <c r="B909" s="46" t="s">
        <v>5032</v>
      </c>
      <c r="C909" s="3"/>
      <c r="D909" s="5" t="s">
        <v>4183</v>
      </c>
      <c r="E909" s="58">
        <v>39693287</v>
      </c>
      <c r="F909" s="514" t="s">
        <v>6185</v>
      </c>
      <c r="G909" s="13" t="s">
        <v>175</v>
      </c>
      <c r="H909" s="13" t="str">
        <f>IFERROR(VLOOKUP(G909, Sheet2!$A:$B, 2, FALSE), A909)</f>
        <v>HOSPITAL AUTHORITY</v>
      </c>
      <c r="I909" s="58" t="s">
        <v>352</v>
      </c>
      <c r="J909" s="52"/>
      <c r="K909" s="52" t="s">
        <v>6186</v>
      </c>
      <c r="L909" s="120" t="s">
        <v>6187</v>
      </c>
      <c r="M909" s="504" t="s">
        <v>6188</v>
      </c>
      <c r="N909" s="120"/>
      <c r="O909" s="142" t="s">
        <v>6189</v>
      </c>
      <c r="P909" s="507" t="s">
        <v>6190</v>
      </c>
      <c r="Q909" s="4" t="s">
        <v>2379</v>
      </c>
      <c r="R909" s="4" t="s">
        <v>2379</v>
      </c>
      <c r="S909" s="4" t="s">
        <v>2379</v>
      </c>
      <c r="T909" s="4" t="s">
        <v>2379</v>
      </c>
      <c r="U909" s="4" t="s">
        <v>2379</v>
      </c>
      <c r="V909" s="4" t="s">
        <v>2379</v>
      </c>
      <c r="W909" s="4" t="s">
        <v>2379</v>
      </c>
      <c r="X909" s="527"/>
      <c r="Y909" s="9" t="s">
        <v>6191</v>
      </c>
      <c r="Z909" t="s">
        <v>4275</v>
      </c>
      <c r="AA909" t="s">
        <v>4275</v>
      </c>
      <c r="AB909" t="s">
        <v>4275</v>
      </c>
      <c r="AC909" t="s">
        <v>3161</v>
      </c>
      <c r="AD909" s="496"/>
    </row>
    <row r="910" spans="1:30" ht="101.5">
      <c r="A910" s="3" t="s">
        <v>4131</v>
      </c>
      <c r="B910" s="46" t="s">
        <v>5032</v>
      </c>
      <c r="C910" s="3"/>
      <c r="D910" s="5" t="s">
        <v>4183</v>
      </c>
      <c r="E910" s="58">
        <v>39693287</v>
      </c>
      <c r="F910" s="514" t="s">
        <v>6185</v>
      </c>
      <c r="G910" s="13" t="s">
        <v>175</v>
      </c>
      <c r="H910" s="13" t="str">
        <f>IFERROR(VLOOKUP(G910, Sheet2!$A:$B, 2, FALSE), A910)</f>
        <v>HOSPITAL AUTHORITY</v>
      </c>
      <c r="I910" s="58" t="s">
        <v>352</v>
      </c>
      <c r="J910" s="52"/>
      <c r="K910" s="52" t="s">
        <v>6192</v>
      </c>
      <c r="L910" s="120" t="s">
        <v>6193</v>
      </c>
      <c r="M910" s="504" t="s">
        <v>6194</v>
      </c>
      <c r="N910" s="120"/>
      <c r="O910" s="142" t="s">
        <v>6189</v>
      </c>
      <c r="P910" s="507" t="s">
        <v>6195</v>
      </c>
      <c r="Q910" s="4" t="s">
        <v>2379</v>
      </c>
      <c r="R910" s="4" t="s">
        <v>2379</v>
      </c>
      <c r="S910" s="4" t="s">
        <v>2379</v>
      </c>
      <c r="T910" s="4" t="s">
        <v>2379</v>
      </c>
      <c r="U910" s="4" t="s">
        <v>2379</v>
      </c>
      <c r="V910" s="4" t="s">
        <v>2379</v>
      </c>
      <c r="W910" s="4" t="s">
        <v>2379</v>
      </c>
      <c r="X910" s="527"/>
      <c r="Y910" s="9" t="s">
        <v>6196</v>
      </c>
      <c r="Z910" t="s">
        <v>4275</v>
      </c>
      <c r="AA910" t="s">
        <v>4275</v>
      </c>
      <c r="AB910" t="s">
        <v>4275</v>
      </c>
      <c r="AC910" t="s">
        <v>3161</v>
      </c>
      <c r="AD910" s="496"/>
    </row>
    <row r="911" spans="1:30" ht="72.5">
      <c r="A911" s="3" t="s">
        <v>4131</v>
      </c>
      <c r="B911" s="46" t="s">
        <v>933</v>
      </c>
      <c r="C911" s="3"/>
      <c r="D911" s="141" t="s">
        <v>6197</v>
      </c>
      <c r="E911" s="141">
        <v>21011855</v>
      </c>
      <c r="F911" s="496" t="s">
        <v>6198</v>
      </c>
      <c r="G911" t="s">
        <v>6199</v>
      </c>
      <c r="H911" s="13" t="str">
        <f>IFERROR(VLOOKUP(G911, Sheet2!$A:$B, 2, FALSE), A911)</f>
        <v>MAXIM'S CATERERS LTD</v>
      </c>
      <c r="I911" s="6" t="s">
        <v>359</v>
      </c>
      <c r="J911" s="52"/>
      <c r="K911" s="52" t="s">
        <v>6200</v>
      </c>
      <c r="L911" s="120"/>
      <c r="M911" s="502" t="s">
        <v>6201</v>
      </c>
      <c r="N911" s="120"/>
      <c r="O911" s="142" t="s">
        <v>6202</v>
      </c>
      <c r="P911" s="120"/>
      <c r="Q911" s="4" t="s">
        <v>2379</v>
      </c>
      <c r="R911" s="4" t="s">
        <v>997</v>
      </c>
      <c r="S911" s="4" t="s">
        <v>2379</v>
      </c>
      <c r="T911" s="4" t="s">
        <v>2379</v>
      </c>
      <c r="U911" s="4" t="s">
        <v>2379</v>
      </c>
      <c r="V911" s="58" t="s">
        <v>2379</v>
      </c>
      <c r="W911" s="8" t="s">
        <v>2379</v>
      </c>
      <c r="X911" s="503"/>
      <c r="Y911" s="9" t="s">
        <v>6203</v>
      </c>
      <c r="AC911" t="s">
        <v>2995</v>
      </c>
      <c r="AD911" s="496"/>
    </row>
    <row r="912" spans="1:30" ht="87">
      <c r="A912" s="3" t="s">
        <v>350</v>
      </c>
      <c r="B912" s="46" t="s">
        <v>2773</v>
      </c>
      <c r="C912" s="3"/>
      <c r="D912" s="141" t="s">
        <v>6204</v>
      </c>
      <c r="E912" s="141" t="s">
        <v>6205</v>
      </c>
      <c r="F912" s="496" t="s">
        <v>6206</v>
      </c>
      <c r="G912" t="s">
        <v>51</v>
      </c>
      <c r="H912" s="13" t="str">
        <f>IFERROR(VLOOKUP(G912, Sheet2!$A:$B, 2, FALSE), A912)</f>
        <v>AIRPORT AUTHORITY</v>
      </c>
      <c r="I912" s="58" t="s">
        <v>393</v>
      </c>
      <c r="J912" s="52"/>
      <c r="K912" s="52"/>
      <c r="L912" s="120" t="s">
        <v>665</v>
      </c>
      <c r="M912" s="502"/>
      <c r="N912" s="120"/>
      <c r="O912" s="142" t="s">
        <v>5019</v>
      </c>
      <c r="P912" s="120"/>
      <c r="Q912" s="4">
        <v>46008</v>
      </c>
      <c r="R912" s="4">
        <v>46006</v>
      </c>
      <c r="S912" s="4">
        <v>46006</v>
      </c>
      <c r="T912" s="4" t="s">
        <v>666</v>
      </c>
      <c r="U912" s="4" t="s">
        <v>6207</v>
      </c>
      <c r="V912" s="58">
        <v>102322</v>
      </c>
      <c r="W912" s="8" t="s">
        <v>6208</v>
      </c>
      <c r="X912" s="503" t="s">
        <v>6209</v>
      </c>
      <c r="Y912" s="9" t="s">
        <v>6210</v>
      </c>
      <c r="Z912" t="s">
        <v>886</v>
      </c>
      <c r="AA912" t="s">
        <v>1079</v>
      </c>
      <c r="AB912" t="s">
        <v>1248</v>
      </c>
      <c r="AC912" t="s">
        <v>1249</v>
      </c>
      <c r="AD912" s="496" t="s">
        <v>6211</v>
      </c>
    </row>
    <row r="913" spans="1:30" ht="58">
      <c r="A913" s="3" t="s">
        <v>4131</v>
      </c>
      <c r="B913" s="46" t="s">
        <v>5032</v>
      </c>
      <c r="C913" s="3"/>
      <c r="D913" s="141" t="s">
        <v>4183</v>
      </c>
      <c r="E913" s="141" t="s">
        <v>5980</v>
      </c>
      <c r="F913" s="496" t="s">
        <v>4184</v>
      </c>
      <c r="G913" s="13" t="s">
        <v>175</v>
      </c>
      <c r="H913" s="13" t="str">
        <f>IFERROR(VLOOKUP(G913, Sheet2!$A:$B, 2, FALSE), A913)</f>
        <v>HOSPITAL AUTHORITY</v>
      </c>
      <c r="I913" s="58" t="s">
        <v>352</v>
      </c>
      <c r="J913" s="52"/>
      <c r="K913" s="52" t="s">
        <v>6212</v>
      </c>
      <c r="L913" s="120" t="s">
        <v>6213</v>
      </c>
      <c r="M913" s="504" t="s">
        <v>6214</v>
      </c>
      <c r="N913" s="120"/>
      <c r="O913" s="142" t="s">
        <v>6215</v>
      </c>
      <c r="P913" s="120" t="s">
        <v>6216</v>
      </c>
      <c r="Q913" s="4" t="s">
        <v>2379</v>
      </c>
      <c r="R913" s="4" t="s">
        <v>997</v>
      </c>
      <c r="S913" s="4" t="s">
        <v>2379</v>
      </c>
      <c r="T913" s="4" t="s">
        <v>2379</v>
      </c>
      <c r="U913" s="4" t="s">
        <v>2379</v>
      </c>
      <c r="V913" s="4" t="s">
        <v>2379</v>
      </c>
      <c r="W913" s="4" t="s">
        <v>2379</v>
      </c>
      <c r="X913" s="4" t="s">
        <v>2379</v>
      </c>
      <c r="Y913" s="9" t="s">
        <v>6217</v>
      </c>
      <c r="Z913" t="s">
        <v>4275</v>
      </c>
      <c r="AA913" t="s">
        <v>4275</v>
      </c>
      <c r="AB913" t="s">
        <v>4275</v>
      </c>
      <c r="AC913" t="s">
        <v>3161</v>
      </c>
      <c r="AD913" s="496"/>
    </row>
    <row r="914" spans="1:30" ht="58">
      <c r="A914" s="3" t="s">
        <v>4131</v>
      </c>
      <c r="B914" s="46" t="s">
        <v>5032</v>
      </c>
      <c r="C914" s="3"/>
      <c r="D914" s="141" t="s">
        <v>4183</v>
      </c>
      <c r="E914" s="141" t="s">
        <v>5980</v>
      </c>
      <c r="F914" s="496" t="s">
        <v>4184</v>
      </c>
      <c r="G914" s="13" t="s">
        <v>175</v>
      </c>
      <c r="H914" s="13" t="str">
        <f>IFERROR(VLOOKUP(G914, Sheet2!$A:$B, 2, FALSE), A914)</f>
        <v>HOSPITAL AUTHORITY</v>
      </c>
      <c r="I914" s="58" t="s">
        <v>352</v>
      </c>
      <c r="J914" s="52"/>
      <c r="K914" s="52" t="s">
        <v>6218</v>
      </c>
      <c r="L914" s="120" t="s">
        <v>6219</v>
      </c>
      <c r="M914" s="502" t="s">
        <v>6220</v>
      </c>
      <c r="N914" s="120"/>
      <c r="O914" s="142" t="s">
        <v>6215</v>
      </c>
      <c r="P914" s="120" t="s">
        <v>6221</v>
      </c>
      <c r="Q914" s="4" t="s">
        <v>2379</v>
      </c>
      <c r="R914" s="4" t="s">
        <v>997</v>
      </c>
      <c r="S914" s="4" t="s">
        <v>2379</v>
      </c>
      <c r="T914" s="4" t="s">
        <v>2379</v>
      </c>
      <c r="U914" s="4" t="s">
        <v>2379</v>
      </c>
      <c r="V914" s="4" t="s">
        <v>2379</v>
      </c>
      <c r="W914" s="4" t="s">
        <v>2379</v>
      </c>
      <c r="X914" s="4" t="s">
        <v>2379</v>
      </c>
      <c r="Y914" s="9" t="s">
        <v>6222</v>
      </c>
      <c r="Z914" t="s">
        <v>4275</v>
      </c>
      <c r="AA914" t="s">
        <v>4275</v>
      </c>
      <c r="AB914" t="s">
        <v>4275</v>
      </c>
      <c r="AC914" t="s">
        <v>3161</v>
      </c>
      <c r="AD914" s="496"/>
    </row>
    <row r="915" spans="1:30" ht="72.5">
      <c r="A915" s="3" t="s">
        <v>350</v>
      </c>
      <c r="B915" s="46" t="s">
        <v>3118</v>
      </c>
      <c r="C915" s="3"/>
      <c r="D915" s="141" t="s">
        <v>6223</v>
      </c>
      <c r="E915" s="141"/>
      <c r="F915" s="496"/>
      <c r="G915" s="13" t="s">
        <v>311</v>
      </c>
      <c r="H915" s="13" t="str">
        <f>IFERROR(VLOOKUP(G915, Sheet2!$A:$B, 2, FALSE), A915)</f>
        <v>PRIDE SUCCESS FASHION TRADING LIMITED</v>
      </c>
      <c r="I915" s="58" t="s">
        <v>352</v>
      </c>
      <c r="J915" s="52"/>
      <c r="K915" s="52"/>
      <c r="L915" s="120"/>
      <c r="M915" s="502"/>
      <c r="N915" s="120"/>
      <c r="O915" s="142"/>
      <c r="P915" s="120"/>
      <c r="Q915" s="4">
        <v>46014</v>
      </c>
      <c r="R915" s="4">
        <v>46013</v>
      </c>
      <c r="S915" s="4">
        <v>46014</v>
      </c>
      <c r="T915" s="4" t="s">
        <v>6224</v>
      </c>
      <c r="U915" s="4" t="s">
        <v>6225</v>
      </c>
      <c r="V915" s="58">
        <v>104586</v>
      </c>
      <c r="W915" s="4" t="s">
        <v>6226</v>
      </c>
      <c r="X915" s="4" t="s">
        <v>6227</v>
      </c>
      <c r="Y915" s="9" t="s">
        <v>6228</v>
      </c>
      <c r="Z915" t="s">
        <v>4275</v>
      </c>
      <c r="AA915" t="s">
        <v>4275</v>
      </c>
      <c r="AB915" t="s">
        <v>4275</v>
      </c>
      <c r="AC915" t="s">
        <v>3161</v>
      </c>
      <c r="AD915" s="496" t="s">
        <v>6229</v>
      </c>
    </row>
    <row r="916" spans="1:30" ht="101.5">
      <c r="A916" s="3" t="s">
        <v>350</v>
      </c>
      <c r="B916" s="46" t="s">
        <v>933</v>
      </c>
      <c r="C916" s="3"/>
      <c r="D916" s="141" t="s">
        <v>5875</v>
      </c>
      <c r="E916" s="141" t="s">
        <v>6230</v>
      </c>
      <c r="F916" s="496" t="s">
        <v>5586</v>
      </c>
      <c r="G916" s="13" t="s">
        <v>6231</v>
      </c>
      <c r="H916" s="13" t="str">
        <f>IFERROR(VLOOKUP(G916, Sheet2!$A:$B, 2, FALSE), A916)</f>
        <v>West Kowloon Cultural District Authority</v>
      </c>
      <c r="I916" s="58" t="s">
        <v>7057</v>
      </c>
      <c r="J916" s="52"/>
      <c r="K916" s="52" t="s">
        <v>6232</v>
      </c>
      <c r="L916" s="120"/>
      <c r="M916" s="502" t="s">
        <v>6233</v>
      </c>
      <c r="N916" s="120"/>
      <c r="O916" s="142" t="s">
        <v>6234</v>
      </c>
      <c r="P916" s="120"/>
      <c r="Q916" s="4">
        <v>46022</v>
      </c>
      <c r="R916" s="4">
        <v>46015</v>
      </c>
      <c r="S916" s="4">
        <v>46021</v>
      </c>
      <c r="T916" s="4" t="s">
        <v>6235</v>
      </c>
      <c r="U916" s="4" t="s">
        <v>6236</v>
      </c>
      <c r="V916" s="4" t="s">
        <v>2379</v>
      </c>
      <c r="W916" s="4" t="s">
        <v>6237</v>
      </c>
      <c r="X916" t="s">
        <v>6238</v>
      </c>
      <c r="Y916" s="9" t="s">
        <v>6239</v>
      </c>
      <c r="Z916" t="s">
        <v>1248</v>
      </c>
      <c r="AA916" t="s">
        <v>1248</v>
      </c>
      <c r="AB916" t="s">
        <v>1248</v>
      </c>
      <c r="AC916" t="s">
        <v>1249</v>
      </c>
      <c r="AD916" s="496" t="s">
        <v>6240</v>
      </c>
    </row>
    <row r="917" spans="1:30" ht="72.5">
      <c r="A917" s="3" t="s">
        <v>350</v>
      </c>
      <c r="B917" s="46" t="s">
        <v>933</v>
      </c>
      <c r="C917" s="3"/>
      <c r="D917" s="141" t="s">
        <v>6241</v>
      </c>
      <c r="E917" s="141" t="s">
        <v>6242</v>
      </c>
      <c r="F917" s="496" t="s">
        <v>5620</v>
      </c>
      <c r="G917" s="13" t="s">
        <v>6243</v>
      </c>
      <c r="H917" s="13" t="str">
        <f>IFERROR(VLOOKUP(G917, Sheet2!$A:$B, 2, FALSE), A917)</f>
        <v>West Kowloon Cultural District Authority</v>
      </c>
      <c r="I917" s="6" t="s">
        <v>359</v>
      </c>
      <c r="J917" s="52"/>
      <c r="K917" s="52" t="s">
        <v>6244</v>
      </c>
      <c r="L917" s="120"/>
      <c r="M917" s="502" t="s">
        <v>6245</v>
      </c>
      <c r="N917" s="120"/>
      <c r="O917" s="142" t="s">
        <v>6246</v>
      </c>
      <c r="P917" s="120"/>
      <c r="Q917" s="4">
        <v>46022</v>
      </c>
      <c r="R917" s="4">
        <v>46015</v>
      </c>
      <c r="S917" s="4">
        <v>46020</v>
      </c>
      <c r="T917" s="4" t="s">
        <v>6247</v>
      </c>
      <c r="U917" s="4" t="s">
        <v>6248</v>
      </c>
      <c r="V917" s="58">
        <v>104589</v>
      </c>
      <c r="W917" s="4" t="s">
        <v>6237</v>
      </c>
      <c r="X917" s="4" t="s">
        <v>6249</v>
      </c>
      <c r="Y917" s="9" t="s">
        <v>6250</v>
      </c>
      <c r="Z917" t="s">
        <v>1248</v>
      </c>
      <c r="AA917" t="s">
        <v>1248</v>
      </c>
      <c r="AB917" t="s">
        <v>1248</v>
      </c>
      <c r="AC917" t="s">
        <v>1249</v>
      </c>
      <c r="AD917" s="496" t="s">
        <v>6240</v>
      </c>
    </row>
    <row r="918" spans="1:30" ht="58">
      <c r="A918" s="3" t="s">
        <v>350</v>
      </c>
      <c r="B918" s="46" t="s">
        <v>2773</v>
      </c>
      <c r="C918" s="3"/>
      <c r="D918" s="141" t="s">
        <v>6251</v>
      </c>
      <c r="E918" s="141">
        <v>39584817</v>
      </c>
      <c r="F918" s="496" t="s">
        <v>6252</v>
      </c>
      <c r="G918" s="13" t="s">
        <v>273</v>
      </c>
      <c r="H918" s="13" t="str">
        <f>IFERROR(VLOOKUP(G918, Sheet2!$A:$B, 2, FALSE), A918)</f>
        <v>THE HK MANAGEMENT ASSOCIATION SCHOOL LTD</v>
      </c>
      <c r="I918" s="58" t="s">
        <v>393</v>
      </c>
      <c r="J918" s="52"/>
      <c r="K918" s="52"/>
      <c r="L918" s="120" t="s">
        <v>6253</v>
      </c>
      <c r="M918" s="348"/>
      <c r="N918" s="120"/>
      <c r="O918" s="142" t="s">
        <v>6254</v>
      </c>
      <c r="P918" s="120"/>
      <c r="Q918" s="8">
        <v>46024</v>
      </c>
      <c r="R918" s="8">
        <v>46020</v>
      </c>
      <c r="S918" s="8">
        <v>46022</v>
      </c>
      <c r="T918" s="4" t="s">
        <v>6255</v>
      </c>
      <c r="U918" s="4" t="s">
        <v>6256</v>
      </c>
      <c r="V918" s="58">
        <v>104227</v>
      </c>
      <c r="W918" s="8" t="s">
        <v>6257</v>
      </c>
      <c r="X918" s="4" t="s">
        <v>6258</v>
      </c>
      <c r="Y918" s="9" t="s">
        <v>6259</v>
      </c>
      <c r="Z918" t="s">
        <v>886</v>
      </c>
      <c r="AA918" t="s">
        <v>1079</v>
      </c>
      <c r="AB918" t="s">
        <v>1248</v>
      </c>
      <c r="AC918" t="s">
        <v>1249</v>
      </c>
      <c r="AD918" s="496" t="s">
        <v>6260</v>
      </c>
    </row>
    <row r="919" spans="1:30" ht="58">
      <c r="A919" s="3" t="s">
        <v>350</v>
      </c>
      <c r="B919" s="46" t="s">
        <v>933</v>
      </c>
      <c r="C919" s="3"/>
      <c r="D919" s="141" t="s">
        <v>3130</v>
      </c>
      <c r="E919" s="141">
        <v>67594210</v>
      </c>
      <c r="F919" s="496" t="s">
        <v>3909</v>
      </c>
      <c r="G919" s="13" t="s">
        <v>6261</v>
      </c>
      <c r="H919" s="13" t="str">
        <f>IFERROR(VLOOKUP(G919, Sheet2!$A:$B, 2, FALSE), A919)</f>
        <v>New World Corporate Services Limited</v>
      </c>
      <c r="I919" s="58" t="s">
        <v>352</v>
      </c>
      <c r="J919" s="52"/>
      <c r="K919" s="52" t="s">
        <v>6262</v>
      </c>
      <c r="L919" s="120"/>
      <c r="M919" s="348" t="s">
        <v>4036</v>
      </c>
      <c r="N919" s="120"/>
      <c r="O919" s="142" t="s">
        <v>3309</v>
      </c>
      <c r="P919" s="120"/>
      <c r="Q919" s="8">
        <v>46014</v>
      </c>
      <c r="R919" s="8">
        <v>46021</v>
      </c>
      <c r="S919" s="8">
        <v>46014</v>
      </c>
      <c r="T919" s="4" t="s">
        <v>6263</v>
      </c>
      <c r="U919" s="4" t="s">
        <v>6264</v>
      </c>
      <c r="V919" s="58">
        <v>104687</v>
      </c>
      <c r="W919" s="4" t="s">
        <v>6265</v>
      </c>
      <c r="X919" s="4" t="s">
        <v>6266</v>
      </c>
      <c r="Y919" s="9" t="s">
        <v>6267</v>
      </c>
      <c r="Z919" t="s">
        <v>1248</v>
      </c>
      <c r="AA919" t="s">
        <v>1248</v>
      </c>
      <c r="AB919" t="s">
        <v>1248</v>
      </c>
      <c r="AC919" t="s">
        <v>1249</v>
      </c>
      <c r="AD919" s="496" t="s">
        <v>6268</v>
      </c>
    </row>
    <row r="920" spans="1:30" ht="130.5">
      <c r="A920" s="3" t="s">
        <v>350</v>
      </c>
      <c r="B920" s="46" t="s">
        <v>933</v>
      </c>
      <c r="C920" s="3"/>
      <c r="D920" s="141" t="s">
        <v>6269</v>
      </c>
      <c r="E920" s="141" t="s">
        <v>6270</v>
      </c>
      <c r="F920" s="506" t="s">
        <v>6271</v>
      </c>
      <c r="G920" s="13" t="s">
        <v>6097</v>
      </c>
      <c r="H920" s="13" t="str">
        <f>IFERROR(VLOOKUP(G920, Sheet2!$A:$B, 2, FALSE), A920)</f>
        <v>Hong Kong Police Force</v>
      </c>
      <c r="I920" s="58" t="s">
        <v>352</v>
      </c>
      <c r="J920" s="52"/>
      <c r="K920" s="52" t="s">
        <v>6272</v>
      </c>
      <c r="L920" s="120"/>
      <c r="M920" s="502" t="s">
        <v>6273</v>
      </c>
      <c r="N920" s="120"/>
      <c r="O920" s="142" t="s">
        <v>6274</v>
      </c>
      <c r="P920" s="120"/>
      <c r="Q920" s="8">
        <v>46031</v>
      </c>
      <c r="R920" s="8">
        <v>46027</v>
      </c>
      <c r="S920" s="8">
        <v>46031</v>
      </c>
      <c r="T920" s="4" t="s">
        <v>6275</v>
      </c>
      <c r="U920" s="4" t="s">
        <v>6276</v>
      </c>
      <c r="V920" s="58">
        <v>104689</v>
      </c>
      <c r="W920" s="4" t="s">
        <v>6277</v>
      </c>
      <c r="X920" s="4" t="s">
        <v>6278</v>
      </c>
      <c r="Y920" s="9" t="s">
        <v>6279</v>
      </c>
      <c r="Z920" t="s">
        <v>1248</v>
      </c>
      <c r="AA920" t="s">
        <v>1248</v>
      </c>
      <c r="AB920" t="s">
        <v>375</v>
      </c>
      <c r="AC920" t="s">
        <v>1249</v>
      </c>
      <c r="AD920" s="496" t="s">
        <v>6280</v>
      </c>
    </row>
    <row r="921" spans="1:30" ht="116">
      <c r="A921" s="3" t="s">
        <v>350</v>
      </c>
      <c r="B921" s="46" t="s">
        <v>933</v>
      </c>
      <c r="C921" s="3"/>
      <c r="D921" s="141" t="s">
        <v>6281</v>
      </c>
      <c r="E921" s="141" t="s">
        <v>6282</v>
      </c>
      <c r="F921" s="506" t="s">
        <v>6271</v>
      </c>
      <c r="G921" s="13" t="s">
        <v>6097</v>
      </c>
      <c r="H921" s="13" t="str">
        <f>IFERROR(VLOOKUP(G921, Sheet2!$A:$B, 2, FALSE), A921)</f>
        <v>Hong Kong Police Force</v>
      </c>
      <c r="I921" s="58" t="s">
        <v>393</v>
      </c>
      <c r="J921" s="52" t="s">
        <v>6283</v>
      </c>
      <c r="K921" s="52"/>
      <c r="L921" s="120"/>
      <c r="M921" s="348"/>
      <c r="N921" s="120"/>
      <c r="O921" s="142" t="s">
        <v>6274</v>
      </c>
      <c r="P921" s="142" t="s">
        <v>2626</v>
      </c>
      <c r="Q921" s="8">
        <v>46031</v>
      </c>
      <c r="R921" s="8">
        <v>46027</v>
      </c>
      <c r="S921" s="4">
        <v>46031</v>
      </c>
      <c r="T921" s="4" t="s">
        <v>6284</v>
      </c>
      <c r="U921" s="4" t="s">
        <v>6285</v>
      </c>
      <c r="V921" s="58">
        <v>104690</v>
      </c>
      <c r="W921" s="8" t="s">
        <v>6286</v>
      </c>
      <c r="X921" s="4" t="s">
        <v>6287</v>
      </c>
      <c r="Y921" s="9" t="s">
        <v>6288</v>
      </c>
      <c r="Z921" t="s">
        <v>4275</v>
      </c>
      <c r="AA921" t="s">
        <v>4275</v>
      </c>
      <c r="AB921" t="s">
        <v>4275</v>
      </c>
      <c r="AC921" t="s">
        <v>1249</v>
      </c>
      <c r="AD921" s="496" t="s">
        <v>6289</v>
      </c>
    </row>
    <row r="922" spans="1:30" ht="29">
      <c r="A922" s="3" t="s">
        <v>2799</v>
      </c>
      <c r="B922" s="46" t="s">
        <v>5032</v>
      </c>
      <c r="C922" s="3"/>
      <c r="D922" s="141" t="s">
        <v>4183</v>
      </c>
      <c r="E922" s="141" t="s">
        <v>5980</v>
      </c>
      <c r="F922" s="496" t="s">
        <v>4184</v>
      </c>
      <c r="G922" s="13" t="s">
        <v>175</v>
      </c>
      <c r="H922" s="13" t="str">
        <f>IFERROR(VLOOKUP(G922, Sheet2!$A:$B, 2, FALSE), A922)</f>
        <v>HOSPITAL AUTHORITY</v>
      </c>
      <c r="I922" s="58" t="s">
        <v>675</v>
      </c>
      <c r="J922" s="52"/>
      <c r="K922" s="52"/>
      <c r="L922" s="120" t="s">
        <v>6290</v>
      </c>
      <c r="M922" s="502" t="s">
        <v>6291</v>
      </c>
      <c r="N922" s="120"/>
      <c r="O922" s="142" t="s">
        <v>6292</v>
      </c>
      <c r="P922" s="142" t="s">
        <v>6293</v>
      </c>
      <c r="Q922" s="58" t="s">
        <v>2379</v>
      </c>
      <c r="R922" s="58" t="s">
        <v>2379</v>
      </c>
      <c r="S922" s="58" t="s">
        <v>2379</v>
      </c>
      <c r="T922" s="58" t="s">
        <v>2379</v>
      </c>
      <c r="U922" s="58" t="s">
        <v>2379</v>
      </c>
      <c r="V922" s="58" t="s">
        <v>2379</v>
      </c>
      <c r="W922" s="58" t="s">
        <v>2379</v>
      </c>
      <c r="X922" s="58" t="s">
        <v>997</v>
      </c>
      <c r="Y922" s="9" t="s">
        <v>6294</v>
      </c>
      <c r="Z922" t="s">
        <v>4275</v>
      </c>
      <c r="AA922" t="s">
        <v>4275</v>
      </c>
      <c r="AB922" t="s">
        <v>4275</v>
      </c>
      <c r="AC922" t="s">
        <v>3161</v>
      </c>
      <c r="AD922" s="496"/>
    </row>
    <row r="923" spans="1:30" ht="58">
      <c r="A923" s="3" t="s">
        <v>350</v>
      </c>
      <c r="B923" s="46" t="s">
        <v>933</v>
      </c>
      <c r="C923" s="3"/>
      <c r="D923" s="141" t="s">
        <v>2707</v>
      </c>
      <c r="E923" s="141">
        <v>57494957</v>
      </c>
      <c r="F923" s="520" t="s">
        <v>3574</v>
      </c>
      <c r="G923" s="13" t="s">
        <v>43</v>
      </c>
      <c r="H923" s="13" t="str">
        <f>IFERROR(VLOOKUP(G923, Sheet2!$A:$B, 2, FALSE), A923)</f>
        <v>CHOW TAI FOOK JEWELLERY CO LTD</v>
      </c>
      <c r="I923" s="58" t="s">
        <v>352</v>
      </c>
      <c r="J923" s="52" t="s">
        <v>609</v>
      </c>
      <c r="K923" s="52" t="s">
        <v>6295</v>
      </c>
      <c r="L923" s="120" t="s">
        <v>6296</v>
      </c>
      <c r="M923" s="502" t="s">
        <v>6297</v>
      </c>
      <c r="N923" s="120"/>
      <c r="O923" s="142" t="s">
        <v>6298</v>
      </c>
      <c r="P923" s="142"/>
      <c r="Q923" s="66">
        <v>46045</v>
      </c>
      <c r="R923" s="66">
        <v>46044</v>
      </c>
      <c r="S923" s="66">
        <v>46044</v>
      </c>
      <c r="T923" s="58" t="s">
        <v>6299</v>
      </c>
      <c r="U923" s="58" t="s">
        <v>6300</v>
      </c>
      <c r="V923" s="58">
        <v>104700</v>
      </c>
      <c r="W923" s="58" t="s">
        <v>6176</v>
      </c>
      <c r="X923" s="58" t="s">
        <v>6301</v>
      </c>
      <c r="Y923" s="9" t="s">
        <v>6302</v>
      </c>
      <c r="Z923" t="s">
        <v>4275</v>
      </c>
      <c r="AA923" t="s">
        <v>781</v>
      </c>
      <c r="AB923" t="s">
        <v>5213</v>
      </c>
      <c r="AC923" t="s">
        <v>3161</v>
      </c>
      <c r="AD923" s="496" t="s">
        <v>6179</v>
      </c>
    </row>
    <row r="924" spans="1:30" ht="43.5">
      <c r="A924" s="3" t="s">
        <v>350</v>
      </c>
      <c r="B924" s="46" t="s">
        <v>933</v>
      </c>
      <c r="C924" s="3"/>
      <c r="D924" s="141" t="s">
        <v>6303</v>
      </c>
      <c r="E924" s="141">
        <v>21837161</v>
      </c>
      <c r="F924" s="520" t="s">
        <v>6304</v>
      </c>
      <c r="G924" s="13" t="s">
        <v>1365</v>
      </c>
      <c r="H924" s="13" t="str">
        <f>IFERROR(VLOOKUP(G924, Sheet2!$A:$B, 2, FALSE), A924)</f>
        <v>AIRPORT AUTHORITY</v>
      </c>
      <c r="I924" s="58" t="s">
        <v>393</v>
      </c>
      <c r="J924" s="52"/>
      <c r="K924" s="52"/>
      <c r="L924" s="120" t="s">
        <v>6305</v>
      </c>
      <c r="M924" s="502"/>
      <c r="N924" s="120"/>
      <c r="O924" s="142" t="s">
        <v>6306</v>
      </c>
      <c r="P924" s="142"/>
      <c r="Q924" s="66">
        <v>46043</v>
      </c>
      <c r="R924" s="66">
        <v>46044</v>
      </c>
      <c r="S924" s="66">
        <v>46043</v>
      </c>
      <c r="T924" s="58" t="s">
        <v>6307</v>
      </c>
      <c r="U924" s="58" t="s">
        <v>6308</v>
      </c>
      <c r="V924" s="58">
        <v>104702</v>
      </c>
      <c r="W924" s="58" t="s">
        <v>6309</v>
      </c>
      <c r="X924" s="58" t="s">
        <v>6310</v>
      </c>
      <c r="Y924" s="9" t="s">
        <v>6311</v>
      </c>
      <c r="Z924" t="s">
        <v>4275</v>
      </c>
      <c r="AA924" t="s">
        <v>781</v>
      </c>
      <c r="AB924" t="s">
        <v>4275</v>
      </c>
      <c r="AC924" t="s">
        <v>3161</v>
      </c>
      <c r="AD924" s="496" t="s">
        <v>6312</v>
      </c>
    </row>
    <row r="925" spans="1:30" ht="43.5">
      <c r="A925" s="3" t="s">
        <v>350</v>
      </c>
      <c r="B925" s="46" t="s">
        <v>933</v>
      </c>
      <c r="C925" s="3"/>
      <c r="D925" s="141" t="s">
        <v>6303</v>
      </c>
      <c r="E925" s="141">
        <v>21837161</v>
      </c>
      <c r="F925" s="520" t="s">
        <v>6304</v>
      </c>
      <c r="G925" s="13" t="s">
        <v>1365</v>
      </c>
      <c r="H925" s="13" t="str">
        <f>IFERROR(VLOOKUP(G925, Sheet2!$A:$B, 2, FALSE), A925)</f>
        <v>AIRPORT AUTHORITY</v>
      </c>
      <c r="I925" s="58" t="s">
        <v>393</v>
      </c>
      <c r="J925" s="52"/>
      <c r="K925" s="52"/>
      <c r="L925" s="120" t="s">
        <v>6313</v>
      </c>
      <c r="M925" s="348"/>
      <c r="N925" s="120"/>
      <c r="O925" s="142" t="s">
        <v>6306</v>
      </c>
      <c r="P925" s="120"/>
      <c r="Q925" s="66">
        <v>46043</v>
      </c>
      <c r="R925" s="66">
        <v>46044</v>
      </c>
      <c r="S925" s="66">
        <v>46043</v>
      </c>
      <c r="T925" s="58" t="s">
        <v>6314</v>
      </c>
      <c r="U925" s="58" t="s">
        <v>6315</v>
      </c>
      <c r="V925" s="58">
        <v>104701</v>
      </c>
      <c r="W925" s="58" t="s">
        <v>6309</v>
      </c>
      <c r="X925" s="58" t="s">
        <v>6310</v>
      </c>
      <c r="Y925" s="9" t="s">
        <v>6316</v>
      </c>
      <c r="Z925" t="s">
        <v>4275</v>
      </c>
      <c r="AA925" t="s">
        <v>781</v>
      </c>
      <c r="AB925" t="s">
        <v>4275</v>
      </c>
      <c r="AC925" t="s">
        <v>3161</v>
      </c>
      <c r="AD925" s="496" t="s">
        <v>6312</v>
      </c>
    </row>
    <row r="926" spans="1:30" ht="58">
      <c r="A926" s="3" t="s">
        <v>350</v>
      </c>
      <c r="B926" s="46" t="s">
        <v>4455</v>
      </c>
      <c r="C926" s="3"/>
      <c r="D926" s="141" t="s">
        <v>6303</v>
      </c>
      <c r="E926" s="141">
        <v>21837161</v>
      </c>
      <c r="F926" s="520" t="s">
        <v>6304</v>
      </c>
      <c r="G926" s="13" t="s">
        <v>1365</v>
      </c>
      <c r="H926" s="13" t="str">
        <f>IFERROR(VLOOKUP(G926, Sheet2!$A:$B, 2, FALSE), A926)</f>
        <v>AIRPORT AUTHORITY</v>
      </c>
      <c r="I926" s="58" t="s">
        <v>393</v>
      </c>
      <c r="J926" s="52"/>
      <c r="K926" s="52"/>
      <c r="L926" s="120" t="s">
        <v>6317</v>
      </c>
      <c r="M926" s="348"/>
      <c r="N926" s="120"/>
      <c r="O926" s="142" t="s">
        <v>6306</v>
      </c>
      <c r="P926" s="142" t="s">
        <v>6306</v>
      </c>
      <c r="Q926" s="66">
        <v>46059</v>
      </c>
      <c r="R926" s="66">
        <v>46056</v>
      </c>
      <c r="S926" s="66">
        <v>46056</v>
      </c>
      <c r="T926" s="58" t="s">
        <v>6307</v>
      </c>
      <c r="U926" s="58" t="s">
        <v>6318</v>
      </c>
      <c r="V926" s="58">
        <v>101702</v>
      </c>
      <c r="W926" s="58" t="s">
        <v>6319</v>
      </c>
      <c r="X926" s="58" t="s">
        <v>6320</v>
      </c>
      <c r="Y926" s="9" t="s">
        <v>6321</v>
      </c>
      <c r="Z926" t="s">
        <v>4275</v>
      </c>
      <c r="AA926" t="s">
        <v>781</v>
      </c>
      <c r="AB926" t="s">
        <v>4275</v>
      </c>
      <c r="AC926" t="s">
        <v>3161</v>
      </c>
      <c r="AD926" s="496" t="s">
        <v>6322</v>
      </c>
    </row>
    <row r="927" spans="1:30" ht="72.5">
      <c r="A927" s="3" t="s">
        <v>350</v>
      </c>
      <c r="B927" s="46" t="s">
        <v>4455</v>
      </c>
      <c r="C927" s="3"/>
      <c r="D927" s="141" t="s">
        <v>6303</v>
      </c>
      <c r="E927" s="141">
        <v>21837161</v>
      </c>
      <c r="F927" s="520" t="s">
        <v>6304</v>
      </c>
      <c r="G927" s="13" t="s">
        <v>1365</v>
      </c>
      <c r="H927" s="13" t="str">
        <f>IFERROR(VLOOKUP(G927, Sheet2!$A:$B, 2, FALSE), A927)</f>
        <v>AIRPORT AUTHORITY</v>
      </c>
      <c r="I927" s="58" t="s">
        <v>393</v>
      </c>
      <c r="J927" s="52"/>
      <c r="K927" s="52"/>
      <c r="L927" s="120" t="s">
        <v>6323</v>
      </c>
      <c r="M927" s="348"/>
      <c r="N927" s="120"/>
      <c r="O927" s="142" t="s">
        <v>6306</v>
      </c>
      <c r="P927" s="142" t="s">
        <v>6306</v>
      </c>
      <c r="Q927" s="66">
        <v>46059</v>
      </c>
      <c r="R927" s="66">
        <v>46056</v>
      </c>
      <c r="S927" s="66">
        <v>46056</v>
      </c>
      <c r="T927" s="58" t="s">
        <v>6314</v>
      </c>
      <c r="U927" s="58" t="s">
        <v>6324</v>
      </c>
      <c r="V927" s="58">
        <v>104701</v>
      </c>
      <c r="W927" s="58" t="s">
        <v>6319</v>
      </c>
      <c r="X927" s="58" t="s">
        <v>6320</v>
      </c>
      <c r="Y927" s="9" t="s">
        <v>6325</v>
      </c>
      <c r="Z927" t="s">
        <v>4275</v>
      </c>
      <c r="AA927" t="s">
        <v>781</v>
      </c>
      <c r="AB927" t="s">
        <v>4275</v>
      </c>
      <c r="AC927" t="s">
        <v>3161</v>
      </c>
      <c r="AD927" s="496" t="s">
        <v>6322</v>
      </c>
    </row>
    <row r="928" spans="1:30" ht="43.5">
      <c r="A928" s="3" t="s">
        <v>350</v>
      </c>
      <c r="B928" s="46" t="s">
        <v>933</v>
      </c>
      <c r="C928" s="3"/>
      <c r="D928" s="141" t="s">
        <v>6326</v>
      </c>
      <c r="E928" s="141" t="s">
        <v>6327</v>
      </c>
      <c r="F928" s="520" t="s">
        <v>6328</v>
      </c>
      <c r="G928" s="13" t="s">
        <v>220</v>
      </c>
      <c r="H928" s="13" t="str">
        <f>IFERROR(VLOOKUP(G928, Sheet2!$A:$B, 2, FALSE), A928)</f>
        <v>HONG KONG HOUSING SOCIETY</v>
      </c>
      <c r="I928" s="58" t="s">
        <v>393</v>
      </c>
      <c r="J928" s="109"/>
      <c r="K928" s="109"/>
      <c r="L928" s="126" t="s">
        <v>6329</v>
      </c>
      <c r="N928" s="141"/>
      <c r="O928" s="142" t="s">
        <v>6330</v>
      </c>
      <c r="Q928" s="482">
        <v>46052</v>
      </c>
      <c r="R928" s="482">
        <v>46056</v>
      </c>
      <c r="S928" s="141" t="s">
        <v>997</v>
      </c>
      <c r="T928" t="s">
        <v>6331</v>
      </c>
      <c r="U928" s="141" t="s">
        <v>6332</v>
      </c>
      <c r="V928" s="141">
        <v>104715</v>
      </c>
      <c r="W928" t="s">
        <v>6333</v>
      </c>
      <c r="X928" t="s">
        <v>6334</v>
      </c>
      <c r="Y928" s="10" t="s">
        <v>6335</v>
      </c>
      <c r="Z928" t="s">
        <v>4275</v>
      </c>
      <c r="AA928" t="s">
        <v>4275</v>
      </c>
      <c r="AB928" t="s">
        <v>4275</v>
      </c>
      <c r="AC928" t="s">
        <v>3161</v>
      </c>
      <c r="AD928" s="193" t="s">
        <v>6336</v>
      </c>
    </row>
    <row r="929" spans="1:30" ht="116">
      <c r="A929" s="3" t="s">
        <v>2799</v>
      </c>
      <c r="B929" s="46" t="s">
        <v>933</v>
      </c>
      <c r="C929" s="3"/>
      <c r="D929" s="141" t="s">
        <v>6337</v>
      </c>
      <c r="E929" s="141">
        <v>92668660</v>
      </c>
      <c r="F929" s="520" t="s">
        <v>6338</v>
      </c>
      <c r="G929" s="13" t="s">
        <v>6339</v>
      </c>
      <c r="H929" s="13" t="str">
        <f>IFERROR(VLOOKUP(G929, Sheet2!$A:$B, 2, FALSE), A929)</f>
        <v>SECURITIES AND FUTURES COMMISSION</v>
      </c>
      <c r="I929" s="58" t="s">
        <v>675</v>
      </c>
      <c r="J929" s="528"/>
      <c r="K929" s="528"/>
      <c r="L929" s="126" t="s">
        <v>6340</v>
      </c>
      <c r="M929" s="529" t="s">
        <v>6338</v>
      </c>
      <c r="N929" s="528"/>
      <c r="O929" s="142" t="s">
        <v>6341</v>
      </c>
      <c r="P929" s="530"/>
      <c r="Q929" s="482">
        <v>46058</v>
      </c>
      <c r="R929" s="482">
        <v>46058</v>
      </c>
      <c r="S929" s="141" t="s">
        <v>997</v>
      </c>
      <c r="T929" s="141" t="s">
        <v>6342</v>
      </c>
      <c r="U929" s="141" t="s">
        <v>6343</v>
      </c>
      <c r="V929" s="141">
        <v>104718</v>
      </c>
      <c r="W929" s="141" t="s">
        <v>6344</v>
      </c>
      <c r="X929" t="s">
        <v>6345</v>
      </c>
      <c r="Y929" s="10" t="s">
        <v>6346</v>
      </c>
      <c r="Z929" t="s">
        <v>4275</v>
      </c>
      <c r="AA929" t="s">
        <v>4275</v>
      </c>
      <c r="AB929" t="s">
        <v>4275</v>
      </c>
      <c r="AC929" t="s">
        <v>3161</v>
      </c>
      <c r="AD929" s="193" t="s">
        <v>6347</v>
      </c>
    </row>
    <row r="930" spans="1:30" ht="87">
      <c r="A930" s="3" t="s">
        <v>2799</v>
      </c>
      <c r="B930" s="46" t="s">
        <v>933</v>
      </c>
      <c r="C930" s="3"/>
      <c r="D930" s="141" t="s">
        <v>6348</v>
      </c>
      <c r="E930" s="141" t="s">
        <v>6349</v>
      </c>
      <c r="F930" s="520" t="s">
        <v>6350</v>
      </c>
      <c r="G930" s="13" t="s">
        <v>6339</v>
      </c>
      <c r="H930" s="13" t="str">
        <f>IFERROR(VLOOKUP(G930, Sheet2!$A:$B, 2, FALSE), A930)</f>
        <v>SECURITIES AND FUTURES COMMISSION</v>
      </c>
      <c r="I930" s="58" t="s">
        <v>675</v>
      </c>
      <c r="J930" s="109"/>
      <c r="K930" s="109"/>
      <c r="L930" s="126" t="s">
        <v>6351</v>
      </c>
      <c r="M930" s="193" t="s">
        <v>6350</v>
      </c>
      <c r="N930" s="141"/>
      <c r="O930" s="142" t="s">
        <v>6341</v>
      </c>
      <c r="Q930" s="482">
        <v>46058</v>
      </c>
      <c r="R930" s="482">
        <v>46058</v>
      </c>
      <c r="S930" s="141" t="s">
        <v>997</v>
      </c>
      <c r="T930" s="141" t="s">
        <v>6352</v>
      </c>
      <c r="U930" s="141" t="s">
        <v>6353</v>
      </c>
      <c r="V930" s="141">
        <v>104717</v>
      </c>
      <c r="W930" s="141" t="s">
        <v>6344</v>
      </c>
      <c r="X930" t="s">
        <v>6345</v>
      </c>
      <c r="Y930" s="10" t="s">
        <v>6354</v>
      </c>
      <c r="Z930" t="s">
        <v>4275</v>
      </c>
      <c r="AA930" t="s">
        <v>4275</v>
      </c>
      <c r="AB930" t="s">
        <v>4275</v>
      </c>
      <c r="AC930" t="s">
        <v>3161</v>
      </c>
      <c r="AD930" s="193" t="s">
        <v>6347</v>
      </c>
    </row>
    <row r="931" spans="1:30" ht="87">
      <c r="A931" s="3" t="s">
        <v>350</v>
      </c>
      <c r="B931" s="46" t="s">
        <v>933</v>
      </c>
      <c r="C931" s="3"/>
      <c r="D931" s="141" t="s">
        <v>2707</v>
      </c>
      <c r="E931" s="58" t="s">
        <v>990</v>
      </c>
      <c r="F931" s="57" t="s">
        <v>991</v>
      </c>
      <c r="G931" s="13" t="s">
        <v>43</v>
      </c>
      <c r="H931" s="13" t="str">
        <f>IFERROR(VLOOKUP(G931, Sheet2!$A:$B, 2, FALSE), A931)</f>
        <v>CHOW TAI FOOK JEWELLERY CO LTD</v>
      </c>
      <c r="I931" s="6" t="s">
        <v>359</v>
      </c>
      <c r="J931" s="109"/>
      <c r="K931" s="109" t="s">
        <v>6355</v>
      </c>
      <c r="L931" s="126"/>
      <c r="M931" s="193" t="s">
        <v>6356</v>
      </c>
      <c r="N931" s="141"/>
      <c r="O931" s="142" t="s">
        <v>6298</v>
      </c>
      <c r="Q931" s="482">
        <v>46059</v>
      </c>
      <c r="R931" s="482">
        <v>46059</v>
      </c>
      <c r="S931" s="141" t="s">
        <v>997</v>
      </c>
      <c r="T931" s="141" t="s">
        <v>6357</v>
      </c>
      <c r="U931" s="141" t="s">
        <v>6358</v>
      </c>
      <c r="V931" s="141">
        <v>104720</v>
      </c>
      <c r="W931" s="141" t="s">
        <v>6359</v>
      </c>
      <c r="X931" t="s">
        <v>6360</v>
      </c>
      <c r="Y931" s="10" t="s">
        <v>6361</v>
      </c>
      <c r="Z931" t="s">
        <v>4275</v>
      </c>
      <c r="AA931" t="s">
        <v>4275</v>
      </c>
      <c r="AB931" t="s">
        <v>4275</v>
      </c>
      <c r="AC931" t="s">
        <v>3161</v>
      </c>
      <c r="AD931" s="465" t="s">
        <v>6362</v>
      </c>
    </row>
    <row r="932" spans="1:30" ht="87">
      <c r="A932" s="3" t="s">
        <v>350</v>
      </c>
      <c r="B932" s="46" t="s">
        <v>933</v>
      </c>
      <c r="C932" s="3"/>
      <c r="D932" s="141" t="s">
        <v>2685</v>
      </c>
      <c r="E932" s="58" t="s">
        <v>990</v>
      </c>
      <c r="F932" s="57" t="s">
        <v>991</v>
      </c>
      <c r="G932" s="13" t="s">
        <v>43</v>
      </c>
      <c r="H932" s="13" t="str">
        <f>IFERROR(VLOOKUP(G932, Sheet2!$A:$B, 2, FALSE), A932)</f>
        <v>CHOW TAI FOOK JEWELLERY CO LTD</v>
      </c>
      <c r="I932" s="6" t="s">
        <v>359</v>
      </c>
      <c r="J932" s="109"/>
      <c r="K932" s="109" t="s">
        <v>6363</v>
      </c>
      <c r="L932" s="126"/>
      <c r="M932" s="465" t="s">
        <v>6364</v>
      </c>
      <c r="N932" s="141"/>
      <c r="O932" s="142" t="s">
        <v>6298</v>
      </c>
      <c r="Q932" s="482">
        <v>46059</v>
      </c>
      <c r="R932" s="482">
        <v>46059</v>
      </c>
      <c r="S932" s="141" t="s">
        <v>997</v>
      </c>
      <c r="T932" s="141" t="s">
        <v>6365</v>
      </c>
      <c r="U932" s="141" t="s">
        <v>6366</v>
      </c>
      <c r="V932" s="141">
        <v>104719</v>
      </c>
      <c r="W932" s="141" t="s">
        <v>6359</v>
      </c>
      <c r="X932" t="s">
        <v>6360</v>
      </c>
      <c r="Y932" s="10" t="s">
        <v>6367</v>
      </c>
      <c r="Z932" t="s">
        <v>4275</v>
      </c>
      <c r="AA932" t="s">
        <v>4275</v>
      </c>
      <c r="AB932" t="s">
        <v>4275</v>
      </c>
      <c r="AC932" t="s">
        <v>3161</v>
      </c>
      <c r="AD932" s="465" t="s">
        <v>6362</v>
      </c>
    </row>
    <row r="933" spans="1:30" ht="72.5">
      <c r="A933" s="3" t="s">
        <v>350</v>
      </c>
      <c r="B933" s="46" t="s">
        <v>4455</v>
      </c>
      <c r="C933" s="3"/>
      <c r="D933" s="329" t="s">
        <v>3003</v>
      </c>
      <c r="E933" s="330" t="s">
        <v>3004</v>
      </c>
      <c r="F933" s="57"/>
      <c r="G933" s="13" t="s">
        <v>313</v>
      </c>
      <c r="H933" s="13" t="str">
        <f>IFERROR(VLOOKUP(G933, Sheet2!$A:$B, 2, FALSE), A933)</f>
        <v>ULTRON TECHNOLOGY SG PTE. LIMITED</v>
      </c>
      <c r="I933" s="6" t="s">
        <v>359</v>
      </c>
      <c r="J933" s="109"/>
      <c r="K933" s="109"/>
      <c r="L933" s="126"/>
      <c r="M933" s="465"/>
      <c r="N933" s="141"/>
      <c r="O933" s="142" t="s">
        <v>6368</v>
      </c>
      <c r="Q933" s="482">
        <v>46057</v>
      </c>
      <c r="R933" s="482">
        <v>46060</v>
      </c>
      <c r="S933" s="482">
        <v>46057</v>
      </c>
      <c r="T933" s="141" t="s">
        <v>6369</v>
      </c>
      <c r="U933" s="141" t="s">
        <v>6370</v>
      </c>
      <c r="V933" s="141" t="s">
        <v>4275</v>
      </c>
      <c r="W933" s="141" t="s">
        <v>6371</v>
      </c>
      <c r="X933" t="s">
        <v>6372</v>
      </c>
      <c r="Y933" s="10" t="s">
        <v>6373</v>
      </c>
      <c r="Z933" t="s">
        <v>4275</v>
      </c>
      <c r="AA933" t="s">
        <v>4275</v>
      </c>
      <c r="AB933" t="s">
        <v>4275</v>
      </c>
      <c r="AC933" t="s">
        <v>3161</v>
      </c>
      <c r="AD933" s="465" t="s">
        <v>6374</v>
      </c>
    </row>
    <row r="934" spans="1:30" ht="72.5">
      <c r="A934" s="3" t="s">
        <v>350</v>
      </c>
      <c r="B934" s="46" t="s">
        <v>4455</v>
      </c>
      <c r="C934" s="3"/>
      <c r="D934" s="329" t="s">
        <v>3003</v>
      </c>
      <c r="E934" s="330" t="s">
        <v>3004</v>
      </c>
      <c r="F934" s="57"/>
      <c r="G934" s="13" t="s">
        <v>6375</v>
      </c>
      <c r="H934" s="13" t="str">
        <f>IFERROR(VLOOKUP(G934, Sheet2!$A:$B, 2, FALSE), A934)</f>
        <v>ULTRON TECHNOLOGY SG PTE. LIMITED</v>
      </c>
      <c r="I934" s="6" t="s">
        <v>359</v>
      </c>
      <c r="J934" s="109"/>
      <c r="K934" s="109"/>
      <c r="L934" s="126"/>
      <c r="M934" s="465"/>
      <c r="N934" s="141"/>
      <c r="O934" s="142" t="s">
        <v>6368</v>
      </c>
      <c r="Q934" s="482">
        <v>46057</v>
      </c>
      <c r="R934" s="482">
        <v>46060</v>
      </c>
      <c r="S934" s="482">
        <v>46057</v>
      </c>
      <c r="T934" s="141" t="s">
        <v>6376</v>
      </c>
      <c r="U934" s="141" t="s">
        <v>6377</v>
      </c>
      <c r="V934" s="141" t="s">
        <v>4275</v>
      </c>
      <c r="W934" s="141" t="s">
        <v>6371</v>
      </c>
      <c r="X934" t="s">
        <v>6372</v>
      </c>
      <c r="Y934" s="10" t="s">
        <v>6373</v>
      </c>
      <c r="Z934" t="s">
        <v>4275</v>
      </c>
      <c r="AA934" t="s">
        <v>4275</v>
      </c>
      <c r="AB934" t="s">
        <v>4275</v>
      </c>
      <c r="AC934" t="s">
        <v>3161</v>
      </c>
      <c r="AD934" s="193" t="s">
        <v>6374</v>
      </c>
    </row>
    <row r="935" spans="1:30" ht="58">
      <c r="A935" s="3" t="s">
        <v>350</v>
      </c>
      <c r="B935" s="46" t="s">
        <v>4455</v>
      </c>
      <c r="C935" s="3"/>
      <c r="D935" s="329" t="s">
        <v>3003</v>
      </c>
      <c r="E935" s="330" t="s">
        <v>3004</v>
      </c>
      <c r="F935" s="57"/>
      <c r="G935" s="13" t="s">
        <v>6375</v>
      </c>
      <c r="H935" s="13" t="str">
        <f>IFERROR(VLOOKUP(G935, Sheet2!$A:$B, 2, FALSE), A935)</f>
        <v>ULTRON TECHNOLOGY SG PTE. LIMITED</v>
      </c>
      <c r="I935" s="6" t="s">
        <v>359</v>
      </c>
      <c r="J935" s="109"/>
      <c r="K935" s="109"/>
      <c r="L935" s="126"/>
      <c r="M935" s="465"/>
      <c r="N935" s="141"/>
      <c r="O935" s="142" t="s">
        <v>6368</v>
      </c>
      <c r="Q935" s="482">
        <v>46057</v>
      </c>
      <c r="R935" s="482">
        <v>46060</v>
      </c>
      <c r="S935" s="482">
        <v>46057</v>
      </c>
      <c r="T935" s="141" t="s">
        <v>6378</v>
      </c>
      <c r="U935" s="141" t="s">
        <v>6379</v>
      </c>
      <c r="V935" s="141" t="s">
        <v>4275</v>
      </c>
      <c r="W935" s="141" t="s">
        <v>6371</v>
      </c>
      <c r="X935" t="s">
        <v>6372</v>
      </c>
      <c r="Y935" s="10" t="s">
        <v>6380</v>
      </c>
      <c r="Z935" t="s">
        <v>4275</v>
      </c>
      <c r="AA935" t="s">
        <v>4275</v>
      </c>
      <c r="AB935" t="s">
        <v>4275</v>
      </c>
      <c r="AC935" t="s">
        <v>3161</v>
      </c>
      <c r="AD935" s="193" t="s">
        <v>6374</v>
      </c>
    </row>
    <row r="936" spans="1:30" ht="72.5">
      <c r="A936" s="3" t="s">
        <v>350</v>
      </c>
      <c r="B936" s="46" t="s">
        <v>4455</v>
      </c>
      <c r="C936" s="3"/>
      <c r="D936" s="329" t="s">
        <v>3003</v>
      </c>
      <c r="E936" s="330" t="s">
        <v>3004</v>
      </c>
      <c r="F936" s="57"/>
      <c r="G936" s="13" t="s">
        <v>6375</v>
      </c>
      <c r="H936" s="13" t="str">
        <f>IFERROR(VLOOKUP(G936, Sheet2!$A:$B, 2, FALSE), A936)</f>
        <v>ULTRON TECHNOLOGY SG PTE. LIMITED</v>
      </c>
      <c r="I936" s="6" t="s">
        <v>359</v>
      </c>
      <c r="J936" s="109"/>
      <c r="K936" s="109"/>
      <c r="L936" s="126"/>
      <c r="M936" s="465"/>
      <c r="N936" s="141"/>
      <c r="O936" s="142" t="s">
        <v>6368</v>
      </c>
      <c r="Q936" s="482">
        <v>46057</v>
      </c>
      <c r="R936" s="482">
        <v>46060</v>
      </c>
      <c r="S936" s="482">
        <v>46057</v>
      </c>
      <c r="T936" s="141" t="s">
        <v>6381</v>
      </c>
      <c r="U936" s="141" t="s">
        <v>6382</v>
      </c>
      <c r="V936" s="141" t="s">
        <v>4275</v>
      </c>
      <c r="W936" s="141" t="s">
        <v>6371</v>
      </c>
      <c r="X936" t="s">
        <v>6372</v>
      </c>
      <c r="Y936" s="10" t="s">
        <v>6373</v>
      </c>
      <c r="Z936" t="s">
        <v>4275</v>
      </c>
      <c r="AA936" t="s">
        <v>4275</v>
      </c>
      <c r="AB936" t="s">
        <v>4275</v>
      </c>
      <c r="AC936" t="s">
        <v>3161</v>
      </c>
      <c r="AD936" s="193" t="s">
        <v>6374</v>
      </c>
    </row>
    <row r="937" spans="1:30" ht="159.5">
      <c r="A937" s="3" t="s">
        <v>350</v>
      </c>
      <c r="B937" s="46" t="s">
        <v>933</v>
      </c>
      <c r="C937" s="3"/>
      <c r="D937" s="329" t="s">
        <v>6383</v>
      </c>
      <c r="E937" s="330" t="s">
        <v>6383</v>
      </c>
      <c r="F937" s="513" t="s">
        <v>6384</v>
      </c>
      <c r="G937" s="13" t="s">
        <v>314</v>
      </c>
      <c r="H937" s="13" t="str">
        <f>IFERROR(VLOOKUP(G937, Sheet2!$A:$B, 2, FALSE), A937)</f>
        <v>NEW WORLD DEVELOPMENT (CHINA) LTD</v>
      </c>
      <c r="I937" s="58" t="s">
        <v>393</v>
      </c>
      <c r="J937" s="109"/>
      <c r="K937" s="109"/>
      <c r="L937" s="126"/>
      <c r="M937" s="193" t="s">
        <v>6385</v>
      </c>
      <c r="N937" s="141"/>
      <c r="O937" s="142" t="s">
        <v>6383</v>
      </c>
      <c r="Q937" s="482">
        <v>46063</v>
      </c>
      <c r="R937" s="482">
        <v>46065</v>
      </c>
      <c r="S937" s="482">
        <v>46063</v>
      </c>
      <c r="T937" s="141" t="s">
        <v>6386</v>
      </c>
      <c r="U937" s="141" t="s">
        <v>6387</v>
      </c>
      <c r="V937" s="141">
        <v>104729</v>
      </c>
      <c r="W937" s="141" t="s">
        <v>6388</v>
      </c>
      <c r="X937" t="s">
        <v>6389</v>
      </c>
      <c r="Y937" s="10" t="s">
        <v>6390</v>
      </c>
      <c r="Z937" t="s">
        <v>4275</v>
      </c>
      <c r="AA937" t="s">
        <v>4275</v>
      </c>
      <c r="AB937" t="s">
        <v>4275</v>
      </c>
      <c r="AC937" t="s">
        <v>3161</v>
      </c>
      <c r="AD937" s="193" t="s">
        <v>6391</v>
      </c>
    </row>
    <row r="938" spans="1:30" ht="130.5">
      <c r="A938" s="3" t="s">
        <v>350</v>
      </c>
      <c r="B938" s="46" t="s">
        <v>933</v>
      </c>
      <c r="C938" s="3"/>
      <c r="D938" s="329" t="s">
        <v>6392</v>
      </c>
      <c r="E938" s="330" t="s">
        <v>6393</v>
      </c>
      <c r="F938" s="513" t="s">
        <v>6394</v>
      </c>
      <c r="G938" s="13" t="s">
        <v>316</v>
      </c>
      <c r="H938" s="13" t="str">
        <f>IFERROR(VLOOKUP(G938, Sheet2!$A:$B, 2, FALSE), A938)</f>
        <v>Hoymay HK Limited</v>
      </c>
      <c r="I938" s="58" t="s">
        <v>352</v>
      </c>
      <c r="J938" s="109"/>
      <c r="K938" s="109" t="s">
        <v>6395</v>
      </c>
      <c r="L938" s="126"/>
      <c r="M938" s="193" t="s">
        <v>6396</v>
      </c>
      <c r="N938" s="141"/>
      <c r="O938" s="142" t="s">
        <v>6397</v>
      </c>
      <c r="Q938" s="482">
        <v>46079</v>
      </c>
      <c r="R938" s="482">
        <v>46077</v>
      </c>
      <c r="S938" s="482">
        <v>46079</v>
      </c>
      <c r="T938" s="482" t="s">
        <v>6398</v>
      </c>
      <c r="U938" s="482" t="s">
        <v>6399</v>
      </c>
      <c r="V938" s="141">
        <v>104731</v>
      </c>
      <c r="W938" s="482" t="s">
        <v>6400</v>
      </c>
      <c r="X938" t="s">
        <v>6401</v>
      </c>
      <c r="Y938" s="10" t="s">
        <v>6402</v>
      </c>
      <c r="Z938" t="s">
        <v>4275</v>
      </c>
      <c r="AA938" t="s">
        <v>4275</v>
      </c>
      <c r="AB938" t="s">
        <v>4275</v>
      </c>
      <c r="AC938" t="s">
        <v>3161</v>
      </c>
      <c r="AD938" s="193" t="s">
        <v>6403</v>
      </c>
    </row>
    <row r="939" spans="1:30" ht="130.5">
      <c r="A939" s="3" t="s">
        <v>350</v>
      </c>
      <c r="B939" s="46" t="s">
        <v>933</v>
      </c>
      <c r="C939" s="3"/>
      <c r="D939" s="329" t="s">
        <v>6404</v>
      </c>
      <c r="E939" s="330">
        <v>28515313</v>
      </c>
      <c r="F939" s="513" t="s">
        <v>6405</v>
      </c>
      <c r="G939" s="13" t="s">
        <v>318</v>
      </c>
      <c r="H939" s="13" t="str">
        <f>IFERROR(VLOOKUP(G939, Sheet2!$A:$B, 2, FALSE), A939)</f>
        <v>FWD LIFE INSURANCE COMPANY (BERMUDA) LTD</v>
      </c>
      <c r="I939" s="58" t="s">
        <v>675</v>
      </c>
      <c r="J939" s="109"/>
      <c r="K939" s="109" t="s">
        <v>6406</v>
      </c>
      <c r="L939" s="126"/>
      <c r="M939" s="193" t="s">
        <v>6405</v>
      </c>
      <c r="N939" s="141"/>
      <c r="O939" s="142" t="s">
        <v>6407</v>
      </c>
      <c r="Q939" s="482">
        <v>46084</v>
      </c>
      <c r="R939" s="482">
        <v>46080</v>
      </c>
      <c r="S939" s="482">
        <v>46083</v>
      </c>
      <c r="T939" s="482" t="s">
        <v>6408</v>
      </c>
      <c r="U939" s="482" t="s">
        <v>6409</v>
      </c>
      <c r="V939" s="141">
        <v>104738</v>
      </c>
      <c r="W939" s="482" t="s">
        <v>6410</v>
      </c>
      <c r="X939" t="s">
        <v>6411</v>
      </c>
      <c r="Y939" s="10" t="s">
        <v>6412</v>
      </c>
      <c r="Z939" t="s">
        <v>4275</v>
      </c>
      <c r="AA939" t="s">
        <v>4275</v>
      </c>
      <c r="AB939" t="s">
        <v>4275</v>
      </c>
      <c r="AC939" t="s">
        <v>3161</v>
      </c>
      <c r="AD939" s="193" t="s">
        <v>6413</v>
      </c>
    </row>
    <row r="940" spans="1:30" ht="72.5">
      <c r="A940" s="3" t="s">
        <v>350</v>
      </c>
      <c r="B940" s="46" t="s">
        <v>933</v>
      </c>
      <c r="C940" s="3"/>
      <c r="D940" s="329" t="s">
        <v>6414</v>
      </c>
      <c r="E940" s="330">
        <v>25792970</v>
      </c>
      <c r="F940" s="513" t="s">
        <v>6415</v>
      </c>
      <c r="G940" s="13" t="s">
        <v>71</v>
      </c>
      <c r="H940" s="13" t="str">
        <f>IFERROR(VLOOKUP(G940, Sheet2!$A:$B, 2, FALSE), A940)</f>
        <v>JARDINE MATHESON LIMITED</v>
      </c>
      <c r="I940" s="58" t="s">
        <v>393</v>
      </c>
      <c r="J940" s="109"/>
      <c r="K940" s="109"/>
      <c r="L940" s="126"/>
      <c r="M940" s="193"/>
      <c r="N940" s="141"/>
      <c r="O940" s="142" t="s">
        <v>6416</v>
      </c>
      <c r="Q940" s="482">
        <v>46078</v>
      </c>
      <c r="R940" s="482">
        <v>46077</v>
      </c>
      <c r="S940" s="482">
        <v>46078</v>
      </c>
      <c r="T940" s="482" t="s">
        <v>6417</v>
      </c>
      <c r="U940" s="482" t="s">
        <v>6418</v>
      </c>
      <c r="V940" s="482" t="s">
        <v>4275</v>
      </c>
      <c r="W940" s="482" t="s">
        <v>6419</v>
      </c>
      <c r="X940" t="s">
        <v>6420</v>
      </c>
      <c r="Y940" s="10" t="s">
        <v>6421</v>
      </c>
      <c r="Z940" t="s">
        <v>4275</v>
      </c>
      <c r="AA940" t="s">
        <v>1072</v>
      </c>
      <c r="AB940" t="s">
        <v>4275</v>
      </c>
      <c r="AC940" t="s">
        <v>3161</v>
      </c>
      <c r="AD940" s="193" t="s">
        <v>6422</v>
      </c>
    </row>
    <row r="941" spans="1:30" ht="29">
      <c r="A941" s="3" t="s">
        <v>4131</v>
      </c>
      <c r="B941" s="46" t="s">
        <v>933</v>
      </c>
      <c r="C941" s="3"/>
      <c r="D941" s="141" t="s">
        <v>5982</v>
      </c>
      <c r="E941" s="141">
        <v>92267707</v>
      </c>
      <c r="F941" s="520" t="s">
        <v>5984</v>
      </c>
      <c r="G941" s="13" t="s">
        <v>298</v>
      </c>
      <c r="H941" s="13" t="str">
        <f>IFERROR(VLOOKUP(G941, Sheet2!$A:$B, 2, FALSE), A941)</f>
        <v>HUNDSUN AYERS TECHNOLOGIES LTD</v>
      </c>
      <c r="I941" s="58" t="s">
        <v>410</v>
      </c>
      <c r="J941" s="52"/>
      <c r="K941" s="77" t="s">
        <v>6423</v>
      </c>
      <c r="L941" s="120"/>
      <c r="M941" s="502" t="s">
        <v>6424</v>
      </c>
      <c r="N941" s="120"/>
      <c r="O941" s="142" t="s">
        <v>5987</v>
      </c>
      <c r="P941" s="142"/>
      <c r="Q941" s="66" t="s">
        <v>2379</v>
      </c>
      <c r="R941" s="482" t="s">
        <v>997</v>
      </c>
      <c r="S941" s="482" t="s">
        <v>997</v>
      </c>
      <c r="T941" s="482" t="s">
        <v>997</v>
      </c>
      <c r="U941" s="482" t="s">
        <v>997</v>
      </c>
      <c r="V941" s="482" t="s">
        <v>997</v>
      </c>
      <c r="W941" s="482" t="s">
        <v>997</v>
      </c>
      <c r="X941" s="58"/>
      <c r="Y941" s="9" t="s">
        <v>6425</v>
      </c>
      <c r="Z941" t="s">
        <v>4275</v>
      </c>
      <c r="AA941" t="s">
        <v>4275</v>
      </c>
      <c r="AB941" t="s">
        <v>4275</v>
      </c>
      <c r="AC941" t="s">
        <v>2995</v>
      </c>
      <c r="AD941" s="496"/>
    </row>
    <row r="942" spans="1:30" ht="58">
      <c r="A942" s="3" t="s">
        <v>883</v>
      </c>
      <c r="B942" s="46" t="s">
        <v>5032</v>
      </c>
      <c r="C942" s="3"/>
      <c r="D942" s="479" t="s">
        <v>4183</v>
      </c>
      <c r="E942" s="141" t="s">
        <v>5980</v>
      </c>
      <c r="F942" s="496" t="s">
        <v>6426</v>
      </c>
      <c r="G942" s="13" t="s">
        <v>175</v>
      </c>
      <c r="H942" s="13" t="str">
        <f>IFERROR(VLOOKUP(G942, Sheet2!$A:$B, 2, FALSE), A942)</f>
        <v>HOSPITAL AUTHORITY</v>
      </c>
      <c r="I942" s="58" t="s">
        <v>675</v>
      </c>
      <c r="J942" s="52"/>
      <c r="K942" s="52"/>
      <c r="L942" s="93" t="s">
        <v>6427</v>
      </c>
      <c r="M942" s="193" t="s">
        <v>6428</v>
      </c>
      <c r="N942" s="120"/>
      <c r="O942" s="142" t="s">
        <v>6429</v>
      </c>
      <c r="P942" s="120"/>
      <c r="Q942" s="66" t="s">
        <v>2379</v>
      </c>
      <c r="R942" s="482" t="s">
        <v>997</v>
      </c>
      <c r="S942" s="482" t="s">
        <v>997</v>
      </c>
      <c r="T942" s="482" t="s">
        <v>997</v>
      </c>
      <c r="U942" s="482" t="s">
        <v>997</v>
      </c>
      <c r="V942" s="141" t="s">
        <v>997</v>
      </c>
      <c r="W942" s="482" t="s">
        <v>997</v>
      </c>
      <c r="X942" s="58"/>
      <c r="Y942" s="7" t="s">
        <v>6430</v>
      </c>
      <c r="AD942" s="496"/>
    </row>
    <row r="943" spans="1:30" ht="101.5">
      <c r="A943" s="5" t="s">
        <v>350</v>
      </c>
      <c r="B943" s="46" t="s">
        <v>933</v>
      </c>
      <c r="C943" s="3"/>
      <c r="D943" s="479" t="s">
        <v>6431</v>
      </c>
      <c r="E943" s="141">
        <v>65376579</v>
      </c>
      <c r="F943" s="496" t="s">
        <v>6432</v>
      </c>
      <c r="G943" s="13" t="s">
        <v>320</v>
      </c>
      <c r="H943" s="13" t="str">
        <f>IFERROR(VLOOKUP(G943, Sheet2!$A:$B, 2, FALSE), A943)</f>
        <v>HK SCIENCE &amp; TECHNOLOGY PARKS CORP</v>
      </c>
      <c r="I943" s="6" t="s">
        <v>359</v>
      </c>
      <c r="J943" s="52"/>
      <c r="K943" s="77" t="s">
        <v>6433</v>
      </c>
      <c r="L943" s="120"/>
      <c r="M943" s="504" t="s">
        <v>6434</v>
      </c>
      <c r="N943" s="120"/>
      <c r="O943" s="142" t="s">
        <v>6435</v>
      </c>
      <c r="P943" s="120"/>
      <c r="Q943" s="8">
        <v>46083</v>
      </c>
      <c r="R943" s="8">
        <v>46084</v>
      </c>
      <c r="S943" s="8">
        <v>46083</v>
      </c>
      <c r="T943" s="482" t="s">
        <v>6436</v>
      </c>
      <c r="U943" s="482" t="s">
        <v>6437</v>
      </c>
      <c r="V943" s="141">
        <v>104742</v>
      </c>
      <c r="W943" s="4" t="s">
        <v>6438</v>
      </c>
      <c r="X943" s="58" t="s">
        <v>6439</v>
      </c>
      <c r="Y943" s="9" t="s">
        <v>6440</v>
      </c>
      <c r="Z943" t="s">
        <v>4275</v>
      </c>
      <c r="AA943" t="s">
        <v>4275</v>
      </c>
      <c r="AB943" t="s">
        <v>4275</v>
      </c>
      <c r="AC943" t="s">
        <v>3161</v>
      </c>
      <c r="AD943" s="496" t="s">
        <v>6441</v>
      </c>
    </row>
    <row r="944" spans="1:30" ht="29">
      <c r="A944" s="5" t="s">
        <v>883</v>
      </c>
      <c r="B944" s="46" t="s">
        <v>933</v>
      </c>
      <c r="C944" s="3"/>
      <c r="D944" s="479" t="s">
        <v>6431</v>
      </c>
      <c r="E944" s="141">
        <v>65376579</v>
      </c>
      <c r="F944" s="496" t="s">
        <v>6432</v>
      </c>
      <c r="G944" s="13" t="s">
        <v>320</v>
      </c>
      <c r="H944" s="13" t="str">
        <f>IFERROR(VLOOKUP(G944, Sheet2!$A:$B, 2, FALSE), A944)</f>
        <v>HK SCIENCE &amp; TECHNOLOGY PARKS CORP</v>
      </c>
      <c r="I944" s="6" t="s">
        <v>359</v>
      </c>
      <c r="J944" s="52"/>
      <c r="K944" s="52" t="s">
        <v>6442</v>
      </c>
      <c r="L944" s="120"/>
      <c r="M944" s="504"/>
      <c r="N944" s="120"/>
      <c r="O944" s="142" t="s">
        <v>6435</v>
      </c>
      <c r="P944" s="120"/>
      <c r="Q944" s="8">
        <v>46083</v>
      </c>
      <c r="R944" s="8">
        <v>46084</v>
      </c>
      <c r="S944" s="482" t="s">
        <v>997</v>
      </c>
      <c r="T944" s="482" t="s">
        <v>6443</v>
      </c>
      <c r="U944" s="141" t="s">
        <v>6444</v>
      </c>
      <c r="V944" s="141">
        <v>104744</v>
      </c>
      <c r="W944" s="4" t="s">
        <v>6438</v>
      </c>
      <c r="X944" s="58" t="s">
        <v>6439</v>
      </c>
      <c r="Y944" s="9" t="s">
        <v>6445</v>
      </c>
      <c r="Z944" t="s">
        <v>4275</v>
      </c>
      <c r="AA944" t="s">
        <v>4275</v>
      </c>
      <c r="AB944" t="s">
        <v>4275</v>
      </c>
      <c r="AC944" t="s">
        <v>3161</v>
      </c>
      <c r="AD944" s="496" t="s">
        <v>6441</v>
      </c>
    </row>
    <row r="945" spans="1:30" ht="29">
      <c r="A945" s="5" t="s">
        <v>883</v>
      </c>
      <c r="B945" s="46" t="s">
        <v>933</v>
      </c>
      <c r="C945" s="3"/>
      <c r="D945" s="479" t="s">
        <v>6431</v>
      </c>
      <c r="E945" s="141">
        <v>65376579</v>
      </c>
      <c r="F945" s="496" t="s">
        <v>6432</v>
      </c>
      <c r="G945" s="13" t="s">
        <v>320</v>
      </c>
      <c r="H945" s="13" t="str">
        <f>IFERROR(VLOOKUP(G945, Sheet2!$A:$B, 2, FALSE), A945)</f>
        <v>HK SCIENCE &amp; TECHNOLOGY PARKS CORP</v>
      </c>
      <c r="I945" s="6" t="s">
        <v>359</v>
      </c>
      <c r="J945" s="52"/>
      <c r="K945" s="52" t="s">
        <v>6446</v>
      </c>
      <c r="L945" s="120"/>
      <c r="M945" s="504"/>
      <c r="N945" s="120"/>
      <c r="O945" s="142" t="s">
        <v>6435</v>
      </c>
      <c r="P945" s="120"/>
      <c r="Q945" s="8">
        <v>46083</v>
      </c>
      <c r="R945" s="8">
        <v>46084</v>
      </c>
      <c r="S945" s="482" t="s">
        <v>997</v>
      </c>
      <c r="T945" s="482" t="s">
        <v>6447</v>
      </c>
      <c r="U945" s="141" t="s">
        <v>6448</v>
      </c>
      <c r="V945" s="141">
        <v>104746</v>
      </c>
      <c r="W945" s="4" t="s">
        <v>6438</v>
      </c>
      <c r="X945" s="58" t="s">
        <v>6439</v>
      </c>
      <c r="Y945" s="9" t="s">
        <v>6449</v>
      </c>
      <c r="Z945" t="s">
        <v>4275</v>
      </c>
      <c r="AA945" t="s">
        <v>4275</v>
      </c>
      <c r="AB945" t="s">
        <v>4275</v>
      </c>
      <c r="AC945" t="s">
        <v>3161</v>
      </c>
      <c r="AD945" s="496" t="s">
        <v>6441</v>
      </c>
    </row>
    <row r="946" spans="1:30" ht="29">
      <c r="A946" s="5" t="s">
        <v>883</v>
      </c>
      <c r="B946" s="46" t="s">
        <v>933</v>
      </c>
      <c r="C946" s="3"/>
      <c r="D946" s="479" t="s">
        <v>6431</v>
      </c>
      <c r="E946" s="141">
        <v>65376579</v>
      </c>
      <c r="F946" s="496" t="s">
        <v>6432</v>
      </c>
      <c r="G946" s="13" t="s">
        <v>320</v>
      </c>
      <c r="H946" s="13" t="str">
        <f>IFERROR(VLOOKUP(G946, Sheet2!$A:$B, 2, FALSE), A946)</f>
        <v>HK SCIENCE &amp; TECHNOLOGY PARKS CORP</v>
      </c>
      <c r="I946" s="6" t="s">
        <v>359</v>
      </c>
      <c r="J946" s="52"/>
      <c r="K946" s="52" t="s">
        <v>6450</v>
      </c>
      <c r="L946" s="120"/>
      <c r="M946" s="504"/>
      <c r="N946" s="120"/>
      <c r="O946" s="142" t="s">
        <v>6435</v>
      </c>
      <c r="P946" s="120"/>
      <c r="Q946" s="8">
        <v>46083</v>
      </c>
      <c r="R946" s="8">
        <v>46084</v>
      </c>
      <c r="S946" s="482" t="s">
        <v>997</v>
      </c>
      <c r="T946" s="482" t="s">
        <v>6451</v>
      </c>
      <c r="U946" s="141" t="s">
        <v>6452</v>
      </c>
      <c r="V946" s="141">
        <v>104745</v>
      </c>
      <c r="W946" s="4" t="s">
        <v>6438</v>
      </c>
      <c r="X946" s="58" t="s">
        <v>6439</v>
      </c>
      <c r="Y946" s="9" t="s">
        <v>6453</v>
      </c>
      <c r="Z946" t="s">
        <v>4275</v>
      </c>
      <c r="AA946" t="s">
        <v>4275</v>
      </c>
      <c r="AB946" t="s">
        <v>4275</v>
      </c>
      <c r="AC946" t="s">
        <v>3161</v>
      </c>
      <c r="AD946" s="496" t="s">
        <v>6441</v>
      </c>
    </row>
    <row r="947" spans="1:30" ht="101.5">
      <c r="A947" s="5" t="s">
        <v>350</v>
      </c>
      <c r="B947" s="46" t="s">
        <v>933</v>
      </c>
      <c r="C947" s="3"/>
      <c r="D947" s="479" t="s">
        <v>6431</v>
      </c>
      <c r="E947" s="141">
        <v>65376579</v>
      </c>
      <c r="F947" s="496" t="s">
        <v>6432</v>
      </c>
      <c r="G947" s="13" t="s">
        <v>320</v>
      </c>
      <c r="H947" s="13" t="str">
        <f>IFERROR(VLOOKUP(G947, Sheet2!$A:$B, 2, FALSE), A947)</f>
        <v>HK SCIENCE &amp; TECHNOLOGY PARKS CORP</v>
      </c>
      <c r="I947" s="6" t="s">
        <v>359</v>
      </c>
      <c r="J947" s="52"/>
      <c r="K947" s="52" t="s">
        <v>6454</v>
      </c>
      <c r="L947" s="120"/>
      <c r="M947" s="504" t="s">
        <v>6455</v>
      </c>
      <c r="N947" s="120"/>
      <c r="O947" s="142" t="s">
        <v>6435</v>
      </c>
      <c r="P947" s="120"/>
      <c r="Q947" s="8">
        <v>46083</v>
      </c>
      <c r="R947" s="8">
        <v>46084</v>
      </c>
      <c r="S947" s="8">
        <v>46083</v>
      </c>
      <c r="T947" s="482" t="s">
        <v>6456</v>
      </c>
      <c r="U947" s="141" t="s">
        <v>6457</v>
      </c>
      <c r="V947" s="141">
        <v>104747</v>
      </c>
      <c r="W947" s="4" t="s">
        <v>6438</v>
      </c>
      <c r="X947" s="58" t="s">
        <v>6439</v>
      </c>
      <c r="Y947" s="9" t="s">
        <v>6458</v>
      </c>
      <c r="Z947" t="s">
        <v>4275</v>
      </c>
      <c r="AA947" t="s">
        <v>4275</v>
      </c>
      <c r="AB947" t="s">
        <v>4275</v>
      </c>
      <c r="AC947" t="s">
        <v>3161</v>
      </c>
      <c r="AD947" s="496" t="s">
        <v>6441</v>
      </c>
    </row>
    <row r="948" spans="1:30" ht="101.5">
      <c r="A948" s="5" t="s">
        <v>350</v>
      </c>
      <c r="B948" s="46" t="s">
        <v>933</v>
      </c>
      <c r="C948" s="3"/>
      <c r="D948" s="479" t="s">
        <v>6431</v>
      </c>
      <c r="E948" s="141">
        <v>65376579</v>
      </c>
      <c r="F948" s="496" t="s">
        <v>6432</v>
      </c>
      <c r="G948" s="13" t="s">
        <v>320</v>
      </c>
      <c r="H948" s="13" t="str">
        <f>IFERROR(VLOOKUP(G948, Sheet2!$A:$B, 2, FALSE), A948)</f>
        <v>HK SCIENCE &amp; TECHNOLOGY PARKS CORP</v>
      </c>
      <c r="I948" s="6" t="s">
        <v>359</v>
      </c>
      <c r="J948" s="52"/>
      <c r="K948" s="52" t="s">
        <v>6459</v>
      </c>
      <c r="L948" s="120"/>
      <c r="M948" s="504" t="s">
        <v>6460</v>
      </c>
      <c r="N948" s="120"/>
      <c r="O948" s="142" t="s">
        <v>6435</v>
      </c>
      <c r="P948" s="120"/>
      <c r="Q948" s="8">
        <v>46083</v>
      </c>
      <c r="R948" s="8">
        <v>46084</v>
      </c>
      <c r="S948" s="8">
        <v>46083</v>
      </c>
      <c r="T948" s="482" t="s">
        <v>6461</v>
      </c>
      <c r="U948" s="141" t="s">
        <v>6462</v>
      </c>
      <c r="V948" s="141">
        <v>104752</v>
      </c>
      <c r="W948" s="4" t="s">
        <v>6438</v>
      </c>
      <c r="X948" s="58" t="s">
        <v>6439</v>
      </c>
      <c r="Y948" s="9" t="s">
        <v>6463</v>
      </c>
      <c r="Z948" t="s">
        <v>4275</v>
      </c>
      <c r="AA948" t="s">
        <v>4275</v>
      </c>
      <c r="AB948" t="s">
        <v>4275</v>
      </c>
      <c r="AC948" t="s">
        <v>3161</v>
      </c>
      <c r="AD948" s="496" t="s">
        <v>6441</v>
      </c>
    </row>
    <row r="949" spans="1:30" ht="101.5">
      <c r="A949" s="5" t="s">
        <v>350</v>
      </c>
      <c r="B949" s="46" t="s">
        <v>933</v>
      </c>
      <c r="C949" s="3"/>
      <c r="D949" s="479" t="s">
        <v>6431</v>
      </c>
      <c r="E949" s="141">
        <v>65376579</v>
      </c>
      <c r="F949" s="496" t="s">
        <v>6432</v>
      </c>
      <c r="G949" s="13" t="s">
        <v>320</v>
      </c>
      <c r="H949" s="13" t="str">
        <f>IFERROR(VLOOKUP(G949, Sheet2!$A:$B, 2, FALSE), A949)</f>
        <v>HK SCIENCE &amp; TECHNOLOGY PARKS CORP</v>
      </c>
      <c r="I949" s="6" t="s">
        <v>359</v>
      </c>
      <c r="J949" s="52"/>
      <c r="K949" s="52" t="s">
        <v>6464</v>
      </c>
      <c r="L949" s="120"/>
      <c r="M949" s="504" t="s">
        <v>6465</v>
      </c>
      <c r="N949" s="120"/>
      <c r="O949" s="142" t="s">
        <v>6435</v>
      </c>
      <c r="P949" s="120"/>
      <c r="Q949" s="8">
        <v>46083</v>
      </c>
      <c r="R949" s="8">
        <v>46084</v>
      </c>
      <c r="S949" s="8">
        <v>46083</v>
      </c>
      <c r="T949" s="482" t="s">
        <v>6466</v>
      </c>
      <c r="U949" s="141" t="s">
        <v>6467</v>
      </c>
      <c r="V949" s="141">
        <v>104751</v>
      </c>
      <c r="W949" s="4" t="s">
        <v>6438</v>
      </c>
      <c r="X949" s="58" t="s">
        <v>6439</v>
      </c>
      <c r="Y949" s="9" t="s">
        <v>6468</v>
      </c>
      <c r="Z949" t="s">
        <v>4275</v>
      </c>
      <c r="AA949" t="s">
        <v>4275</v>
      </c>
      <c r="AB949" t="s">
        <v>4275</v>
      </c>
      <c r="AC949" t="s">
        <v>3161</v>
      </c>
      <c r="AD949" s="496" t="s">
        <v>6441</v>
      </c>
    </row>
    <row r="950" spans="1:30" ht="101.5">
      <c r="A950" s="5" t="s">
        <v>350</v>
      </c>
      <c r="B950" s="46" t="s">
        <v>933</v>
      </c>
      <c r="C950" s="3"/>
      <c r="D950" s="479" t="s">
        <v>6431</v>
      </c>
      <c r="E950" s="141">
        <v>65376579</v>
      </c>
      <c r="F950" s="496" t="s">
        <v>6432</v>
      </c>
      <c r="G950" s="13" t="s">
        <v>320</v>
      </c>
      <c r="H950" s="13" t="str">
        <f>IFERROR(VLOOKUP(G950, Sheet2!$A:$B, 2, FALSE), A950)</f>
        <v>HK SCIENCE &amp; TECHNOLOGY PARKS CORP</v>
      </c>
      <c r="I950" s="6" t="s">
        <v>359</v>
      </c>
      <c r="J950" s="52"/>
      <c r="K950" s="52" t="s">
        <v>6469</v>
      </c>
      <c r="L950" s="120"/>
      <c r="M950" s="504" t="s">
        <v>6470</v>
      </c>
      <c r="N950" s="120"/>
      <c r="O950" s="142" t="s">
        <v>6435</v>
      </c>
      <c r="P950" s="120"/>
      <c r="Q950" s="8">
        <v>46083</v>
      </c>
      <c r="R950" s="8">
        <v>46084</v>
      </c>
      <c r="S950" s="8">
        <v>46083</v>
      </c>
      <c r="T950" s="482" t="s">
        <v>6471</v>
      </c>
      <c r="U950" s="141" t="s">
        <v>6472</v>
      </c>
      <c r="V950" s="141">
        <v>104750</v>
      </c>
      <c r="W950" s="4" t="s">
        <v>6438</v>
      </c>
      <c r="X950" s="58" t="s">
        <v>6439</v>
      </c>
      <c r="Y950" s="9" t="s">
        <v>6473</v>
      </c>
      <c r="Z950" t="s">
        <v>4275</v>
      </c>
      <c r="AA950" t="s">
        <v>4275</v>
      </c>
      <c r="AB950" t="s">
        <v>4275</v>
      </c>
      <c r="AC950" t="s">
        <v>3161</v>
      </c>
      <c r="AD950" s="496" t="s">
        <v>6441</v>
      </c>
    </row>
    <row r="951" spans="1:30" ht="101.5">
      <c r="A951" s="5" t="s">
        <v>350</v>
      </c>
      <c r="B951" s="46" t="s">
        <v>933</v>
      </c>
      <c r="C951" s="3"/>
      <c r="D951" s="479" t="s">
        <v>6431</v>
      </c>
      <c r="E951" s="141">
        <v>65376579</v>
      </c>
      <c r="F951" s="496" t="s">
        <v>6432</v>
      </c>
      <c r="G951" s="13" t="s">
        <v>320</v>
      </c>
      <c r="H951" s="13" t="str">
        <f>IFERROR(VLOOKUP(G951, Sheet2!$A:$B, 2, FALSE), A951)</f>
        <v>HK SCIENCE &amp; TECHNOLOGY PARKS CORP</v>
      </c>
      <c r="I951" s="6" t="s">
        <v>359</v>
      </c>
      <c r="J951" s="52"/>
      <c r="K951" s="52" t="s">
        <v>6474</v>
      </c>
      <c r="L951" s="120"/>
      <c r="M951" s="504" t="s">
        <v>6475</v>
      </c>
      <c r="N951" s="120"/>
      <c r="O951" s="142" t="s">
        <v>6435</v>
      </c>
      <c r="P951" s="120"/>
      <c r="Q951" s="8">
        <v>46083</v>
      </c>
      <c r="R951" s="8">
        <v>46084</v>
      </c>
      <c r="S951" s="8">
        <v>46083</v>
      </c>
      <c r="T951" s="482" t="s">
        <v>6476</v>
      </c>
      <c r="U951" s="141" t="s">
        <v>6477</v>
      </c>
      <c r="V951" s="141">
        <v>104749</v>
      </c>
      <c r="W951" s="4" t="s">
        <v>6438</v>
      </c>
      <c r="X951" s="58" t="s">
        <v>6439</v>
      </c>
      <c r="Y951" s="9" t="s">
        <v>6478</v>
      </c>
      <c r="Z951" t="s">
        <v>4275</v>
      </c>
      <c r="AA951" t="s">
        <v>4275</v>
      </c>
      <c r="AB951" t="s">
        <v>4275</v>
      </c>
      <c r="AC951" t="s">
        <v>3161</v>
      </c>
      <c r="AD951" s="496" t="s">
        <v>6441</v>
      </c>
    </row>
    <row r="952" spans="1:30" ht="101.5">
      <c r="A952" s="5" t="s">
        <v>350</v>
      </c>
      <c r="B952" s="46" t="s">
        <v>933</v>
      </c>
      <c r="C952" s="3"/>
      <c r="D952" s="479" t="s">
        <v>6431</v>
      </c>
      <c r="E952" s="141">
        <v>65376579</v>
      </c>
      <c r="F952" s="496" t="s">
        <v>6432</v>
      </c>
      <c r="G952" s="13" t="s">
        <v>320</v>
      </c>
      <c r="H952" s="13" t="str">
        <f>IFERROR(VLOOKUP(G952, Sheet2!$A:$B, 2, FALSE), A952)</f>
        <v>HK SCIENCE &amp; TECHNOLOGY PARKS CORP</v>
      </c>
      <c r="I952" s="6" t="s">
        <v>359</v>
      </c>
      <c r="J952" s="52"/>
      <c r="K952" s="77" t="s">
        <v>6479</v>
      </c>
      <c r="L952" s="120"/>
      <c r="M952" s="504" t="s">
        <v>6480</v>
      </c>
      <c r="N952" s="120"/>
      <c r="O952" s="142" t="s">
        <v>6435</v>
      </c>
      <c r="P952" s="120"/>
      <c r="Q952" s="8">
        <v>46083</v>
      </c>
      <c r="R952" s="8">
        <v>46084</v>
      </c>
      <c r="S952" s="8">
        <v>46083</v>
      </c>
      <c r="T952" s="482" t="s">
        <v>6481</v>
      </c>
      <c r="U952" s="141" t="s">
        <v>6482</v>
      </c>
      <c r="V952" s="141">
        <v>104748</v>
      </c>
      <c r="W952" s="4" t="s">
        <v>6438</v>
      </c>
      <c r="X952" s="58" t="s">
        <v>6439</v>
      </c>
      <c r="Y952" s="9" t="s">
        <v>6483</v>
      </c>
      <c r="Z952" t="s">
        <v>4275</v>
      </c>
      <c r="AA952" t="s">
        <v>4275</v>
      </c>
      <c r="AB952" t="s">
        <v>4275</v>
      </c>
      <c r="AC952" t="s">
        <v>3161</v>
      </c>
      <c r="AD952" s="496" t="s">
        <v>6441</v>
      </c>
    </row>
    <row r="953" spans="1:30" ht="101.5">
      <c r="A953" s="5" t="s">
        <v>350</v>
      </c>
      <c r="B953" s="46" t="s">
        <v>933</v>
      </c>
      <c r="C953" s="3"/>
      <c r="D953" s="479" t="s">
        <v>6431</v>
      </c>
      <c r="E953" s="141">
        <v>65376579</v>
      </c>
      <c r="F953" s="496" t="s">
        <v>6432</v>
      </c>
      <c r="G953" s="13" t="s">
        <v>320</v>
      </c>
      <c r="H953" s="13" t="str">
        <f>IFERROR(VLOOKUP(G953, Sheet2!$A:$B, 2, FALSE), A953)</f>
        <v>HK SCIENCE &amp; TECHNOLOGY PARKS CORP</v>
      </c>
      <c r="I953" s="6" t="s">
        <v>359</v>
      </c>
      <c r="J953" s="52"/>
      <c r="K953" s="77" t="s">
        <v>6484</v>
      </c>
      <c r="L953" s="120"/>
      <c r="M953" s="504" t="s">
        <v>6485</v>
      </c>
      <c r="N953" s="120"/>
      <c r="O953" s="142" t="s">
        <v>6435</v>
      </c>
      <c r="P953" s="120"/>
      <c r="Q953" s="8">
        <v>46083</v>
      </c>
      <c r="R953" s="8">
        <v>46084</v>
      </c>
      <c r="S953" s="8">
        <v>46083</v>
      </c>
      <c r="T953" s="482" t="s">
        <v>6486</v>
      </c>
      <c r="U953" s="141" t="s">
        <v>6487</v>
      </c>
      <c r="V953" s="141">
        <v>104757</v>
      </c>
      <c r="W953" s="4" t="s">
        <v>6438</v>
      </c>
      <c r="X953" s="58" t="s">
        <v>6439</v>
      </c>
      <c r="Y953" s="9" t="s">
        <v>6488</v>
      </c>
      <c r="Z953" t="s">
        <v>4275</v>
      </c>
      <c r="AA953" t="s">
        <v>4275</v>
      </c>
      <c r="AB953" t="s">
        <v>4275</v>
      </c>
      <c r="AC953" t="s">
        <v>3161</v>
      </c>
      <c r="AD953" s="496" t="s">
        <v>6441</v>
      </c>
    </row>
    <row r="954" spans="1:30" ht="101.5">
      <c r="A954" s="5" t="s">
        <v>350</v>
      </c>
      <c r="B954" s="46" t="s">
        <v>933</v>
      </c>
      <c r="C954" s="3"/>
      <c r="D954" s="479" t="s">
        <v>6431</v>
      </c>
      <c r="E954" s="141">
        <v>65376579</v>
      </c>
      <c r="F954" s="496" t="s">
        <v>6432</v>
      </c>
      <c r="G954" s="13" t="s">
        <v>320</v>
      </c>
      <c r="H954" s="13" t="str">
        <f>IFERROR(VLOOKUP(G954, Sheet2!$A:$B, 2, FALSE), A954)</f>
        <v>HK SCIENCE &amp; TECHNOLOGY PARKS CORP</v>
      </c>
      <c r="I954" s="6" t="s">
        <v>359</v>
      </c>
      <c r="J954" s="52"/>
      <c r="K954" s="77" t="s">
        <v>6489</v>
      </c>
      <c r="L954" s="120"/>
      <c r="M954" s="504" t="s">
        <v>6490</v>
      </c>
      <c r="N954" s="120"/>
      <c r="O954" s="142" t="s">
        <v>6435</v>
      </c>
      <c r="P954" s="120"/>
      <c r="Q954" s="8">
        <v>46083</v>
      </c>
      <c r="R954" s="8">
        <v>46084</v>
      </c>
      <c r="S954" s="8">
        <v>46083</v>
      </c>
      <c r="T954" s="482" t="s">
        <v>6491</v>
      </c>
      <c r="U954" s="141" t="s">
        <v>6492</v>
      </c>
      <c r="V954" s="141">
        <v>104756</v>
      </c>
      <c r="W954" s="4" t="s">
        <v>6438</v>
      </c>
      <c r="X954" s="58" t="s">
        <v>6439</v>
      </c>
      <c r="Y954" s="9" t="s">
        <v>6493</v>
      </c>
      <c r="Z954" t="s">
        <v>4275</v>
      </c>
      <c r="AA954" t="s">
        <v>4275</v>
      </c>
      <c r="AB954" t="s">
        <v>4275</v>
      </c>
      <c r="AC954" t="s">
        <v>3161</v>
      </c>
      <c r="AD954" s="496" t="s">
        <v>6441</v>
      </c>
    </row>
    <row r="955" spans="1:30" ht="101.5">
      <c r="A955" s="5" t="s">
        <v>350</v>
      </c>
      <c r="B955" s="46" t="s">
        <v>933</v>
      </c>
      <c r="C955" s="3"/>
      <c r="D955" s="479" t="s">
        <v>6431</v>
      </c>
      <c r="E955" s="141">
        <v>65376579</v>
      </c>
      <c r="F955" s="496" t="s">
        <v>6432</v>
      </c>
      <c r="G955" s="13" t="s">
        <v>320</v>
      </c>
      <c r="H955" s="13" t="str">
        <f>IFERROR(VLOOKUP(G955, Sheet2!$A:$B, 2, FALSE), A955)</f>
        <v>HK SCIENCE &amp; TECHNOLOGY PARKS CORP</v>
      </c>
      <c r="I955" s="6" t="s">
        <v>359</v>
      </c>
      <c r="J955" s="52"/>
      <c r="K955" s="52" t="s">
        <v>6494</v>
      </c>
      <c r="L955" s="120"/>
      <c r="M955" s="504" t="s">
        <v>6495</v>
      </c>
      <c r="N955" s="120"/>
      <c r="O955" s="142" t="s">
        <v>6435</v>
      </c>
      <c r="P955" s="120"/>
      <c r="Q955" s="8">
        <v>46083</v>
      </c>
      <c r="R955" s="8">
        <v>46084</v>
      </c>
      <c r="S955" s="8">
        <v>46083</v>
      </c>
      <c r="T955" s="482" t="s">
        <v>6496</v>
      </c>
      <c r="U955" s="141" t="s">
        <v>6497</v>
      </c>
      <c r="V955" s="141">
        <v>104753</v>
      </c>
      <c r="W955" s="4" t="s">
        <v>6438</v>
      </c>
      <c r="X955" s="58" t="s">
        <v>6439</v>
      </c>
      <c r="Y955" s="9" t="s">
        <v>6498</v>
      </c>
      <c r="Z955" t="s">
        <v>4275</v>
      </c>
      <c r="AA955" t="s">
        <v>4275</v>
      </c>
      <c r="AB955" t="s">
        <v>4275</v>
      </c>
      <c r="AC955" t="s">
        <v>3161</v>
      </c>
      <c r="AD955" s="496" t="s">
        <v>6441</v>
      </c>
    </row>
    <row r="956" spans="1:30" ht="101.5">
      <c r="A956" s="5" t="s">
        <v>350</v>
      </c>
      <c r="B956" s="46" t="s">
        <v>933</v>
      </c>
      <c r="C956" s="3"/>
      <c r="D956" s="479" t="s">
        <v>6431</v>
      </c>
      <c r="E956" s="141">
        <v>65376579</v>
      </c>
      <c r="F956" s="496" t="s">
        <v>6432</v>
      </c>
      <c r="G956" s="13" t="s">
        <v>320</v>
      </c>
      <c r="H956" s="13" t="str">
        <f>IFERROR(VLOOKUP(G956, Sheet2!$A:$B, 2, FALSE), A956)</f>
        <v>HK SCIENCE &amp; TECHNOLOGY PARKS CORP</v>
      </c>
      <c r="I956" s="6" t="s">
        <v>359</v>
      </c>
      <c r="J956" s="52"/>
      <c r="K956" s="52" t="s">
        <v>6499</v>
      </c>
      <c r="L956" s="120"/>
      <c r="M956" s="504" t="s">
        <v>6500</v>
      </c>
      <c r="N956" s="120"/>
      <c r="O956" s="142" t="s">
        <v>6435</v>
      </c>
      <c r="P956" s="120"/>
      <c r="Q956" s="8">
        <v>46083</v>
      </c>
      <c r="R956" s="8">
        <v>46084</v>
      </c>
      <c r="S956" s="8">
        <v>46083</v>
      </c>
      <c r="T956" s="482" t="s">
        <v>6501</v>
      </c>
      <c r="U956" s="141" t="s">
        <v>6502</v>
      </c>
      <c r="V956" s="141">
        <v>104755</v>
      </c>
      <c r="W956" s="4" t="s">
        <v>6438</v>
      </c>
      <c r="X956" s="58" t="s">
        <v>6439</v>
      </c>
      <c r="Y956" s="9" t="s">
        <v>6503</v>
      </c>
      <c r="Z956" t="s">
        <v>4275</v>
      </c>
      <c r="AA956" t="s">
        <v>4275</v>
      </c>
      <c r="AB956" t="s">
        <v>4275</v>
      </c>
      <c r="AC956" t="s">
        <v>3161</v>
      </c>
      <c r="AD956" s="496" t="s">
        <v>6441</v>
      </c>
    </row>
    <row r="957" spans="1:30" ht="29">
      <c r="A957" s="5" t="s">
        <v>883</v>
      </c>
      <c r="B957" s="46" t="s">
        <v>933</v>
      </c>
      <c r="C957" s="3"/>
      <c r="D957" s="479" t="s">
        <v>6431</v>
      </c>
      <c r="E957" s="141">
        <v>65376579</v>
      </c>
      <c r="F957" s="496" t="s">
        <v>6432</v>
      </c>
      <c r="G957" s="13" t="s">
        <v>320</v>
      </c>
      <c r="H957" s="13" t="str">
        <f>IFERROR(VLOOKUP(G957, Sheet2!$A:$B, 2, FALSE), A957)</f>
        <v>HK SCIENCE &amp; TECHNOLOGY PARKS CORP</v>
      </c>
      <c r="I957" s="6" t="s">
        <v>359</v>
      </c>
      <c r="J957" s="52"/>
      <c r="K957" s="52" t="s">
        <v>6504</v>
      </c>
      <c r="L957" s="120"/>
      <c r="M957" s="504"/>
      <c r="N957" s="120"/>
      <c r="O957" s="142" t="s">
        <v>6435</v>
      </c>
      <c r="P957" s="120"/>
      <c r="Q957" s="8">
        <v>46083</v>
      </c>
      <c r="R957" s="8">
        <v>46084</v>
      </c>
      <c r="S957" s="482" t="s">
        <v>997</v>
      </c>
      <c r="T957" s="482" t="s">
        <v>6505</v>
      </c>
      <c r="U957" s="141" t="s">
        <v>6506</v>
      </c>
      <c r="V957" s="141">
        <v>104754</v>
      </c>
      <c r="W957" s="4" t="s">
        <v>6438</v>
      </c>
      <c r="X957" s="58" t="s">
        <v>6439</v>
      </c>
      <c r="Y957" s="9" t="s">
        <v>6507</v>
      </c>
      <c r="Z957" t="s">
        <v>4275</v>
      </c>
      <c r="AA957" t="s">
        <v>4275</v>
      </c>
      <c r="AB957" t="s">
        <v>4275</v>
      </c>
      <c r="AC957" t="s">
        <v>3161</v>
      </c>
      <c r="AD957" s="496" t="s">
        <v>6441</v>
      </c>
    </row>
    <row r="958" spans="1:30" ht="116">
      <c r="A958" s="5" t="s">
        <v>4131</v>
      </c>
      <c r="B958" s="46" t="s">
        <v>933</v>
      </c>
      <c r="C958" s="3"/>
      <c r="D958" s="479" t="s">
        <v>6508</v>
      </c>
      <c r="E958" s="141" t="s">
        <v>4275</v>
      </c>
      <c r="F958" s="496" t="s">
        <v>6509</v>
      </c>
      <c r="G958" s="13" t="s">
        <v>322</v>
      </c>
      <c r="H958" s="13" t="str">
        <f>IFERROR(VLOOKUP(G958, Sheet2!$A:$B, 2, FALSE), A958)</f>
        <v>DCH</v>
      </c>
      <c r="I958" s="58" t="s">
        <v>675</v>
      </c>
      <c r="J958" s="52"/>
      <c r="K958" s="52" t="s">
        <v>6510</v>
      </c>
      <c r="L958" s="120"/>
      <c r="M958" s="502" t="s">
        <v>6511</v>
      </c>
      <c r="N958" s="120"/>
      <c r="O958" s="142"/>
      <c r="P958" s="120"/>
      <c r="Q958" s="66" t="s">
        <v>2379</v>
      </c>
      <c r="R958" s="482" t="s">
        <v>997</v>
      </c>
      <c r="S958" s="482" t="s">
        <v>997</v>
      </c>
      <c r="T958" s="482" t="s">
        <v>997</v>
      </c>
      <c r="U958" s="482" t="s">
        <v>997</v>
      </c>
      <c r="V958" s="482" t="s">
        <v>997</v>
      </c>
      <c r="W958" s="482" t="s">
        <v>997</v>
      </c>
      <c r="X958" s="482" t="s">
        <v>997</v>
      </c>
      <c r="Y958" s="9" t="s">
        <v>6512</v>
      </c>
      <c r="Z958" t="s">
        <v>4275</v>
      </c>
      <c r="AA958" t="s">
        <v>4275</v>
      </c>
      <c r="AB958" t="s">
        <v>4275</v>
      </c>
      <c r="AC958" t="s">
        <v>3161</v>
      </c>
      <c r="AD958" s="496"/>
    </row>
    <row r="959" spans="1:30" ht="72.5">
      <c r="A959" s="5" t="s">
        <v>4131</v>
      </c>
      <c r="B959" s="46" t="s">
        <v>933</v>
      </c>
      <c r="C959" s="3"/>
      <c r="D959" s="479" t="s">
        <v>2707</v>
      </c>
      <c r="E959" s="141">
        <v>90323685</v>
      </c>
      <c r="F959" s="506" t="s">
        <v>3574</v>
      </c>
      <c r="G959" s="13" t="s">
        <v>44</v>
      </c>
      <c r="H959" s="13" t="str">
        <f>IFERROR(VLOOKUP(G959, Sheet2!$A:$B, 2, FALSE), A959)</f>
        <v>CHOW TAI FOOK JEWELLERY CO LTD</v>
      </c>
      <c r="I959" s="6" t="s">
        <v>359</v>
      </c>
      <c r="J959" s="52"/>
      <c r="K959" s="52" t="s">
        <v>6513</v>
      </c>
      <c r="L959" s="120"/>
      <c r="M959" s="506" t="s">
        <v>6514</v>
      </c>
      <c r="N959" s="120"/>
      <c r="O959" s="142" t="s">
        <v>618</v>
      </c>
      <c r="P959" s="120"/>
      <c r="Q959" s="66" t="s">
        <v>2379</v>
      </c>
      <c r="R959" s="482" t="s">
        <v>997</v>
      </c>
      <c r="S959" s="482" t="s">
        <v>997</v>
      </c>
      <c r="T959" s="482" t="s">
        <v>997</v>
      </c>
      <c r="U959" s="482" t="s">
        <v>997</v>
      </c>
      <c r="V959" s="482" t="s">
        <v>997</v>
      </c>
      <c r="W959" s="482" t="s">
        <v>997</v>
      </c>
      <c r="X959" s="482" t="s">
        <v>997</v>
      </c>
      <c r="Y959" s="7" t="s">
        <v>6515</v>
      </c>
      <c r="Z959" t="s">
        <v>4275</v>
      </c>
      <c r="AA959" t="s">
        <v>4275</v>
      </c>
      <c r="AB959" t="s">
        <v>4275</v>
      </c>
      <c r="AC959" t="s">
        <v>2680</v>
      </c>
      <c r="AD959" s="496"/>
    </row>
    <row r="960" spans="1:30" ht="72.5">
      <c r="A960" s="5" t="s">
        <v>4131</v>
      </c>
      <c r="B960" s="46" t="s">
        <v>933</v>
      </c>
      <c r="C960" s="3"/>
      <c r="D960" s="479" t="s">
        <v>2707</v>
      </c>
      <c r="E960" s="141">
        <v>90323685</v>
      </c>
      <c r="F960" s="496" t="s">
        <v>2951</v>
      </c>
      <c r="G960" s="13" t="s">
        <v>44</v>
      </c>
      <c r="H960" s="13" t="str">
        <f>IFERROR(VLOOKUP(G960, Sheet2!$A:$B, 2, FALSE), A960)</f>
        <v>CHOW TAI FOOK JEWELLERY CO LTD</v>
      </c>
      <c r="I960" s="6" t="s">
        <v>359</v>
      </c>
      <c r="J960" s="52"/>
      <c r="K960" s="52" t="s">
        <v>6516</v>
      </c>
      <c r="L960" s="120"/>
      <c r="M960" s="465" t="s">
        <v>6517</v>
      </c>
      <c r="N960" s="120"/>
      <c r="O960" s="142" t="s">
        <v>618</v>
      </c>
      <c r="P960" s="120"/>
      <c r="Q960" s="66" t="s">
        <v>2379</v>
      </c>
      <c r="R960" s="482" t="s">
        <v>997</v>
      </c>
      <c r="S960" s="482" t="s">
        <v>997</v>
      </c>
      <c r="T960" s="482" t="s">
        <v>997</v>
      </c>
      <c r="U960" s="482" t="s">
        <v>997</v>
      </c>
      <c r="V960" s="482" t="s">
        <v>997</v>
      </c>
      <c r="W960" s="482" t="s">
        <v>997</v>
      </c>
      <c r="X960" s="482" t="s">
        <v>997</v>
      </c>
      <c r="Y960" s="7" t="s">
        <v>6518</v>
      </c>
      <c r="Z960" t="s">
        <v>4275</v>
      </c>
      <c r="AA960" t="s">
        <v>4275</v>
      </c>
      <c r="AB960" t="s">
        <v>4275</v>
      </c>
      <c r="AC960" t="s">
        <v>2680</v>
      </c>
      <c r="AD960" s="496"/>
    </row>
    <row r="961" spans="1:30" ht="101.5">
      <c r="A961" s="5" t="s">
        <v>4131</v>
      </c>
      <c r="B961" s="46" t="s">
        <v>933</v>
      </c>
      <c r="C961" s="3"/>
      <c r="D961" s="479" t="s">
        <v>6519</v>
      </c>
      <c r="E961" s="141">
        <v>97332360</v>
      </c>
      <c r="F961" s="496" t="s">
        <v>6520</v>
      </c>
      <c r="G961" s="13" t="s">
        <v>324</v>
      </c>
      <c r="H961" s="13" t="str">
        <f>IFERROR(VLOOKUP(G961, Sheet2!$A:$B, 2, FALSE), A961)</f>
        <v>THE DAIRY FARM COMPANY, LIMITED</v>
      </c>
      <c r="I961" s="6" t="s">
        <v>359</v>
      </c>
      <c r="J961" s="52"/>
      <c r="K961" s="52" t="s">
        <v>6521</v>
      </c>
      <c r="L961" s="120"/>
      <c r="M961" s="502" t="s">
        <v>6522</v>
      </c>
      <c r="N961" s="120"/>
      <c r="O961" s="142" t="s">
        <v>6523</v>
      </c>
      <c r="P961" s="120"/>
      <c r="Q961" s="66" t="s">
        <v>2379</v>
      </c>
      <c r="R961" s="482" t="s">
        <v>997</v>
      </c>
      <c r="S961" s="482" t="s">
        <v>997</v>
      </c>
      <c r="T961" s="482" t="s">
        <v>997</v>
      </c>
      <c r="U961" s="482" t="s">
        <v>997</v>
      </c>
      <c r="V961" s="482" t="s">
        <v>997</v>
      </c>
      <c r="W961" s="482" t="s">
        <v>997</v>
      </c>
      <c r="X961" s="482" t="s">
        <v>997</v>
      </c>
      <c r="Y961" s="7" t="s">
        <v>6524</v>
      </c>
      <c r="Z961" t="s">
        <v>4275</v>
      </c>
      <c r="AA961" t="s">
        <v>4275</v>
      </c>
      <c r="AB961" t="s">
        <v>4275</v>
      </c>
      <c r="AC961" t="s">
        <v>3161</v>
      </c>
      <c r="AD961" s="496"/>
    </row>
    <row r="962" spans="1:30" ht="145">
      <c r="A962" s="5" t="s">
        <v>4131</v>
      </c>
      <c r="B962" s="46" t="s">
        <v>933</v>
      </c>
      <c r="C962" s="3"/>
      <c r="D962" s="479" t="s">
        <v>4623</v>
      </c>
      <c r="E962" s="141">
        <v>39693392</v>
      </c>
      <c r="F962" s="496" t="s">
        <v>4624</v>
      </c>
      <c r="G962" s="13" t="s">
        <v>175</v>
      </c>
      <c r="H962" s="13" t="str">
        <f>IFERROR(VLOOKUP(G962, Sheet2!$A:$B, 2, FALSE), A962)</f>
        <v>HOSPITAL AUTHORITY</v>
      </c>
      <c r="I962" s="58" t="s">
        <v>675</v>
      </c>
      <c r="J962" s="52"/>
      <c r="K962" s="52" t="s">
        <v>6525</v>
      </c>
      <c r="L962" s="93" t="s">
        <v>6526</v>
      </c>
      <c r="M962" s="502" t="s">
        <v>6527</v>
      </c>
      <c r="N962" s="120"/>
      <c r="O962" s="142" t="s">
        <v>6528</v>
      </c>
      <c r="P962" s="120"/>
      <c r="Q962" s="66" t="s">
        <v>2379</v>
      </c>
      <c r="R962" s="482" t="s">
        <v>997</v>
      </c>
      <c r="S962" s="482" t="s">
        <v>997</v>
      </c>
      <c r="T962" s="482" t="s">
        <v>997</v>
      </c>
      <c r="U962" s="482" t="s">
        <v>997</v>
      </c>
      <c r="V962" s="482" t="s">
        <v>997</v>
      </c>
      <c r="W962" s="482" t="s">
        <v>997</v>
      </c>
      <c r="X962" s="482" t="s">
        <v>997</v>
      </c>
      <c r="Y962" s="7" t="s">
        <v>6529</v>
      </c>
      <c r="Z962" t="s">
        <v>4275</v>
      </c>
      <c r="AA962" t="s">
        <v>4275</v>
      </c>
      <c r="AB962" t="s">
        <v>4275</v>
      </c>
      <c r="AC962" t="s">
        <v>2680</v>
      </c>
      <c r="AD962" s="496"/>
    </row>
    <row r="963" spans="1:30" ht="45">
      <c r="A963" s="3" t="s">
        <v>2799</v>
      </c>
      <c r="B963" s="46" t="s">
        <v>933</v>
      </c>
      <c r="C963" s="3"/>
      <c r="D963" s="479" t="s">
        <v>6530</v>
      </c>
      <c r="E963" s="141" t="s">
        <v>4275</v>
      </c>
      <c r="F963" s="496" t="s">
        <v>6531</v>
      </c>
      <c r="G963" s="13" t="s">
        <v>6532</v>
      </c>
      <c r="H963" s="13" t="str">
        <f>IFERROR(VLOOKUP(G963, Sheet2!$A:$B, 2, FALSE), A963)</f>
        <v>LEGISLATIVE COUNCIL SECRETARIAT</v>
      </c>
      <c r="I963" s="6" t="s">
        <v>359</v>
      </c>
      <c r="J963" s="52"/>
      <c r="K963" s="52"/>
      <c r="L963" s="120"/>
      <c r="M963" s="531"/>
      <c r="N963" s="120"/>
      <c r="O963" s="142" t="s">
        <v>6533</v>
      </c>
      <c r="P963" s="120"/>
      <c r="Q963" s="191">
        <v>46099</v>
      </c>
      <c r="R963" s="191">
        <v>46099</v>
      </c>
      <c r="S963" s="482" t="s">
        <v>997</v>
      </c>
      <c r="T963" s="141">
        <v>510982</v>
      </c>
      <c r="U963" s="126">
        <v>9026032503058260</v>
      </c>
      <c r="V963" s="126">
        <v>502203</v>
      </c>
      <c r="W963" s="6" t="s">
        <v>6534</v>
      </c>
      <c r="X963" s="58" t="s">
        <v>6535</v>
      </c>
      <c r="Y963" s="7" t="s">
        <v>6536</v>
      </c>
      <c r="Z963" t="s">
        <v>4275</v>
      </c>
      <c r="AA963" t="s">
        <v>4275</v>
      </c>
      <c r="AB963" t="s">
        <v>4275</v>
      </c>
      <c r="AC963" t="s">
        <v>2680</v>
      </c>
      <c r="AD963" s="496" t="s">
        <v>6537</v>
      </c>
    </row>
    <row r="964" spans="1:30" ht="43.5">
      <c r="A964" s="3" t="s">
        <v>6094</v>
      </c>
      <c r="B964" s="46" t="s">
        <v>933</v>
      </c>
      <c r="C964" s="3"/>
      <c r="D964" s="479" t="s">
        <v>6530</v>
      </c>
      <c r="E964" s="141" t="s">
        <v>4275</v>
      </c>
      <c r="F964" s="496" t="s">
        <v>6531</v>
      </c>
      <c r="G964" s="13" t="s">
        <v>6532</v>
      </c>
      <c r="H964" s="13" t="str">
        <f>IFERROR(VLOOKUP(G964, Sheet2!$A:$B, 2, FALSE), A964)</f>
        <v>LEGISLATIVE COUNCIL SECRETARIAT</v>
      </c>
      <c r="I964" s="58" t="s">
        <v>7057</v>
      </c>
      <c r="J964" s="52"/>
      <c r="K964" s="52"/>
      <c r="L964" s="120"/>
      <c r="M964" s="348"/>
      <c r="N964" s="120"/>
      <c r="O964" s="142" t="s">
        <v>6533</v>
      </c>
      <c r="P964" s="120"/>
      <c r="Q964" s="191">
        <v>46099</v>
      </c>
      <c r="R964" s="191">
        <v>46099</v>
      </c>
      <c r="S964" s="482" t="s">
        <v>997</v>
      </c>
      <c r="T964" s="141">
        <v>514621</v>
      </c>
      <c r="U964" s="126">
        <v>9026032603106030</v>
      </c>
      <c r="V964" s="126">
        <v>502900</v>
      </c>
      <c r="W964" s="6" t="s">
        <v>6534</v>
      </c>
      <c r="X964" s="58" t="s">
        <v>6535</v>
      </c>
      <c r="Y964" s="7" t="s">
        <v>6538</v>
      </c>
      <c r="Z964" t="s">
        <v>4275</v>
      </c>
      <c r="AA964" t="s">
        <v>4275</v>
      </c>
      <c r="AB964" t="s">
        <v>4275</v>
      </c>
      <c r="AC964" t="s">
        <v>2680</v>
      </c>
      <c r="AD964" s="496" t="s">
        <v>6537</v>
      </c>
    </row>
    <row r="965" spans="1:30" ht="58">
      <c r="A965" s="3" t="s">
        <v>3366</v>
      </c>
      <c r="B965" s="46" t="s">
        <v>933</v>
      </c>
      <c r="C965" s="3"/>
      <c r="D965" s="479" t="s">
        <v>6539</v>
      </c>
      <c r="E965" s="141" t="s">
        <v>6540</v>
      </c>
      <c r="F965" s="496" t="s">
        <v>6541</v>
      </c>
      <c r="G965" s="13" t="s">
        <v>326</v>
      </c>
      <c r="H965" s="13" t="str">
        <f>IFERROR(VLOOKUP(G965, Sheet2!$A:$B, 2, FALSE), A965)</f>
        <v>CAM 8_HKT GenAI Demo Platform</v>
      </c>
      <c r="I965" s="6" t="s">
        <v>359</v>
      </c>
      <c r="J965" s="52"/>
      <c r="K965" s="52"/>
      <c r="L965" s="120"/>
      <c r="M965" s="504" t="s">
        <v>6542</v>
      </c>
      <c r="N965" s="120"/>
      <c r="O965" s="142" t="s">
        <v>5778</v>
      </c>
      <c r="P965" s="120"/>
      <c r="Q965" s="8"/>
      <c r="R965" s="8"/>
      <c r="S965" s="8"/>
      <c r="T965" s="141"/>
      <c r="U965" s="126"/>
      <c r="V965" s="126"/>
      <c r="W965" s="8"/>
      <c r="X965" s="58"/>
      <c r="Y965" s="9" t="s">
        <v>6543</v>
      </c>
      <c r="Z965" t="s">
        <v>4275</v>
      </c>
      <c r="AA965" t="s">
        <v>4275</v>
      </c>
      <c r="AB965" t="s">
        <v>4275</v>
      </c>
      <c r="AC965" t="s">
        <v>2680</v>
      </c>
      <c r="AD965" s="496"/>
    </row>
    <row r="966" spans="1:30" ht="45">
      <c r="A966" s="3" t="s">
        <v>3366</v>
      </c>
      <c r="B966" s="532" t="s">
        <v>933</v>
      </c>
      <c r="C966" s="3"/>
      <c r="D966" s="479" t="s">
        <v>4183</v>
      </c>
      <c r="E966" s="141" t="s">
        <v>5980</v>
      </c>
      <c r="F966" s="496" t="s">
        <v>4184</v>
      </c>
      <c r="G966" s="13" t="s">
        <v>175</v>
      </c>
      <c r="H966" s="13" t="str">
        <f>IFERROR(VLOOKUP(G966, Sheet2!$A:$B, 2, FALSE), A966)</f>
        <v>HOSPITAL AUTHORITY</v>
      </c>
      <c r="I966" s="58" t="s">
        <v>675</v>
      </c>
      <c r="J966" s="19"/>
      <c r="K966" s="19"/>
      <c r="L966" s="93" t="s">
        <v>6544</v>
      </c>
      <c r="M966" s="504" t="s">
        <v>6545</v>
      </c>
      <c r="N966" s="6"/>
      <c r="O966" s="533" t="s">
        <v>6546</v>
      </c>
      <c r="P966" s="6"/>
      <c r="Q966" s="66" t="s">
        <v>2379</v>
      </c>
      <c r="R966" s="482" t="s">
        <v>997</v>
      </c>
      <c r="S966" s="482" t="s">
        <v>997</v>
      </c>
      <c r="T966" s="482" t="s">
        <v>997</v>
      </c>
      <c r="U966" s="482" t="s">
        <v>997</v>
      </c>
      <c r="V966" s="482" t="s">
        <v>997</v>
      </c>
      <c r="W966" s="482" t="s">
        <v>997</v>
      </c>
      <c r="X966" s="482" t="s">
        <v>997</v>
      </c>
      <c r="Y966" s="7" t="s">
        <v>6547</v>
      </c>
      <c r="Z966" t="s">
        <v>4275</v>
      </c>
      <c r="AA966" t="s">
        <v>4275</v>
      </c>
      <c r="AB966" t="s">
        <v>4275</v>
      </c>
      <c r="AC966" t="s">
        <v>2680</v>
      </c>
      <c r="AD966" s="496"/>
    </row>
    <row r="967" spans="1:30" ht="29">
      <c r="A967" s="534" t="s">
        <v>350</v>
      </c>
      <c r="B967" s="535" t="s">
        <v>933</v>
      </c>
      <c r="C967" s="534"/>
      <c r="D967" s="536" t="s">
        <v>7054</v>
      </c>
      <c r="E967" s="141">
        <v>21011885</v>
      </c>
      <c r="F967" s="496" t="s">
        <v>6198</v>
      </c>
      <c r="G967" s="536" t="s">
        <v>7053</v>
      </c>
      <c r="H967" s="13" t="str">
        <f>IFERROR(VLOOKUP(G967, Sheet2!$A:$B, 2, FALSE), A967)</f>
        <v>MAXIM'S CATERERS LTD</v>
      </c>
      <c r="I967" s="537" t="s">
        <v>352</v>
      </c>
      <c r="J967" s="109" t="s">
        <v>6848</v>
      </c>
      <c r="K967" s="109" t="s">
        <v>6752</v>
      </c>
      <c r="L967" s="400" t="s">
        <v>6851</v>
      </c>
      <c r="M967" s="126" t="s">
        <v>6950</v>
      </c>
      <c r="N967" s="538"/>
      <c r="O967" s="539" t="s">
        <v>6074</v>
      </c>
      <c r="P967" s="538"/>
      <c r="Q967" s="540">
        <v>46021</v>
      </c>
      <c r="R967" s="540">
        <v>46385</v>
      </c>
      <c r="S967" s="540">
        <v>46386</v>
      </c>
      <c r="T967" s="141" t="s">
        <v>6555</v>
      </c>
      <c r="U967" s="536" t="s">
        <v>6556</v>
      </c>
      <c r="V967" s="141">
        <v>104587</v>
      </c>
      <c r="W967" s="540" t="s">
        <v>7055</v>
      </c>
      <c r="X967" s="400" t="s">
        <v>7049</v>
      </c>
      <c r="Y967" s="541"/>
      <c r="Z967" t="s">
        <v>4275</v>
      </c>
      <c r="AA967" t="s">
        <v>4275</v>
      </c>
      <c r="AB967" t="s">
        <v>4275</v>
      </c>
      <c r="AC967" t="s">
        <v>2680</v>
      </c>
      <c r="AD967" s="536" t="s">
        <v>7056</v>
      </c>
    </row>
    <row r="968" spans="1:30" ht="29">
      <c r="A968" s="534" t="s">
        <v>350</v>
      </c>
      <c r="B968" s="535" t="s">
        <v>933</v>
      </c>
      <c r="C968" s="534"/>
      <c r="D968" s="536" t="s">
        <v>7054</v>
      </c>
      <c r="E968" s="141">
        <v>21011885</v>
      </c>
      <c r="F968" s="496" t="s">
        <v>6198</v>
      </c>
      <c r="G968" s="536" t="s">
        <v>7053</v>
      </c>
      <c r="H968" s="13" t="str">
        <f>IFERROR(VLOOKUP(G968, Sheet2!$A:$B, 2, FALSE), A968)</f>
        <v>MAXIM'S CATERERS LTD</v>
      </c>
      <c r="I968" s="537" t="s">
        <v>352</v>
      </c>
      <c r="J968" s="109" t="s">
        <v>6848</v>
      </c>
      <c r="K968" s="109" t="s">
        <v>6753</v>
      </c>
      <c r="L968" s="400" t="s">
        <v>6852</v>
      </c>
      <c r="M968" s="502" t="s">
        <v>6951</v>
      </c>
      <c r="N968" s="538"/>
      <c r="O968" s="539" t="s">
        <v>6074</v>
      </c>
      <c r="P968" s="538"/>
      <c r="Q968" s="540">
        <v>46021</v>
      </c>
      <c r="R968" s="540">
        <v>46385</v>
      </c>
      <c r="S968" s="540">
        <v>46386</v>
      </c>
      <c r="T968" s="141" t="s">
        <v>6557</v>
      </c>
      <c r="U968" s="536" t="s">
        <v>6558</v>
      </c>
      <c r="V968" s="141">
        <v>104604</v>
      </c>
      <c r="W968" s="540" t="s">
        <v>7055</v>
      </c>
      <c r="X968" s="400" t="s">
        <v>7049</v>
      </c>
      <c r="Y968" s="541"/>
      <c r="Z968" t="s">
        <v>4275</v>
      </c>
      <c r="AA968" t="s">
        <v>4275</v>
      </c>
      <c r="AB968" t="s">
        <v>4275</v>
      </c>
      <c r="AC968" t="s">
        <v>2680</v>
      </c>
      <c r="AD968" s="536" t="s">
        <v>7056</v>
      </c>
    </row>
    <row r="969" spans="1:30" ht="29">
      <c r="A969" s="534" t="s">
        <v>350</v>
      </c>
      <c r="B969" s="535" t="s">
        <v>933</v>
      </c>
      <c r="C969" s="534"/>
      <c r="D969" s="536" t="s">
        <v>7054</v>
      </c>
      <c r="E969" s="141">
        <v>21011885</v>
      </c>
      <c r="F969" s="496" t="s">
        <v>6198</v>
      </c>
      <c r="G969" s="536" t="s">
        <v>7053</v>
      </c>
      <c r="H969" s="13" t="str">
        <f>IFERROR(VLOOKUP(G969, Sheet2!$A:$B, 2, FALSE), A969)</f>
        <v>MAXIM'S CATERERS LTD</v>
      </c>
      <c r="I969" s="537" t="s">
        <v>352</v>
      </c>
      <c r="J969" s="109" t="s">
        <v>6848</v>
      </c>
      <c r="K969" s="109" t="s">
        <v>6754</v>
      </c>
      <c r="L969" s="400" t="s">
        <v>6853</v>
      </c>
      <c r="M969" s="502" t="s">
        <v>6952</v>
      </c>
      <c r="N969" s="538"/>
      <c r="O969" s="539" t="s">
        <v>6074</v>
      </c>
      <c r="P969" s="538"/>
      <c r="Q969" s="540">
        <v>46021</v>
      </c>
      <c r="R969" s="540">
        <v>46385</v>
      </c>
      <c r="S969" s="540">
        <v>46386</v>
      </c>
      <c r="T969" s="141" t="s">
        <v>6559</v>
      </c>
      <c r="U969" s="536" t="s">
        <v>6560</v>
      </c>
      <c r="V969" s="141">
        <v>104603</v>
      </c>
      <c r="W969" s="540" t="s">
        <v>7055</v>
      </c>
      <c r="X969" s="400" t="s">
        <v>7049</v>
      </c>
      <c r="Y969" s="541"/>
      <c r="Z969" t="s">
        <v>4275</v>
      </c>
      <c r="AA969" t="s">
        <v>4275</v>
      </c>
      <c r="AB969" t="s">
        <v>4275</v>
      </c>
      <c r="AC969" t="s">
        <v>2680</v>
      </c>
      <c r="AD969" s="536" t="s">
        <v>7056</v>
      </c>
    </row>
    <row r="970" spans="1:30" ht="29">
      <c r="A970" s="534" t="s">
        <v>350</v>
      </c>
      <c r="B970" s="535" t="s">
        <v>933</v>
      </c>
      <c r="C970" s="534"/>
      <c r="D970" s="536" t="s">
        <v>7054</v>
      </c>
      <c r="E970" s="141">
        <v>21011885</v>
      </c>
      <c r="F970" s="496" t="s">
        <v>6198</v>
      </c>
      <c r="G970" s="536" t="s">
        <v>7053</v>
      </c>
      <c r="H970" s="13" t="str">
        <f>IFERROR(VLOOKUP(G970, Sheet2!$A:$B, 2, FALSE), A970)</f>
        <v>MAXIM'S CATERERS LTD</v>
      </c>
      <c r="I970" s="537" t="s">
        <v>352</v>
      </c>
      <c r="J970" s="109" t="s">
        <v>6848</v>
      </c>
      <c r="K970" s="109" t="s">
        <v>6755</v>
      </c>
      <c r="L970" s="400" t="s">
        <v>6854</v>
      </c>
      <c r="M970" s="502" t="s">
        <v>6953</v>
      </c>
      <c r="N970" s="538"/>
      <c r="O970" s="539" t="s">
        <v>6074</v>
      </c>
      <c r="P970" s="538"/>
      <c r="Q970" s="540">
        <v>46021</v>
      </c>
      <c r="R970" s="540">
        <v>46385</v>
      </c>
      <c r="S970" s="540">
        <v>46386</v>
      </c>
      <c r="T970" s="141" t="s">
        <v>6561</v>
      </c>
      <c r="U970" s="536" t="s">
        <v>6562</v>
      </c>
      <c r="V970" s="141">
        <v>104602</v>
      </c>
      <c r="W970" s="540" t="s">
        <v>7055</v>
      </c>
      <c r="X970" s="400" t="s">
        <v>7049</v>
      </c>
      <c r="Y970" s="541"/>
      <c r="Z970" t="s">
        <v>4275</v>
      </c>
      <c r="AA970" t="s">
        <v>4275</v>
      </c>
      <c r="AB970" t="s">
        <v>4275</v>
      </c>
      <c r="AC970" t="s">
        <v>2680</v>
      </c>
      <c r="AD970" s="536" t="s">
        <v>7056</v>
      </c>
    </row>
    <row r="971" spans="1:30" ht="29">
      <c r="A971" s="534" t="s">
        <v>350</v>
      </c>
      <c r="B971" s="535" t="s">
        <v>933</v>
      </c>
      <c r="C971" s="534"/>
      <c r="D971" s="536" t="s">
        <v>7054</v>
      </c>
      <c r="E971" s="141">
        <v>21011885</v>
      </c>
      <c r="F971" s="496" t="s">
        <v>6198</v>
      </c>
      <c r="G971" s="536" t="s">
        <v>7053</v>
      </c>
      <c r="H971" s="13" t="str">
        <f>IFERROR(VLOOKUP(G971, Sheet2!$A:$B, 2, FALSE), A971)</f>
        <v>MAXIM'S CATERERS LTD</v>
      </c>
      <c r="I971" s="537" t="s">
        <v>352</v>
      </c>
      <c r="J971" s="109" t="s">
        <v>6848</v>
      </c>
      <c r="K971" s="109" t="s">
        <v>6756</v>
      </c>
      <c r="L971" s="400" t="s">
        <v>6855</v>
      </c>
      <c r="M971" s="126" t="s">
        <v>6954</v>
      </c>
      <c r="N971" s="538"/>
      <c r="O971" s="539" t="s">
        <v>6074</v>
      </c>
      <c r="P971" s="538"/>
      <c r="Q971" s="540">
        <v>46021</v>
      </c>
      <c r="R971" s="540">
        <v>46385</v>
      </c>
      <c r="S971" s="540">
        <v>46386</v>
      </c>
      <c r="T971" s="141" t="s">
        <v>6563</v>
      </c>
      <c r="U971" s="536" t="s">
        <v>6564</v>
      </c>
      <c r="V971" s="141">
        <v>104601</v>
      </c>
      <c r="W971" s="540" t="s">
        <v>7055</v>
      </c>
      <c r="X971" s="400" t="s">
        <v>7049</v>
      </c>
      <c r="Y971" s="541"/>
      <c r="Z971" t="s">
        <v>4275</v>
      </c>
      <c r="AA971" t="s">
        <v>4275</v>
      </c>
      <c r="AB971" t="s">
        <v>4275</v>
      </c>
      <c r="AC971" t="s">
        <v>2680</v>
      </c>
      <c r="AD971" s="536" t="s">
        <v>7056</v>
      </c>
    </row>
    <row r="972" spans="1:30" ht="29">
      <c r="A972" s="534" t="s">
        <v>350</v>
      </c>
      <c r="B972" s="535" t="s">
        <v>933</v>
      </c>
      <c r="C972" s="534"/>
      <c r="D972" s="536" t="s">
        <v>7054</v>
      </c>
      <c r="E972" s="141">
        <v>21011885</v>
      </c>
      <c r="F972" s="496" t="s">
        <v>6198</v>
      </c>
      <c r="G972" s="536" t="s">
        <v>7053</v>
      </c>
      <c r="H972" s="13" t="str">
        <f>IFERROR(VLOOKUP(G972, Sheet2!$A:$B, 2, FALSE), A972)</f>
        <v>MAXIM'S CATERERS LTD</v>
      </c>
      <c r="I972" s="537" t="s">
        <v>352</v>
      </c>
      <c r="J972" s="109" t="s">
        <v>6848</v>
      </c>
      <c r="K972" s="109" t="s">
        <v>6757</v>
      </c>
      <c r="L972" s="400" t="s">
        <v>6856</v>
      </c>
      <c r="M972" s="126" t="s">
        <v>6955</v>
      </c>
      <c r="N972" s="538"/>
      <c r="O972" s="539" t="s">
        <v>6074</v>
      </c>
      <c r="P972" s="538"/>
      <c r="Q972" s="540">
        <v>46021</v>
      </c>
      <c r="R972" s="540">
        <v>46385</v>
      </c>
      <c r="S972" s="540">
        <v>46386</v>
      </c>
      <c r="T972" s="141" t="s">
        <v>6565</v>
      </c>
      <c r="U972" s="536" t="s">
        <v>6566</v>
      </c>
      <c r="V972" s="141">
        <v>104600</v>
      </c>
      <c r="W972" s="540" t="s">
        <v>7055</v>
      </c>
      <c r="X972" s="400" t="s">
        <v>7049</v>
      </c>
      <c r="Y972" s="541"/>
      <c r="Z972" t="s">
        <v>4275</v>
      </c>
      <c r="AA972" t="s">
        <v>4275</v>
      </c>
      <c r="AB972" t="s">
        <v>4275</v>
      </c>
      <c r="AC972" t="s">
        <v>2680</v>
      </c>
      <c r="AD972" s="536" t="s">
        <v>7056</v>
      </c>
    </row>
    <row r="973" spans="1:30" ht="29">
      <c r="A973" s="534" t="s">
        <v>350</v>
      </c>
      <c r="B973" s="535" t="s">
        <v>933</v>
      </c>
      <c r="C973" s="534"/>
      <c r="D973" s="536" t="s">
        <v>7054</v>
      </c>
      <c r="E973" s="141">
        <v>21011885</v>
      </c>
      <c r="F973" s="496" t="s">
        <v>6198</v>
      </c>
      <c r="G973" s="536" t="s">
        <v>7053</v>
      </c>
      <c r="H973" s="13" t="str">
        <f>IFERROR(VLOOKUP(G973, Sheet2!$A:$B, 2, FALSE), A973)</f>
        <v>MAXIM'S CATERERS LTD</v>
      </c>
      <c r="I973" s="537" t="s">
        <v>352</v>
      </c>
      <c r="J973" s="109" t="s">
        <v>6848</v>
      </c>
      <c r="K973" s="109" t="s">
        <v>6758</v>
      </c>
      <c r="L973" s="400" t="s">
        <v>6857</v>
      </c>
      <c r="M973" s="126" t="s">
        <v>6956</v>
      </c>
      <c r="N973" s="538"/>
      <c r="O973" s="539" t="s">
        <v>6074</v>
      </c>
      <c r="P973" s="538"/>
      <c r="Q973" s="540">
        <v>46021</v>
      </c>
      <c r="R973" s="540">
        <v>46385</v>
      </c>
      <c r="S973" s="540">
        <v>46386</v>
      </c>
      <c r="T973" s="141" t="s">
        <v>6567</v>
      </c>
      <c r="U973" s="536" t="s">
        <v>6568</v>
      </c>
      <c r="V973" s="141">
        <v>104599</v>
      </c>
      <c r="W973" s="540" t="s">
        <v>7055</v>
      </c>
      <c r="X973" s="400" t="s">
        <v>7049</v>
      </c>
      <c r="Y973" s="541"/>
      <c r="Z973" t="s">
        <v>4275</v>
      </c>
      <c r="AA973" t="s">
        <v>4275</v>
      </c>
      <c r="AB973" t="s">
        <v>4275</v>
      </c>
      <c r="AC973" t="s">
        <v>2680</v>
      </c>
      <c r="AD973" s="536" t="s">
        <v>7056</v>
      </c>
    </row>
    <row r="974" spans="1:30" ht="29">
      <c r="A974" s="534" t="s">
        <v>350</v>
      </c>
      <c r="B974" s="535" t="s">
        <v>933</v>
      </c>
      <c r="C974" s="534"/>
      <c r="D974" s="536" t="s">
        <v>7054</v>
      </c>
      <c r="E974" s="141">
        <v>21011885</v>
      </c>
      <c r="F974" s="496" t="s">
        <v>6198</v>
      </c>
      <c r="G974" s="536" t="s">
        <v>7053</v>
      </c>
      <c r="H974" s="13" t="str">
        <f>IFERROR(VLOOKUP(G974, Sheet2!$A:$B, 2, FALSE), A974)</f>
        <v>MAXIM'S CATERERS LTD</v>
      </c>
      <c r="I974" s="537" t="s">
        <v>352</v>
      </c>
      <c r="J974" s="109" t="s">
        <v>6848</v>
      </c>
      <c r="K974" s="109" t="s">
        <v>6759</v>
      </c>
      <c r="L974" s="400" t="s">
        <v>6858</v>
      </c>
      <c r="M974" s="502" t="s">
        <v>6957</v>
      </c>
      <c r="N974" s="538"/>
      <c r="O974" s="539" t="s">
        <v>6074</v>
      </c>
      <c r="P974" s="538"/>
      <c r="Q974" s="540">
        <v>46021</v>
      </c>
      <c r="R974" s="540">
        <v>46385</v>
      </c>
      <c r="S974" s="540">
        <v>46386</v>
      </c>
      <c r="T974" s="141" t="s">
        <v>6569</v>
      </c>
      <c r="U974" s="536" t="s">
        <v>6570</v>
      </c>
      <c r="V974" s="141">
        <v>104598</v>
      </c>
      <c r="W974" s="540" t="s">
        <v>7055</v>
      </c>
      <c r="X974" s="400" t="s">
        <v>7049</v>
      </c>
      <c r="Y974" s="541"/>
      <c r="Z974" t="s">
        <v>4275</v>
      </c>
      <c r="AA974" t="s">
        <v>4275</v>
      </c>
      <c r="AB974" t="s">
        <v>4275</v>
      </c>
      <c r="AC974" t="s">
        <v>2680</v>
      </c>
      <c r="AD974" s="536" t="s">
        <v>7056</v>
      </c>
    </row>
    <row r="975" spans="1:30" ht="29">
      <c r="A975" s="534" t="s">
        <v>350</v>
      </c>
      <c r="B975" s="535" t="s">
        <v>933</v>
      </c>
      <c r="C975" s="534"/>
      <c r="D975" s="536" t="s">
        <v>7054</v>
      </c>
      <c r="E975" s="141">
        <v>21011885</v>
      </c>
      <c r="F975" s="496" t="s">
        <v>6198</v>
      </c>
      <c r="G975" s="536" t="s">
        <v>7053</v>
      </c>
      <c r="H975" s="13" t="str">
        <f>IFERROR(VLOOKUP(G975, Sheet2!$A:$B, 2, FALSE), A975)</f>
        <v>MAXIM'S CATERERS LTD</v>
      </c>
      <c r="I975" s="537" t="s">
        <v>352</v>
      </c>
      <c r="J975" s="109" t="s">
        <v>6848</v>
      </c>
      <c r="K975" s="109" t="s">
        <v>6760</v>
      </c>
      <c r="L975" s="400" t="s">
        <v>6859</v>
      </c>
      <c r="M975" s="126" t="s">
        <v>6958</v>
      </c>
      <c r="N975" s="538"/>
      <c r="O975" s="539" t="s">
        <v>6074</v>
      </c>
      <c r="P975" s="538"/>
      <c r="Q975" s="540">
        <v>46021</v>
      </c>
      <c r="R975" s="540">
        <v>46385</v>
      </c>
      <c r="S975" s="540">
        <v>46386</v>
      </c>
      <c r="T975" s="141" t="s">
        <v>6571</v>
      </c>
      <c r="U975" s="536" t="s">
        <v>6572</v>
      </c>
      <c r="V975" s="141">
        <v>104597</v>
      </c>
      <c r="W975" s="540" t="s">
        <v>7055</v>
      </c>
      <c r="X975" s="400" t="s">
        <v>7049</v>
      </c>
      <c r="Y975" s="541"/>
      <c r="Z975" t="s">
        <v>4275</v>
      </c>
      <c r="AA975" t="s">
        <v>4275</v>
      </c>
      <c r="AB975" t="s">
        <v>4275</v>
      </c>
      <c r="AC975" t="s">
        <v>2680</v>
      </c>
      <c r="AD975" s="536" t="s">
        <v>7056</v>
      </c>
    </row>
    <row r="976" spans="1:30" ht="29">
      <c r="A976" s="534" t="s">
        <v>350</v>
      </c>
      <c r="B976" s="535" t="s">
        <v>933</v>
      </c>
      <c r="C976" s="534"/>
      <c r="D976" s="536" t="s">
        <v>7054</v>
      </c>
      <c r="E976" s="141">
        <v>21011885</v>
      </c>
      <c r="F976" s="496" t="s">
        <v>6198</v>
      </c>
      <c r="G976" s="536" t="s">
        <v>7053</v>
      </c>
      <c r="H976" s="13" t="str">
        <f>IFERROR(VLOOKUP(G976, Sheet2!$A:$B, 2, FALSE), A976)</f>
        <v>MAXIM'S CATERERS LTD</v>
      </c>
      <c r="I976" s="537" t="s">
        <v>352</v>
      </c>
      <c r="J976" s="109" t="s">
        <v>6848</v>
      </c>
      <c r="K976" s="109" t="s">
        <v>6761</v>
      </c>
      <c r="L976" s="400" t="s">
        <v>6860</v>
      </c>
      <c r="M976" s="126" t="s">
        <v>6959</v>
      </c>
      <c r="N976" s="538"/>
      <c r="O976" s="539" t="s">
        <v>6074</v>
      </c>
      <c r="P976" s="538"/>
      <c r="Q976" s="540">
        <v>46021</v>
      </c>
      <c r="R976" s="540">
        <v>46385</v>
      </c>
      <c r="S976" s="540">
        <v>46386</v>
      </c>
      <c r="T976" s="141" t="s">
        <v>6573</v>
      </c>
      <c r="U976" s="536" t="s">
        <v>6574</v>
      </c>
      <c r="V976" s="141">
        <v>104596</v>
      </c>
      <c r="W976" s="540" t="s">
        <v>7055</v>
      </c>
      <c r="X976" s="400" t="s">
        <v>7049</v>
      </c>
      <c r="Y976" s="541"/>
      <c r="Z976" t="s">
        <v>4275</v>
      </c>
      <c r="AA976" t="s">
        <v>4275</v>
      </c>
      <c r="AB976" t="s">
        <v>4275</v>
      </c>
      <c r="AC976" t="s">
        <v>2680</v>
      </c>
      <c r="AD976" s="536" t="s">
        <v>7056</v>
      </c>
    </row>
    <row r="977" spans="1:30" ht="29">
      <c r="A977" s="534" t="s">
        <v>350</v>
      </c>
      <c r="B977" s="535" t="s">
        <v>933</v>
      </c>
      <c r="C977" s="534"/>
      <c r="D977" s="536" t="s">
        <v>7054</v>
      </c>
      <c r="E977" s="141">
        <v>21011885</v>
      </c>
      <c r="F977" s="496" t="s">
        <v>6198</v>
      </c>
      <c r="G977" s="536" t="s">
        <v>7053</v>
      </c>
      <c r="H977" s="13" t="str">
        <f>IFERROR(VLOOKUP(G977, Sheet2!$A:$B, 2, FALSE), A977)</f>
        <v>MAXIM'S CATERERS LTD</v>
      </c>
      <c r="I977" s="537" t="s">
        <v>352</v>
      </c>
      <c r="J977" s="109" t="s">
        <v>6848</v>
      </c>
      <c r="K977" s="109" t="s">
        <v>6762</v>
      </c>
      <c r="L977" s="400" t="s">
        <v>6861</v>
      </c>
      <c r="M977" s="126" t="s">
        <v>6960</v>
      </c>
      <c r="N977" s="538"/>
      <c r="O977" s="539" t="s">
        <v>6074</v>
      </c>
      <c r="P977" s="538"/>
      <c r="Q977" s="540">
        <v>46021</v>
      </c>
      <c r="R977" s="540">
        <v>46385</v>
      </c>
      <c r="S977" s="540">
        <v>46386</v>
      </c>
      <c r="T977" s="141" t="s">
        <v>6575</v>
      </c>
      <c r="U977" s="536" t="s">
        <v>6576</v>
      </c>
      <c r="V977" s="141">
        <v>104595</v>
      </c>
      <c r="W977" s="540" t="s">
        <v>7055</v>
      </c>
      <c r="X977" s="400" t="s">
        <v>7049</v>
      </c>
      <c r="Y977" s="541"/>
      <c r="Z977" t="s">
        <v>4275</v>
      </c>
      <c r="AA977" t="s">
        <v>4275</v>
      </c>
      <c r="AB977" t="s">
        <v>4275</v>
      </c>
      <c r="AC977" t="s">
        <v>2680</v>
      </c>
      <c r="AD977" s="536" t="s">
        <v>7056</v>
      </c>
    </row>
    <row r="978" spans="1:30" ht="29">
      <c r="A978" s="534" t="s">
        <v>350</v>
      </c>
      <c r="B978" s="535" t="s">
        <v>933</v>
      </c>
      <c r="C978" s="534"/>
      <c r="D978" s="536" t="s">
        <v>7054</v>
      </c>
      <c r="E978" s="141">
        <v>21011885</v>
      </c>
      <c r="F978" s="496" t="s">
        <v>6198</v>
      </c>
      <c r="G978" s="536" t="s">
        <v>7053</v>
      </c>
      <c r="H978" s="13" t="str">
        <f>IFERROR(VLOOKUP(G978, Sheet2!$A:$B, 2, FALSE), A978)</f>
        <v>MAXIM'S CATERERS LTD</v>
      </c>
      <c r="I978" s="537" t="s">
        <v>352</v>
      </c>
      <c r="J978" s="109" t="s">
        <v>6848</v>
      </c>
      <c r="K978" s="109" t="s">
        <v>6763</v>
      </c>
      <c r="L978" s="400" t="s">
        <v>6862</v>
      </c>
      <c r="M978" s="126" t="s">
        <v>6961</v>
      </c>
      <c r="N978" s="538"/>
      <c r="O978" s="539" t="s">
        <v>6074</v>
      </c>
      <c r="P978" s="538"/>
      <c r="Q978" s="540">
        <v>46021</v>
      </c>
      <c r="R978" s="540">
        <v>46385</v>
      </c>
      <c r="S978" s="540">
        <v>46386</v>
      </c>
      <c r="T978" s="141" t="s">
        <v>6577</v>
      </c>
      <c r="U978" s="536" t="s">
        <v>6578</v>
      </c>
      <c r="V978" s="141">
        <v>104594</v>
      </c>
      <c r="W978" s="540" t="s">
        <v>7055</v>
      </c>
      <c r="X978" s="400" t="s">
        <v>7049</v>
      </c>
      <c r="Y978" s="541"/>
      <c r="Z978" t="s">
        <v>4275</v>
      </c>
      <c r="AA978" t="s">
        <v>4275</v>
      </c>
      <c r="AB978" t="s">
        <v>4275</v>
      </c>
      <c r="AC978" t="s">
        <v>2680</v>
      </c>
      <c r="AD978" s="536" t="s">
        <v>7056</v>
      </c>
    </row>
    <row r="979" spans="1:30" ht="29">
      <c r="A979" s="534" t="s">
        <v>350</v>
      </c>
      <c r="B979" s="535" t="s">
        <v>933</v>
      </c>
      <c r="C979" s="534"/>
      <c r="D979" s="536" t="s">
        <v>7054</v>
      </c>
      <c r="E979" s="141">
        <v>21011885</v>
      </c>
      <c r="F979" s="496" t="s">
        <v>6198</v>
      </c>
      <c r="G979" s="536" t="s">
        <v>7053</v>
      </c>
      <c r="H979" s="13" t="str">
        <f>IFERROR(VLOOKUP(G979, Sheet2!$A:$B, 2, FALSE), A979)</f>
        <v>MAXIM'S CATERERS LTD</v>
      </c>
      <c r="I979" s="537" t="s">
        <v>352</v>
      </c>
      <c r="J979" s="109" t="s">
        <v>6848</v>
      </c>
      <c r="K979" s="109" t="s">
        <v>6764</v>
      </c>
      <c r="L979" s="400" t="s">
        <v>6863</v>
      </c>
      <c r="M979" s="126" t="s">
        <v>6962</v>
      </c>
      <c r="N979" s="538"/>
      <c r="O979" s="539" t="s">
        <v>6074</v>
      </c>
      <c r="P979" s="538"/>
      <c r="Q979" s="540">
        <v>46021</v>
      </c>
      <c r="R979" s="540">
        <v>46385</v>
      </c>
      <c r="S979" s="540">
        <v>46386</v>
      </c>
      <c r="T979" s="141" t="s">
        <v>6579</v>
      </c>
      <c r="U979" s="536" t="s">
        <v>6580</v>
      </c>
      <c r="V979" s="141">
        <v>104593</v>
      </c>
      <c r="W979" s="540" t="s">
        <v>7055</v>
      </c>
      <c r="X979" s="400" t="s">
        <v>7049</v>
      </c>
      <c r="Y979" s="541"/>
      <c r="Z979" t="s">
        <v>4275</v>
      </c>
      <c r="AA979" t="s">
        <v>4275</v>
      </c>
      <c r="AB979" t="s">
        <v>4275</v>
      </c>
      <c r="AC979" t="s">
        <v>2680</v>
      </c>
      <c r="AD979" s="536" t="s">
        <v>7056</v>
      </c>
    </row>
    <row r="980" spans="1:30" ht="29">
      <c r="A980" s="534" t="s">
        <v>350</v>
      </c>
      <c r="B980" s="535" t="s">
        <v>933</v>
      </c>
      <c r="C980" s="534"/>
      <c r="D980" s="536" t="s">
        <v>7054</v>
      </c>
      <c r="E980" s="141">
        <v>21011885</v>
      </c>
      <c r="F980" s="496" t="s">
        <v>6198</v>
      </c>
      <c r="G980" s="536" t="s">
        <v>7053</v>
      </c>
      <c r="H980" s="13" t="str">
        <f>IFERROR(VLOOKUP(G980, Sheet2!$A:$B, 2, FALSE), A980)</f>
        <v>MAXIM'S CATERERS LTD</v>
      </c>
      <c r="I980" s="537" t="s">
        <v>352</v>
      </c>
      <c r="J980" s="109" t="s">
        <v>6848</v>
      </c>
      <c r="K980" s="109" t="s">
        <v>6765</v>
      </c>
      <c r="L980" s="400" t="s">
        <v>6864</v>
      </c>
      <c r="M980" s="126" t="s">
        <v>6963</v>
      </c>
      <c r="N980" s="538"/>
      <c r="O980" s="539" t="s">
        <v>6074</v>
      </c>
      <c r="P980" s="538"/>
      <c r="Q980" s="540">
        <v>46021</v>
      </c>
      <c r="R980" s="540">
        <v>46385</v>
      </c>
      <c r="S980" s="540">
        <v>46386</v>
      </c>
      <c r="T980" s="141" t="s">
        <v>6581</v>
      </c>
      <c r="U980" s="536" t="s">
        <v>6582</v>
      </c>
      <c r="V980" s="141">
        <v>104592</v>
      </c>
      <c r="W980" s="540" t="s">
        <v>7055</v>
      </c>
      <c r="X980" s="400" t="s">
        <v>7049</v>
      </c>
      <c r="Y980" s="541"/>
      <c r="Z980" t="s">
        <v>4275</v>
      </c>
      <c r="AA980" t="s">
        <v>4275</v>
      </c>
      <c r="AB980" t="s">
        <v>4275</v>
      </c>
      <c r="AC980" t="s">
        <v>2680</v>
      </c>
      <c r="AD980" s="536" t="s">
        <v>7056</v>
      </c>
    </row>
    <row r="981" spans="1:30" ht="29">
      <c r="A981" s="534" t="s">
        <v>350</v>
      </c>
      <c r="B981" s="535" t="s">
        <v>933</v>
      </c>
      <c r="C981" s="534"/>
      <c r="D981" s="536" t="s">
        <v>7054</v>
      </c>
      <c r="E981" s="141">
        <v>21011885</v>
      </c>
      <c r="F981" s="496" t="s">
        <v>6198</v>
      </c>
      <c r="G981" s="536" t="s">
        <v>7053</v>
      </c>
      <c r="H981" s="13" t="str">
        <f>IFERROR(VLOOKUP(G981, Sheet2!$A:$B, 2, FALSE), A981)</f>
        <v>MAXIM'S CATERERS LTD</v>
      </c>
      <c r="I981" s="537" t="s">
        <v>352</v>
      </c>
      <c r="J981" s="109" t="s">
        <v>6848</v>
      </c>
      <c r="K981" s="109" t="s">
        <v>6766</v>
      </c>
      <c r="L981" s="400" t="s">
        <v>6865</v>
      </c>
      <c r="M981" s="126" t="s">
        <v>6964</v>
      </c>
      <c r="N981" s="538"/>
      <c r="O981" s="539" t="s">
        <v>6074</v>
      </c>
      <c r="P981" s="538"/>
      <c r="Q981" s="540">
        <v>46021</v>
      </c>
      <c r="R981" s="540">
        <v>46385</v>
      </c>
      <c r="S981" s="540">
        <v>46386</v>
      </c>
      <c r="T981" s="141" t="s">
        <v>6583</v>
      </c>
      <c r="U981" s="536" t="s">
        <v>6584</v>
      </c>
      <c r="V981" s="141">
        <v>104591</v>
      </c>
      <c r="W981" s="540" t="s">
        <v>7055</v>
      </c>
      <c r="X981" s="400" t="s">
        <v>7049</v>
      </c>
      <c r="Y981" s="541"/>
      <c r="Z981" t="s">
        <v>4275</v>
      </c>
      <c r="AA981" t="s">
        <v>4275</v>
      </c>
      <c r="AB981" t="s">
        <v>4275</v>
      </c>
      <c r="AC981" t="s">
        <v>2680</v>
      </c>
      <c r="AD981" s="536" t="s">
        <v>7056</v>
      </c>
    </row>
    <row r="982" spans="1:30" ht="29">
      <c r="A982" s="534" t="s">
        <v>350</v>
      </c>
      <c r="B982" s="535" t="s">
        <v>933</v>
      </c>
      <c r="C982" s="534"/>
      <c r="D982" s="536" t="s">
        <v>7054</v>
      </c>
      <c r="E982" s="141">
        <v>21011885</v>
      </c>
      <c r="F982" s="496" t="s">
        <v>6198</v>
      </c>
      <c r="G982" s="536" t="s">
        <v>7053</v>
      </c>
      <c r="H982" s="13" t="str">
        <f>IFERROR(VLOOKUP(G982, Sheet2!$A:$B, 2, FALSE), A982)</f>
        <v>MAXIM'S CATERERS LTD</v>
      </c>
      <c r="I982" s="537" t="s">
        <v>352</v>
      </c>
      <c r="J982" s="109" t="s">
        <v>6848</v>
      </c>
      <c r="K982" s="109" t="s">
        <v>6767</v>
      </c>
      <c r="L982" s="400" t="s">
        <v>6866</v>
      </c>
      <c r="M982" s="126" t="s">
        <v>6965</v>
      </c>
      <c r="N982" s="538"/>
      <c r="O982" s="539" t="s">
        <v>6074</v>
      </c>
      <c r="P982" s="538"/>
      <c r="Q982" s="540">
        <v>46021</v>
      </c>
      <c r="R982" s="540">
        <v>46385</v>
      </c>
      <c r="S982" s="540">
        <v>46386</v>
      </c>
      <c r="T982" s="141" t="s">
        <v>6585</v>
      </c>
      <c r="U982" s="536" t="s">
        <v>6586</v>
      </c>
      <c r="V982" s="141">
        <v>104590</v>
      </c>
      <c r="W982" s="540" t="s">
        <v>7055</v>
      </c>
      <c r="X982" s="400" t="s">
        <v>7049</v>
      </c>
      <c r="Y982" s="541"/>
      <c r="Z982" t="s">
        <v>4275</v>
      </c>
      <c r="AA982" t="s">
        <v>4275</v>
      </c>
      <c r="AB982" t="s">
        <v>4275</v>
      </c>
      <c r="AC982" t="s">
        <v>2680</v>
      </c>
      <c r="AD982" s="536" t="s">
        <v>7056</v>
      </c>
    </row>
    <row r="983" spans="1:30" ht="29">
      <c r="A983" s="534" t="s">
        <v>350</v>
      </c>
      <c r="B983" s="535" t="s">
        <v>933</v>
      </c>
      <c r="C983" s="534"/>
      <c r="D983" s="536" t="s">
        <v>7054</v>
      </c>
      <c r="E983" s="141">
        <v>21011885</v>
      </c>
      <c r="F983" s="496" t="s">
        <v>6198</v>
      </c>
      <c r="G983" s="536" t="s">
        <v>7053</v>
      </c>
      <c r="H983" s="13" t="str">
        <f>IFERROR(VLOOKUP(G983, Sheet2!$A:$B, 2, FALSE), A983)</f>
        <v>MAXIM'S CATERERS LTD</v>
      </c>
      <c r="I983" s="537" t="s">
        <v>352</v>
      </c>
      <c r="J983" s="109" t="s">
        <v>6848</v>
      </c>
      <c r="K983" s="109" t="s">
        <v>6768</v>
      </c>
      <c r="L983" s="400" t="s">
        <v>6867</v>
      </c>
      <c r="M983" s="126" t="s">
        <v>6966</v>
      </c>
      <c r="N983" s="538"/>
      <c r="O983" s="539" t="s">
        <v>6074</v>
      </c>
      <c r="P983" s="538"/>
      <c r="Q983" s="540">
        <v>46021</v>
      </c>
      <c r="R983" s="540">
        <v>46385</v>
      </c>
      <c r="S983" s="540">
        <v>46386</v>
      </c>
      <c r="T983" s="141" t="s">
        <v>6587</v>
      </c>
      <c r="U983" s="536" t="s">
        <v>6588</v>
      </c>
      <c r="V983" s="141">
        <v>104608</v>
      </c>
      <c r="W983" s="540" t="s">
        <v>7055</v>
      </c>
      <c r="X983" s="400" t="s">
        <v>7049</v>
      </c>
      <c r="Y983" s="541"/>
      <c r="Z983" t="s">
        <v>4275</v>
      </c>
      <c r="AA983" t="s">
        <v>4275</v>
      </c>
      <c r="AB983" t="s">
        <v>4275</v>
      </c>
      <c r="AC983" t="s">
        <v>2680</v>
      </c>
      <c r="AD983" s="536" t="s">
        <v>7056</v>
      </c>
    </row>
    <row r="984" spans="1:30" ht="29">
      <c r="A984" s="534" t="s">
        <v>350</v>
      </c>
      <c r="B984" s="535" t="s">
        <v>933</v>
      </c>
      <c r="C984" s="534"/>
      <c r="D984" s="536" t="s">
        <v>7054</v>
      </c>
      <c r="E984" s="141">
        <v>21011885</v>
      </c>
      <c r="F984" s="496" t="s">
        <v>6198</v>
      </c>
      <c r="G984" s="536" t="s">
        <v>7053</v>
      </c>
      <c r="H984" s="13" t="str">
        <f>IFERROR(VLOOKUP(G984, Sheet2!$A:$B, 2, FALSE), A984)</f>
        <v>MAXIM'S CATERERS LTD</v>
      </c>
      <c r="I984" s="537" t="s">
        <v>352</v>
      </c>
      <c r="J984" s="109" t="s">
        <v>6848</v>
      </c>
      <c r="K984" s="109" t="s">
        <v>6769</v>
      </c>
      <c r="L984" s="400" t="s">
        <v>6868</v>
      </c>
      <c r="M984" s="126" t="s">
        <v>6967</v>
      </c>
      <c r="N984" s="538"/>
      <c r="O984" s="539" t="s">
        <v>6074</v>
      </c>
      <c r="P984" s="538"/>
      <c r="Q984" s="540">
        <v>46021</v>
      </c>
      <c r="R984" s="540">
        <v>46385</v>
      </c>
      <c r="S984" s="540">
        <v>46386</v>
      </c>
      <c r="T984" s="141" t="s">
        <v>6589</v>
      </c>
      <c r="U984" s="536" t="s">
        <v>6590</v>
      </c>
      <c r="V984" s="141">
        <v>104607</v>
      </c>
      <c r="W984" s="540" t="s">
        <v>7055</v>
      </c>
      <c r="X984" s="400" t="s">
        <v>7049</v>
      </c>
      <c r="Y984" s="541"/>
      <c r="Z984" t="s">
        <v>4275</v>
      </c>
      <c r="AA984" t="s">
        <v>4275</v>
      </c>
      <c r="AB984" t="s">
        <v>4275</v>
      </c>
      <c r="AC984" t="s">
        <v>2680</v>
      </c>
      <c r="AD984" s="536" t="s">
        <v>7056</v>
      </c>
    </row>
    <row r="985" spans="1:30" ht="29">
      <c r="A985" s="534" t="s">
        <v>350</v>
      </c>
      <c r="B985" s="535" t="s">
        <v>933</v>
      </c>
      <c r="C985" s="534"/>
      <c r="D985" s="536" t="s">
        <v>7054</v>
      </c>
      <c r="E985" s="141">
        <v>21011885</v>
      </c>
      <c r="F985" s="496" t="s">
        <v>6198</v>
      </c>
      <c r="G985" s="536" t="s">
        <v>7053</v>
      </c>
      <c r="H985" s="13" t="str">
        <f>IFERROR(VLOOKUP(G985, Sheet2!$A:$B, 2, FALSE), A985)</f>
        <v>MAXIM'S CATERERS LTD</v>
      </c>
      <c r="I985" s="537" t="s">
        <v>352</v>
      </c>
      <c r="J985" s="109" t="s">
        <v>6848</v>
      </c>
      <c r="K985" s="109" t="s">
        <v>6770</v>
      </c>
      <c r="L985" s="400" t="s">
        <v>6869</v>
      </c>
      <c r="M985" s="126" t="s">
        <v>6968</v>
      </c>
      <c r="N985" s="538"/>
      <c r="O985" s="539" t="s">
        <v>6074</v>
      </c>
      <c r="P985" s="538"/>
      <c r="Q985" s="540">
        <v>46021</v>
      </c>
      <c r="R985" s="540">
        <v>46385</v>
      </c>
      <c r="S985" s="540">
        <v>46386</v>
      </c>
      <c r="T985" s="141" t="s">
        <v>6591</v>
      </c>
      <c r="U985" s="536" t="s">
        <v>6592</v>
      </c>
      <c r="V985" s="141">
        <v>104606</v>
      </c>
      <c r="W985" s="540" t="s">
        <v>7055</v>
      </c>
      <c r="X985" s="400" t="s">
        <v>7049</v>
      </c>
      <c r="Y985" s="541"/>
      <c r="Z985" t="s">
        <v>4275</v>
      </c>
      <c r="AA985" t="s">
        <v>4275</v>
      </c>
      <c r="AB985" t="s">
        <v>4275</v>
      </c>
      <c r="AC985" t="s">
        <v>2680</v>
      </c>
      <c r="AD985" s="536" t="s">
        <v>7056</v>
      </c>
    </row>
    <row r="986" spans="1:30" ht="29">
      <c r="A986" s="534" t="s">
        <v>350</v>
      </c>
      <c r="B986" s="535" t="s">
        <v>933</v>
      </c>
      <c r="C986" s="534"/>
      <c r="D986" s="536" t="s">
        <v>7054</v>
      </c>
      <c r="E986" s="141">
        <v>21011885</v>
      </c>
      <c r="F986" s="496" t="s">
        <v>6198</v>
      </c>
      <c r="G986" s="536" t="s">
        <v>7053</v>
      </c>
      <c r="H986" s="13" t="str">
        <f>IFERROR(VLOOKUP(G986, Sheet2!$A:$B, 2, FALSE), A986)</f>
        <v>MAXIM'S CATERERS LTD</v>
      </c>
      <c r="I986" s="537" t="s">
        <v>352</v>
      </c>
      <c r="J986" s="109" t="s">
        <v>6848</v>
      </c>
      <c r="K986" s="109" t="s">
        <v>6771</v>
      </c>
      <c r="L986" s="400" t="s">
        <v>6870</v>
      </c>
      <c r="M986" s="126" t="s">
        <v>6969</v>
      </c>
      <c r="N986" s="538"/>
      <c r="O986" s="539" t="s">
        <v>6074</v>
      </c>
      <c r="P986" s="538"/>
      <c r="Q986" s="540">
        <v>46021</v>
      </c>
      <c r="R986" s="540">
        <v>46385</v>
      </c>
      <c r="S986" s="540">
        <v>46386</v>
      </c>
      <c r="T986" s="141" t="s">
        <v>6593</v>
      </c>
      <c r="U986" s="536" t="s">
        <v>6594</v>
      </c>
      <c r="V986" s="141">
        <v>104605</v>
      </c>
      <c r="W986" s="540" t="s">
        <v>7055</v>
      </c>
      <c r="X986" s="400" t="s">
        <v>7049</v>
      </c>
      <c r="Y986" s="541"/>
      <c r="Z986" t="s">
        <v>4275</v>
      </c>
      <c r="AA986" t="s">
        <v>4275</v>
      </c>
      <c r="AB986" t="s">
        <v>4275</v>
      </c>
      <c r="AC986" t="s">
        <v>2680</v>
      </c>
      <c r="AD986" s="536" t="s">
        <v>7056</v>
      </c>
    </row>
    <row r="987" spans="1:30" ht="29">
      <c r="A987" s="534" t="s">
        <v>350</v>
      </c>
      <c r="B987" s="535" t="s">
        <v>933</v>
      </c>
      <c r="C987" s="534"/>
      <c r="D987" s="536" t="s">
        <v>7054</v>
      </c>
      <c r="E987" s="141">
        <v>21011885</v>
      </c>
      <c r="F987" s="496" t="s">
        <v>6198</v>
      </c>
      <c r="G987" s="536" t="s">
        <v>7053</v>
      </c>
      <c r="H987" s="13" t="str">
        <f>IFERROR(VLOOKUP(G987, Sheet2!$A:$B, 2, FALSE), A987)</f>
        <v>MAXIM'S CATERERS LTD</v>
      </c>
      <c r="I987" s="537" t="s">
        <v>352</v>
      </c>
      <c r="J987" s="109" t="s">
        <v>6848</v>
      </c>
      <c r="K987" s="109" t="s">
        <v>6772</v>
      </c>
      <c r="L987" s="400" t="s">
        <v>6871</v>
      </c>
      <c r="M987" s="126" t="s">
        <v>6970</v>
      </c>
      <c r="N987" s="538"/>
      <c r="O987" s="539" t="s">
        <v>6074</v>
      </c>
      <c r="P987" s="538"/>
      <c r="Q987" s="540">
        <v>46021</v>
      </c>
      <c r="R987" s="540">
        <v>46385</v>
      </c>
      <c r="S987" s="540">
        <v>46386</v>
      </c>
      <c r="T987" s="141" t="s">
        <v>6595</v>
      </c>
      <c r="U987" s="536" t="s">
        <v>6596</v>
      </c>
      <c r="V987" s="141">
        <v>104621</v>
      </c>
      <c r="W987" s="540" t="s">
        <v>7055</v>
      </c>
      <c r="X987" s="400" t="s">
        <v>7049</v>
      </c>
      <c r="Y987" s="541"/>
      <c r="Z987" t="s">
        <v>4275</v>
      </c>
      <c r="AA987" t="s">
        <v>4275</v>
      </c>
      <c r="AB987" t="s">
        <v>4275</v>
      </c>
      <c r="AC987" t="s">
        <v>2680</v>
      </c>
      <c r="AD987" s="536" t="s">
        <v>7056</v>
      </c>
    </row>
    <row r="988" spans="1:30" ht="29">
      <c r="A988" s="534" t="s">
        <v>350</v>
      </c>
      <c r="B988" s="535" t="s">
        <v>933</v>
      </c>
      <c r="C988" s="534"/>
      <c r="D988" s="536" t="s">
        <v>7054</v>
      </c>
      <c r="E988" s="141">
        <v>21011885</v>
      </c>
      <c r="F988" s="496" t="s">
        <v>6198</v>
      </c>
      <c r="G988" s="536" t="s">
        <v>7053</v>
      </c>
      <c r="H988" s="13" t="str">
        <f>IFERROR(VLOOKUP(G988, Sheet2!$A:$B, 2, FALSE), A988)</f>
        <v>MAXIM'S CATERERS LTD</v>
      </c>
      <c r="I988" s="537" t="s">
        <v>352</v>
      </c>
      <c r="J988" s="109" t="s">
        <v>6848</v>
      </c>
      <c r="K988" s="109" t="s">
        <v>6773</v>
      </c>
      <c r="L988" s="400" t="s">
        <v>6872</v>
      </c>
      <c r="M988" s="126" t="s">
        <v>6971</v>
      </c>
      <c r="N988" s="538"/>
      <c r="O988" s="539" t="s">
        <v>6074</v>
      </c>
      <c r="P988" s="538"/>
      <c r="Q988" s="540">
        <v>46021</v>
      </c>
      <c r="R988" s="540">
        <v>46385</v>
      </c>
      <c r="S988" s="540">
        <v>46386</v>
      </c>
      <c r="T988" s="141" t="s">
        <v>6597</v>
      </c>
      <c r="U988" s="536" t="s">
        <v>6598</v>
      </c>
      <c r="V988" s="141">
        <v>104620</v>
      </c>
      <c r="W988" s="540" t="s">
        <v>7055</v>
      </c>
      <c r="X988" s="400" t="s">
        <v>7049</v>
      </c>
      <c r="Y988" s="541"/>
      <c r="Z988" t="s">
        <v>4275</v>
      </c>
      <c r="AA988" t="s">
        <v>4275</v>
      </c>
      <c r="AB988" t="s">
        <v>4275</v>
      </c>
      <c r="AC988" t="s">
        <v>2680</v>
      </c>
      <c r="AD988" s="536" t="s">
        <v>7056</v>
      </c>
    </row>
    <row r="989" spans="1:30" ht="29">
      <c r="A989" s="534" t="s">
        <v>350</v>
      </c>
      <c r="B989" s="535" t="s">
        <v>933</v>
      </c>
      <c r="C989" s="534"/>
      <c r="D989" s="536" t="s">
        <v>7054</v>
      </c>
      <c r="E989" s="141">
        <v>21011885</v>
      </c>
      <c r="F989" s="496" t="s">
        <v>6198</v>
      </c>
      <c r="G989" s="536" t="s">
        <v>7053</v>
      </c>
      <c r="H989" s="13" t="str">
        <f>IFERROR(VLOOKUP(G989, Sheet2!$A:$B, 2, FALSE), A989)</f>
        <v>MAXIM'S CATERERS LTD</v>
      </c>
      <c r="I989" s="537" t="s">
        <v>352</v>
      </c>
      <c r="J989" s="109" t="s">
        <v>6848</v>
      </c>
      <c r="K989" s="109" t="s">
        <v>6774</v>
      </c>
      <c r="L989" s="400" t="s">
        <v>6873</v>
      </c>
      <c r="M989" s="126" t="s">
        <v>6972</v>
      </c>
      <c r="N989" s="538"/>
      <c r="O989" s="539" t="s">
        <v>6074</v>
      </c>
      <c r="P989" s="538"/>
      <c r="Q989" s="540">
        <v>46021</v>
      </c>
      <c r="R989" s="540">
        <v>46385</v>
      </c>
      <c r="S989" s="540">
        <v>46386</v>
      </c>
      <c r="T989" s="141" t="s">
        <v>6599</v>
      </c>
      <c r="U989" s="536" t="s">
        <v>6600</v>
      </c>
      <c r="V989" s="141">
        <v>104619</v>
      </c>
      <c r="W989" s="540" t="s">
        <v>7055</v>
      </c>
      <c r="X989" s="400" t="s">
        <v>7049</v>
      </c>
      <c r="Y989" s="541"/>
      <c r="Z989" t="s">
        <v>4275</v>
      </c>
      <c r="AA989" t="s">
        <v>4275</v>
      </c>
      <c r="AB989" t="s">
        <v>4275</v>
      </c>
      <c r="AC989" t="s">
        <v>2680</v>
      </c>
      <c r="AD989" s="536" t="s">
        <v>7056</v>
      </c>
    </row>
    <row r="990" spans="1:30" ht="29">
      <c r="A990" s="534" t="s">
        <v>350</v>
      </c>
      <c r="B990" s="535" t="s">
        <v>933</v>
      </c>
      <c r="C990" s="534"/>
      <c r="D990" s="536" t="s">
        <v>7054</v>
      </c>
      <c r="E990" s="141">
        <v>21011885</v>
      </c>
      <c r="F990" s="496" t="s">
        <v>6198</v>
      </c>
      <c r="G990" s="536" t="s">
        <v>7053</v>
      </c>
      <c r="H990" s="13" t="str">
        <f>IFERROR(VLOOKUP(G990, Sheet2!$A:$B, 2, FALSE), A990)</f>
        <v>MAXIM'S CATERERS LTD</v>
      </c>
      <c r="I990" s="537" t="s">
        <v>352</v>
      </c>
      <c r="J990" s="109" t="s">
        <v>6848</v>
      </c>
      <c r="K990" s="109" t="s">
        <v>6775</v>
      </c>
      <c r="L990" s="400" t="s">
        <v>6874</v>
      </c>
      <c r="M990" s="126" t="s">
        <v>6973</v>
      </c>
      <c r="N990" s="538"/>
      <c r="O990" s="539" t="s">
        <v>6074</v>
      </c>
      <c r="P990" s="538"/>
      <c r="Q990" s="540">
        <v>46021</v>
      </c>
      <c r="R990" s="540">
        <v>46385</v>
      </c>
      <c r="S990" s="540">
        <v>46386</v>
      </c>
      <c r="T990" s="141" t="s">
        <v>6601</v>
      </c>
      <c r="U990" s="536" t="s">
        <v>6602</v>
      </c>
      <c r="V990" s="141">
        <v>104618</v>
      </c>
      <c r="W990" s="540" t="s">
        <v>7055</v>
      </c>
      <c r="X990" s="400" t="s">
        <v>7049</v>
      </c>
      <c r="Y990" s="541"/>
      <c r="Z990" t="s">
        <v>4275</v>
      </c>
      <c r="AA990" t="s">
        <v>4275</v>
      </c>
      <c r="AB990" t="s">
        <v>4275</v>
      </c>
      <c r="AC990" t="s">
        <v>2680</v>
      </c>
      <c r="AD990" s="536" t="s">
        <v>7056</v>
      </c>
    </row>
    <row r="991" spans="1:30" ht="29">
      <c r="A991" s="534" t="s">
        <v>350</v>
      </c>
      <c r="B991" s="535" t="s">
        <v>933</v>
      </c>
      <c r="C991" s="534"/>
      <c r="D991" s="536" t="s">
        <v>7054</v>
      </c>
      <c r="E991" s="141">
        <v>21011885</v>
      </c>
      <c r="F991" s="496" t="s">
        <v>6198</v>
      </c>
      <c r="G991" s="536" t="s">
        <v>7053</v>
      </c>
      <c r="H991" s="13" t="str">
        <f>IFERROR(VLOOKUP(G991, Sheet2!$A:$B, 2, FALSE), A991)</f>
        <v>MAXIM'S CATERERS LTD</v>
      </c>
      <c r="I991" s="537" t="s">
        <v>352</v>
      </c>
      <c r="J991" s="109" t="s">
        <v>6848</v>
      </c>
      <c r="K991" s="109" t="s">
        <v>6776</v>
      </c>
      <c r="L991" s="400" t="s">
        <v>6875</v>
      </c>
      <c r="M991" s="126" t="s">
        <v>6974</v>
      </c>
      <c r="N991" s="538"/>
      <c r="O991" s="539" t="s">
        <v>6074</v>
      </c>
      <c r="P991" s="538"/>
      <c r="Q991" s="540">
        <v>46021</v>
      </c>
      <c r="R991" s="540">
        <v>46385</v>
      </c>
      <c r="S991" s="540">
        <v>46386</v>
      </c>
      <c r="T991" s="141" t="s">
        <v>6603</v>
      </c>
      <c r="U991" s="536" t="s">
        <v>6604</v>
      </c>
      <c r="V991" s="141">
        <v>104617</v>
      </c>
      <c r="W991" s="540" t="s">
        <v>7055</v>
      </c>
      <c r="X991" s="400" t="s">
        <v>7049</v>
      </c>
      <c r="Y991" s="541"/>
      <c r="Z991" t="s">
        <v>4275</v>
      </c>
      <c r="AA991" t="s">
        <v>4275</v>
      </c>
      <c r="AB991" t="s">
        <v>4275</v>
      </c>
      <c r="AC991" t="s">
        <v>2680</v>
      </c>
      <c r="AD991" s="536" t="s">
        <v>7056</v>
      </c>
    </row>
    <row r="992" spans="1:30" ht="29">
      <c r="A992" s="534" t="s">
        <v>350</v>
      </c>
      <c r="B992" s="535" t="s">
        <v>933</v>
      </c>
      <c r="C992" s="534"/>
      <c r="D992" s="536" t="s">
        <v>7054</v>
      </c>
      <c r="E992" s="141">
        <v>21011885</v>
      </c>
      <c r="F992" s="496" t="s">
        <v>6198</v>
      </c>
      <c r="G992" s="536" t="s">
        <v>7053</v>
      </c>
      <c r="H992" s="13" t="str">
        <f>IFERROR(VLOOKUP(G992, Sheet2!$A:$B, 2, FALSE), A992)</f>
        <v>MAXIM'S CATERERS LTD</v>
      </c>
      <c r="I992" s="537" t="s">
        <v>352</v>
      </c>
      <c r="J992" s="109" t="s">
        <v>6848</v>
      </c>
      <c r="K992" s="109" t="s">
        <v>6777</v>
      </c>
      <c r="L992" s="400" t="s">
        <v>6876</v>
      </c>
      <c r="M992" s="126" t="s">
        <v>6975</v>
      </c>
      <c r="N992" s="538"/>
      <c r="O992" s="539" t="s">
        <v>6074</v>
      </c>
      <c r="P992" s="538"/>
      <c r="Q992" s="540">
        <v>46021</v>
      </c>
      <c r="R992" s="540">
        <v>46385</v>
      </c>
      <c r="S992" s="540">
        <v>46386</v>
      </c>
      <c r="T992" s="141" t="s">
        <v>6605</v>
      </c>
      <c r="U992" s="536" t="s">
        <v>6606</v>
      </c>
      <c r="V992" s="141">
        <v>104616</v>
      </c>
      <c r="W992" s="540" t="s">
        <v>7055</v>
      </c>
      <c r="X992" s="400" t="s">
        <v>7049</v>
      </c>
      <c r="Y992" s="541"/>
      <c r="Z992" t="s">
        <v>4275</v>
      </c>
      <c r="AA992" t="s">
        <v>4275</v>
      </c>
      <c r="AB992" t="s">
        <v>4275</v>
      </c>
      <c r="AC992" t="s">
        <v>2680</v>
      </c>
      <c r="AD992" s="536" t="s">
        <v>7056</v>
      </c>
    </row>
    <row r="993" spans="1:30" ht="29">
      <c r="A993" s="534" t="s">
        <v>350</v>
      </c>
      <c r="B993" s="535" t="s">
        <v>933</v>
      </c>
      <c r="C993" s="534"/>
      <c r="D993" s="536" t="s">
        <v>7054</v>
      </c>
      <c r="E993" s="141">
        <v>21011885</v>
      </c>
      <c r="F993" s="496" t="s">
        <v>6198</v>
      </c>
      <c r="G993" s="536" t="s">
        <v>7053</v>
      </c>
      <c r="H993" s="13" t="str">
        <f>IFERROR(VLOOKUP(G993, Sheet2!$A:$B, 2, FALSE), A993)</f>
        <v>MAXIM'S CATERERS LTD</v>
      </c>
      <c r="I993" s="537" t="s">
        <v>352</v>
      </c>
      <c r="J993" s="109" t="s">
        <v>6848</v>
      </c>
      <c r="K993" s="109" t="s">
        <v>6778</v>
      </c>
      <c r="L993" s="400" t="s">
        <v>6877</v>
      </c>
      <c r="M993" s="126" t="s">
        <v>6976</v>
      </c>
      <c r="N993" s="538"/>
      <c r="O993" s="539" t="s">
        <v>6074</v>
      </c>
      <c r="P993" s="538"/>
      <c r="Q993" s="540">
        <v>46021</v>
      </c>
      <c r="R993" s="540">
        <v>46385</v>
      </c>
      <c r="S993" s="540">
        <v>46386</v>
      </c>
      <c r="T993" s="141" t="s">
        <v>6607</v>
      </c>
      <c r="U993" s="536" t="s">
        <v>6608</v>
      </c>
      <c r="V993" s="141">
        <v>104615</v>
      </c>
      <c r="W993" s="540" t="s">
        <v>7055</v>
      </c>
      <c r="X993" s="400" t="s">
        <v>7049</v>
      </c>
      <c r="Y993" s="541"/>
      <c r="Z993" t="s">
        <v>4275</v>
      </c>
      <c r="AA993" t="s">
        <v>4275</v>
      </c>
      <c r="AB993" t="s">
        <v>4275</v>
      </c>
      <c r="AC993" t="s">
        <v>2680</v>
      </c>
      <c r="AD993" s="536" t="s">
        <v>7056</v>
      </c>
    </row>
    <row r="994" spans="1:30" ht="29">
      <c r="A994" s="534" t="s">
        <v>350</v>
      </c>
      <c r="B994" s="535" t="s">
        <v>933</v>
      </c>
      <c r="C994" s="534"/>
      <c r="D994" s="536" t="s">
        <v>7054</v>
      </c>
      <c r="E994" s="141">
        <v>21011885</v>
      </c>
      <c r="F994" s="496" t="s">
        <v>6198</v>
      </c>
      <c r="G994" s="536" t="s">
        <v>7053</v>
      </c>
      <c r="H994" s="13" t="str">
        <f>IFERROR(VLOOKUP(G994, Sheet2!$A:$B, 2, FALSE), A994)</f>
        <v>MAXIM'S CATERERS LTD</v>
      </c>
      <c r="I994" s="537" t="s">
        <v>352</v>
      </c>
      <c r="J994" s="109" t="s">
        <v>6848</v>
      </c>
      <c r="K994" s="109" t="s">
        <v>6779</v>
      </c>
      <c r="L994" s="400" t="s">
        <v>6878</v>
      </c>
      <c r="M994" s="126" t="s">
        <v>6977</v>
      </c>
      <c r="N994" s="538"/>
      <c r="O994" s="539" t="s">
        <v>6074</v>
      </c>
      <c r="P994" s="538"/>
      <c r="Q994" s="540">
        <v>46021</v>
      </c>
      <c r="R994" s="540">
        <v>46385</v>
      </c>
      <c r="S994" s="540">
        <v>46386</v>
      </c>
      <c r="T994" s="141" t="s">
        <v>6609</v>
      </c>
      <c r="U994" s="536" t="s">
        <v>6610</v>
      </c>
      <c r="V994" s="141">
        <v>104614</v>
      </c>
      <c r="W994" s="540" t="s">
        <v>7055</v>
      </c>
      <c r="X994" s="400" t="s">
        <v>7049</v>
      </c>
      <c r="Y994" s="541"/>
      <c r="Z994" t="s">
        <v>4275</v>
      </c>
      <c r="AA994" t="s">
        <v>4275</v>
      </c>
      <c r="AB994" t="s">
        <v>4275</v>
      </c>
      <c r="AC994" t="s">
        <v>2680</v>
      </c>
      <c r="AD994" s="536" t="s">
        <v>7056</v>
      </c>
    </row>
    <row r="995" spans="1:30" ht="29">
      <c r="A995" s="534" t="s">
        <v>350</v>
      </c>
      <c r="B995" s="535" t="s">
        <v>933</v>
      </c>
      <c r="C995" s="534"/>
      <c r="D995" s="536" t="s">
        <v>7054</v>
      </c>
      <c r="E995" s="141">
        <v>21011885</v>
      </c>
      <c r="F995" s="496" t="s">
        <v>6198</v>
      </c>
      <c r="G995" s="536" t="s">
        <v>7053</v>
      </c>
      <c r="H995" s="13" t="str">
        <f>IFERROR(VLOOKUP(G995, Sheet2!$A:$B, 2, FALSE), A995)</f>
        <v>MAXIM'S CATERERS LTD</v>
      </c>
      <c r="I995" s="537" t="s">
        <v>352</v>
      </c>
      <c r="J995" s="109" t="s">
        <v>6848</v>
      </c>
      <c r="K995" s="109" t="s">
        <v>6780</v>
      </c>
      <c r="L995" s="400" t="s">
        <v>6879</v>
      </c>
      <c r="M995" s="126" t="s">
        <v>6978</v>
      </c>
      <c r="N995" s="538"/>
      <c r="O995" s="539" t="s">
        <v>6074</v>
      </c>
      <c r="P995" s="538"/>
      <c r="Q995" s="540">
        <v>46021</v>
      </c>
      <c r="R995" s="540">
        <v>46385</v>
      </c>
      <c r="S995" s="540">
        <v>46386</v>
      </c>
      <c r="T995" s="141" t="s">
        <v>6611</v>
      </c>
      <c r="U995" s="536" t="s">
        <v>6612</v>
      </c>
      <c r="V995" s="141">
        <v>104613</v>
      </c>
      <c r="W995" s="540" t="s">
        <v>7055</v>
      </c>
      <c r="X995" s="400" t="s">
        <v>7049</v>
      </c>
      <c r="Y995" s="541"/>
      <c r="Z995" t="s">
        <v>4275</v>
      </c>
      <c r="AA995" t="s">
        <v>4275</v>
      </c>
      <c r="AB995" t="s">
        <v>4275</v>
      </c>
      <c r="AC995" t="s">
        <v>2680</v>
      </c>
      <c r="AD995" s="536" t="s">
        <v>7056</v>
      </c>
    </row>
    <row r="996" spans="1:30" ht="29">
      <c r="A996" s="534" t="s">
        <v>350</v>
      </c>
      <c r="B996" s="535" t="s">
        <v>933</v>
      </c>
      <c r="C996" s="534"/>
      <c r="D996" s="536" t="s">
        <v>7054</v>
      </c>
      <c r="E996" s="141">
        <v>21011885</v>
      </c>
      <c r="F996" s="496" t="s">
        <v>6198</v>
      </c>
      <c r="G996" s="536" t="s">
        <v>7053</v>
      </c>
      <c r="H996" s="13" t="str">
        <f>IFERROR(VLOOKUP(G996, Sheet2!$A:$B, 2, FALSE), A996)</f>
        <v>MAXIM'S CATERERS LTD</v>
      </c>
      <c r="I996" s="537" t="s">
        <v>352</v>
      </c>
      <c r="J996" s="109" t="s">
        <v>6848</v>
      </c>
      <c r="K996" s="109" t="s">
        <v>6781</v>
      </c>
      <c r="L996" s="400" t="s">
        <v>6880</v>
      </c>
      <c r="M996" s="126" t="s">
        <v>6979</v>
      </c>
      <c r="N996" s="538"/>
      <c r="O996" s="539" t="s">
        <v>6074</v>
      </c>
      <c r="P996" s="538"/>
      <c r="Q996" s="540">
        <v>46021</v>
      </c>
      <c r="R996" s="540">
        <v>46385</v>
      </c>
      <c r="S996" s="540">
        <v>46386</v>
      </c>
      <c r="T996" s="141" t="s">
        <v>6613</v>
      </c>
      <c r="U996" s="536" t="s">
        <v>6614</v>
      </c>
      <c r="V996" s="141">
        <v>104612</v>
      </c>
      <c r="W996" s="540" t="s">
        <v>7055</v>
      </c>
      <c r="X996" s="400" t="s">
        <v>7049</v>
      </c>
      <c r="Y996" s="541"/>
      <c r="Z996" t="s">
        <v>4275</v>
      </c>
      <c r="AA996" t="s">
        <v>4275</v>
      </c>
      <c r="AB996" t="s">
        <v>4275</v>
      </c>
      <c r="AC996" t="s">
        <v>2680</v>
      </c>
      <c r="AD996" s="536" t="s">
        <v>7056</v>
      </c>
    </row>
    <row r="997" spans="1:30" ht="29">
      <c r="A997" s="534" t="s">
        <v>350</v>
      </c>
      <c r="B997" s="535" t="s">
        <v>933</v>
      </c>
      <c r="C997" s="534"/>
      <c r="D997" s="536" t="s">
        <v>7054</v>
      </c>
      <c r="E997" s="141">
        <v>21011885</v>
      </c>
      <c r="F997" s="496" t="s">
        <v>6198</v>
      </c>
      <c r="G997" s="536" t="s">
        <v>7053</v>
      </c>
      <c r="H997" s="13" t="str">
        <f>IFERROR(VLOOKUP(G997, Sheet2!$A:$B, 2, FALSE), A997)</f>
        <v>MAXIM'S CATERERS LTD</v>
      </c>
      <c r="I997" s="537" t="s">
        <v>352</v>
      </c>
      <c r="J997" s="109" t="s">
        <v>6848</v>
      </c>
      <c r="K997" s="109" t="s">
        <v>6782</v>
      </c>
      <c r="L997" s="400" t="s">
        <v>6881</v>
      </c>
      <c r="M997" s="126" t="s">
        <v>6980</v>
      </c>
      <c r="N997" s="538"/>
      <c r="O997" s="539" t="s">
        <v>6074</v>
      </c>
      <c r="P997" s="538"/>
      <c r="Q997" s="540">
        <v>46021</v>
      </c>
      <c r="R997" s="540">
        <v>46385</v>
      </c>
      <c r="S997" s="540">
        <v>46386</v>
      </c>
      <c r="T997" s="141" t="s">
        <v>6615</v>
      </c>
      <c r="U997" s="536" t="s">
        <v>6616</v>
      </c>
      <c r="V997" s="141">
        <v>104611</v>
      </c>
      <c r="W997" s="540" t="s">
        <v>7055</v>
      </c>
      <c r="X997" s="400" t="s">
        <v>7049</v>
      </c>
      <c r="Y997" s="541"/>
      <c r="Z997" t="s">
        <v>4275</v>
      </c>
      <c r="AA997" t="s">
        <v>4275</v>
      </c>
      <c r="AB997" t="s">
        <v>4275</v>
      </c>
      <c r="AC997" t="s">
        <v>2680</v>
      </c>
      <c r="AD997" s="536" t="s">
        <v>7056</v>
      </c>
    </row>
    <row r="998" spans="1:30" ht="29">
      <c r="A998" s="534" t="s">
        <v>350</v>
      </c>
      <c r="B998" s="535" t="s">
        <v>933</v>
      </c>
      <c r="C998" s="534"/>
      <c r="D998" s="536" t="s">
        <v>7054</v>
      </c>
      <c r="E998" s="141">
        <v>21011885</v>
      </c>
      <c r="F998" s="496" t="s">
        <v>6198</v>
      </c>
      <c r="G998" s="536" t="s">
        <v>7053</v>
      </c>
      <c r="H998" s="13" t="str">
        <f>IFERROR(VLOOKUP(G998, Sheet2!$A:$B, 2, FALSE), A998)</f>
        <v>MAXIM'S CATERERS LTD</v>
      </c>
      <c r="I998" s="537" t="s">
        <v>352</v>
      </c>
      <c r="J998" s="109" t="s">
        <v>6848</v>
      </c>
      <c r="K998" s="109" t="s">
        <v>6783</v>
      </c>
      <c r="L998" s="400" t="s">
        <v>6882</v>
      </c>
      <c r="M998" s="126" t="s">
        <v>6981</v>
      </c>
      <c r="N998" s="538"/>
      <c r="O998" s="539" t="s">
        <v>6074</v>
      </c>
      <c r="P998" s="538"/>
      <c r="Q998" s="540">
        <v>46021</v>
      </c>
      <c r="R998" s="540">
        <v>46385</v>
      </c>
      <c r="S998" s="540">
        <v>46386</v>
      </c>
      <c r="T998" s="141" t="s">
        <v>6617</v>
      </c>
      <c r="U998" s="536" t="s">
        <v>6618</v>
      </c>
      <c r="V998" s="141">
        <v>104610</v>
      </c>
      <c r="W998" s="540" t="s">
        <v>7055</v>
      </c>
      <c r="X998" s="400" t="s">
        <v>7049</v>
      </c>
      <c r="Y998" s="541"/>
      <c r="Z998" t="s">
        <v>4275</v>
      </c>
      <c r="AA998" t="s">
        <v>4275</v>
      </c>
      <c r="AB998" t="s">
        <v>4275</v>
      </c>
      <c r="AC998" t="s">
        <v>2680</v>
      </c>
      <c r="AD998" s="536" t="s">
        <v>7056</v>
      </c>
    </row>
    <row r="999" spans="1:30" ht="29">
      <c r="A999" s="534" t="s">
        <v>350</v>
      </c>
      <c r="B999" s="535" t="s">
        <v>933</v>
      </c>
      <c r="C999" s="534"/>
      <c r="D999" s="536" t="s">
        <v>7054</v>
      </c>
      <c r="E999" s="141">
        <v>21011885</v>
      </c>
      <c r="F999" s="496" t="s">
        <v>6198</v>
      </c>
      <c r="G999" s="536" t="s">
        <v>7053</v>
      </c>
      <c r="H999" s="13" t="str">
        <f>IFERROR(VLOOKUP(G999, Sheet2!$A:$B, 2, FALSE), A999)</f>
        <v>MAXIM'S CATERERS LTD</v>
      </c>
      <c r="I999" s="537" t="s">
        <v>352</v>
      </c>
      <c r="J999" s="109" t="s">
        <v>6848</v>
      </c>
      <c r="K999" s="109" t="s">
        <v>6784</v>
      </c>
      <c r="L999" s="400" t="s">
        <v>6883</v>
      </c>
      <c r="M999" s="126" t="s">
        <v>6982</v>
      </c>
      <c r="N999" s="538"/>
      <c r="O999" s="539" t="s">
        <v>6074</v>
      </c>
      <c r="P999" s="538"/>
      <c r="Q999" s="540">
        <v>46021</v>
      </c>
      <c r="R999" s="540">
        <v>46385</v>
      </c>
      <c r="S999" s="540">
        <v>46386</v>
      </c>
      <c r="T999" s="141" t="s">
        <v>6619</v>
      </c>
      <c r="U999" s="536" t="s">
        <v>6620</v>
      </c>
      <c r="V999" s="141">
        <v>104609</v>
      </c>
      <c r="W999" s="540" t="s">
        <v>7055</v>
      </c>
      <c r="X999" s="400" t="s">
        <v>7049</v>
      </c>
      <c r="Y999" s="541"/>
      <c r="Z999" t="s">
        <v>4275</v>
      </c>
      <c r="AA999" t="s">
        <v>4275</v>
      </c>
      <c r="AB999" t="s">
        <v>4275</v>
      </c>
      <c r="AC999" t="s">
        <v>2680</v>
      </c>
      <c r="AD999" s="536" t="s">
        <v>7056</v>
      </c>
    </row>
    <row r="1000" spans="1:30" ht="29">
      <c r="A1000" s="534" t="s">
        <v>350</v>
      </c>
      <c r="B1000" s="535" t="s">
        <v>933</v>
      </c>
      <c r="C1000" s="534"/>
      <c r="D1000" s="536" t="s">
        <v>7054</v>
      </c>
      <c r="E1000" s="141">
        <v>21011885</v>
      </c>
      <c r="F1000" s="496" t="s">
        <v>6198</v>
      </c>
      <c r="G1000" s="536" t="s">
        <v>7053</v>
      </c>
      <c r="H1000" s="13" t="str">
        <f>IFERROR(VLOOKUP(G1000, Sheet2!$A:$B, 2, FALSE), A1000)</f>
        <v>MAXIM'S CATERERS LTD</v>
      </c>
      <c r="I1000" s="537" t="s">
        <v>352</v>
      </c>
      <c r="J1000" s="109" t="s">
        <v>6848</v>
      </c>
      <c r="K1000" s="109" t="s">
        <v>6785</v>
      </c>
      <c r="L1000" s="400" t="s">
        <v>6884</v>
      </c>
      <c r="M1000" s="126" t="s">
        <v>6983</v>
      </c>
      <c r="N1000" s="538"/>
      <c r="O1000" s="539" t="s">
        <v>6074</v>
      </c>
      <c r="P1000" s="538"/>
      <c r="Q1000" s="540">
        <v>46021</v>
      </c>
      <c r="R1000" s="540">
        <v>46385</v>
      </c>
      <c r="S1000" s="540">
        <v>46386</v>
      </c>
      <c r="T1000" s="141" t="s">
        <v>6621</v>
      </c>
      <c r="U1000" s="536" t="s">
        <v>6622</v>
      </c>
      <c r="V1000" s="141">
        <v>104628</v>
      </c>
      <c r="W1000" s="540" t="s">
        <v>7055</v>
      </c>
      <c r="X1000" s="400" t="s">
        <v>7049</v>
      </c>
      <c r="Y1000" s="541"/>
      <c r="Z1000" t="s">
        <v>4275</v>
      </c>
      <c r="AA1000" t="s">
        <v>4275</v>
      </c>
      <c r="AB1000" t="s">
        <v>4275</v>
      </c>
      <c r="AC1000" t="s">
        <v>2680</v>
      </c>
      <c r="AD1000" s="536" t="s">
        <v>7056</v>
      </c>
    </row>
    <row r="1001" spans="1:30" ht="29">
      <c r="A1001" s="534" t="s">
        <v>350</v>
      </c>
      <c r="B1001" s="535" t="s">
        <v>933</v>
      </c>
      <c r="C1001" s="534"/>
      <c r="D1001" s="536" t="s">
        <v>7054</v>
      </c>
      <c r="E1001" s="141">
        <v>21011885</v>
      </c>
      <c r="F1001" s="496" t="s">
        <v>6198</v>
      </c>
      <c r="G1001" s="536" t="s">
        <v>7053</v>
      </c>
      <c r="H1001" s="13" t="str">
        <f>IFERROR(VLOOKUP(G1001, Sheet2!$A:$B, 2, FALSE), A1001)</f>
        <v>MAXIM'S CATERERS LTD</v>
      </c>
      <c r="I1001" s="537" t="s">
        <v>352</v>
      </c>
      <c r="J1001" s="109" t="s">
        <v>6848</v>
      </c>
      <c r="K1001" s="109" t="s">
        <v>6786</v>
      </c>
      <c r="L1001" s="400" t="s">
        <v>6885</v>
      </c>
      <c r="M1001" s="126" t="s">
        <v>6984</v>
      </c>
      <c r="N1001" s="538"/>
      <c r="O1001" s="539" t="s">
        <v>6074</v>
      </c>
      <c r="P1001" s="538"/>
      <c r="Q1001" s="540">
        <v>46021</v>
      </c>
      <c r="R1001" s="540">
        <v>46385</v>
      </c>
      <c r="S1001" s="540">
        <v>46386</v>
      </c>
      <c r="T1001" s="141" t="s">
        <v>6623</v>
      </c>
      <c r="U1001" s="536" t="s">
        <v>6624</v>
      </c>
      <c r="V1001" s="141">
        <v>104627</v>
      </c>
      <c r="W1001" s="540" t="s">
        <v>7055</v>
      </c>
      <c r="X1001" s="400" t="s">
        <v>7049</v>
      </c>
      <c r="Y1001" s="541"/>
      <c r="Z1001" t="s">
        <v>4275</v>
      </c>
      <c r="AA1001" t="s">
        <v>4275</v>
      </c>
      <c r="AB1001" t="s">
        <v>4275</v>
      </c>
      <c r="AC1001" t="s">
        <v>2680</v>
      </c>
      <c r="AD1001" s="536" t="s">
        <v>7056</v>
      </c>
    </row>
    <row r="1002" spans="1:30" ht="29">
      <c r="A1002" s="534" t="s">
        <v>350</v>
      </c>
      <c r="B1002" s="535" t="s">
        <v>933</v>
      </c>
      <c r="C1002" s="534"/>
      <c r="D1002" s="536" t="s">
        <v>7054</v>
      </c>
      <c r="E1002" s="141">
        <v>21011885</v>
      </c>
      <c r="F1002" s="496" t="s">
        <v>6198</v>
      </c>
      <c r="G1002" s="536" t="s">
        <v>7053</v>
      </c>
      <c r="H1002" s="13" t="str">
        <f>IFERROR(VLOOKUP(G1002, Sheet2!$A:$B, 2, FALSE), A1002)</f>
        <v>MAXIM'S CATERERS LTD</v>
      </c>
      <c r="I1002" s="537" t="s">
        <v>352</v>
      </c>
      <c r="J1002" s="109" t="s">
        <v>6848</v>
      </c>
      <c r="K1002" s="109" t="s">
        <v>6787</v>
      </c>
      <c r="L1002" s="400" t="s">
        <v>6886</v>
      </c>
      <c r="M1002" s="126" t="s">
        <v>6985</v>
      </c>
      <c r="N1002" s="538"/>
      <c r="O1002" s="539" t="s">
        <v>6074</v>
      </c>
      <c r="P1002" s="538"/>
      <c r="Q1002" s="540">
        <v>46021</v>
      </c>
      <c r="R1002" s="540">
        <v>46385</v>
      </c>
      <c r="S1002" s="540">
        <v>46386</v>
      </c>
      <c r="T1002" s="141" t="s">
        <v>6625</v>
      </c>
      <c r="U1002" s="536" t="s">
        <v>6626</v>
      </c>
      <c r="V1002" s="141">
        <v>104626</v>
      </c>
      <c r="W1002" s="540" t="s">
        <v>7055</v>
      </c>
      <c r="X1002" s="400" t="s">
        <v>7049</v>
      </c>
      <c r="Y1002" s="541"/>
      <c r="Z1002" t="s">
        <v>4275</v>
      </c>
      <c r="AA1002" t="s">
        <v>4275</v>
      </c>
      <c r="AB1002" t="s">
        <v>4275</v>
      </c>
      <c r="AC1002" t="s">
        <v>2680</v>
      </c>
      <c r="AD1002" s="536" t="s">
        <v>7056</v>
      </c>
    </row>
    <row r="1003" spans="1:30" ht="29">
      <c r="A1003" s="534" t="s">
        <v>350</v>
      </c>
      <c r="B1003" s="535" t="s">
        <v>933</v>
      </c>
      <c r="C1003" s="534"/>
      <c r="D1003" s="536" t="s">
        <v>7054</v>
      </c>
      <c r="E1003" s="141">
        <v>21011885</v>
      </c>
      <c r="F1003" s="496" t="s">
        <v>6198</v>
      </c>
      <c r="G1003" s="536" t="s">
        <v>7053</v>
      </c>
      <c r="H1003" s="13" t="str">
        <f>IFERROR(VLOOKUP(G1003, Sheet2!$A:$B, 2, FALSE), A1003)</f>
        <v>MAXIM'S CATERERS LTD</v>
      </c>
      <c r="I1003" s="537" t="s">
        <v>352</v>
      </c>
      <c r="J1003" s="109" t="s">
        <v>6848</v>
      </c>
      <c r="K1003" s="109" t="s">
        <v>6788</v>
      </c>
      <c r="L1003" s="400" t="s">
        <v>6887</v>
      </c>
      <c r="M1003" s="126" t="s">
        <v>6986</v>
      </c>
      <c r="N1003" s="538"/>
      <c r="O1003" s="539" t="s">
        <v>6074</v>
      </c>
      <c r="P1003" s="538"/>
      <c r="Q1003" s="540">
        <v>46021</v>
      </c>
      <c r="R1003" s="540">
        <v>46385</v>
      </c>
      <c r="S1003" s="540">
        <v>46386</v>
      </c>
      <c r="T1003" s="141" t="s">
        <v>6627</v>
      </c>
      <c r="U1003" s="536" t="s">
        <v>6628</v>
      </c>
      <c r="V1003" s="141">
        <v>104625</v>
      </c>
      <c r="W1003" s="540" t="s">
        <v>7055</v>
      </c>
      <c r="X1003" s="400" t="s">
        <v>7049</v>
      </c>
      <c r="Y1003" s="541"/>
      <c r="Z1003" t="s">
        <v>4275</v>
      </c>
      <c r="AA1003" t="s">
        <v>4275</v>
      </c>
      <c r="AB1003" t="s">
        <v>4275</v>
      </c>
      <c r="AC1003" t="s">
        <v>2680</v>
      </c>
      <c r="AD1003" s="536" t="s">
        <v>7056</v>
      </c>
    </row>
    <row r="1004" spans="1:30" ht="29">
      <c r="A1004" s="534" t="s">
        <v>350</v>
      </c>
      <c r="B1004" s="535" t="s">
        <v>933</v>
      </c>
      <c r="C1004" s="534"/>
      <c r="D1004" s="536" t="s">
        <v>7054</v>
      </c>
      <c r="E1004" s="141">
        <v>21011885</v>
      </c>
      <c r="F1004" s="496" t="s">
        <v>6198</v>
      </c>
      <c r="G1004" s="536" t="s">
        <v>7053</v>
      </c>
      <c r="H1004" s="13" t="str">
        <f>IFERROR(VLOOKUP(G1004, Sheet2!$A:$B, 2, FALSE), A1004)</f>
        <v>MAXIM'S CATERERS LTD</v>
      </c>
      <c r="I1004" s="537" t="s">
        <v>352</v>
      </c>
      <c r="J1004" s="109" t="s">
        <v>6848</v>
      </c>
      <c r="K1004" s="109" t="s">
        <v>6789</v>
      </c>
      <c r="L1004" s="400" t="s">
        <v>6888</v>
      </c>
      <c r="M1004" s="126" t="s">
        <v>6987</v>
      </c>
      <c r="N1004" s="538"/>
      <c r="O1004" s="539" t="s">
        <v>6074</v>
      </c>
      <c r="P1004" s="538"/>
      <c r="Q1004" s="540">
        <v>46021</v>
      </c>
      <c r="R1004" s="540">
        <v>46385</v>
      </c>
      <c r="S1004" s="540">
        <v>46386</v>
      </c>
      <c r="T1004" s="141" t="s">
        <v>6629</v>
      </c>
      <c r="U1004" s="536" t="s">
        <v>6630</v>
      </c>
      <c r="V1004" s="141">
        <v>104624</v>
      </c>
      <c r="W1004" s="540" t="s">
        <v>7055</v>
      </c>
      <c r="X1004" s="400" t="s">
        <v>7049</v>
      </c>
      <c r="Y1004" s="541"/>
      <c r="Z1004" t="s">
        <v>4275</v>
      </c>
      <c r="AA1004" t="s">
        <v>4275</v>
      </c>
      <c r="AB1004" t="s">
        <v>4275</v>
      </c>
      <c r="AC1004" t="s">
        <v>2680</v>
      </c>
      <c r="AD1004" s="536" t="s">
        <v>7056</v>
      </c>
    </row>
    <row r="1005" spans="1:30" ht="29">
      <c r="A1005" s="534" t="s">
        <v>350</v>
      </c>
      <c r="B1005" s="535" t="s">
        <v>933</v>
      </c>
      <c r="C1005" s="534"/>
      <c r="D1005" s="536" t="s">
        <v>7054</v>
      </c>
      <c r="E1005" s="141">
        <v>21011885</v>
      </c>
      <c r="F1005" s="496" t="s">
        <v>6198</v>
      </c>
      <c r="G1005" s="536" t="s">
        <v>7053</v>
      </c>
      <c r="H1005" s="13" t="str">
        <f>IFERROR(VLOOKUP(G1005, Sheet2!$A:$B, 2, FALSE), A1005)</f>
        <v>MAXIM'S CATERERS LTD</v>
      </c>
      <c r="I1005" s="537" t="s">
        <v>352</v>
      </c>
      <c r="J1005" s="109" t="s">
        <v>6848</v>
      </c>
      <c r="K1005" s="109" t="s">
        <v>6790</v>
      </c>
      <c r="L1005" s="400" t="s">
        <v>6889</v>
      </c>
      <c r="M1005" s="126" t="s">
        <v>6988</v>
      </c>
      <c r="N1005" s="538"/>
      <c r="O1005" s="539" t="s">
        <v>6074</v>
      </c>
      <c r="P1005" s="538"/>
      <c r="Q1005" s="540">
        <v>46021</v>
      </c>
      <c r="R1005" s="540">
        <v>46385</v>
      </c>
      <c r="S1005" s="540">
        <v>46386</v>
      </c>
      <c r="T1005" s="141" t="s">
        <v>6631</v>
      </c>
      <c r="U1005" s="536" t="s">
        <v>6632</v>
      </c>
      <c r="V1005" s="141">
        <v>104623</v>
      </c>
      <c r="W1005" s="540" t="s">
        <v>7055</v>
      </c>
      <c r="X1005" s="400" t="s">
        <v>7049</v>
      </c>
      <c r="Y1005" s="541"/>
      <c r="Z1005" t="s">
        <v>4275</v>
      </c>
      <c r="AA1005" t="s">
        <v>4275</v>
      </c>
      <c r="AB1005" t="s">
        <v>4275</v>
      </c>
      <c r="AC1005" t="s">
        <v>2680</v>
      </c>
      <c r="AD1005" s="536" t="s">
        <v>7056</v>
      </c>
    </row>
    <row r="1006" spans="1:30" ht="29">
      <c r="A1006" s="534" t="s">
        <v>350</v>
      </c>
      <c r="B1006" s="535" t="s">
        <v>933</v>
      </c>
      <c r="C1006" s="534"/>
      <c r="D1006" s="536" t="s">
        <v>7054</v>
      </c>
      <c r="E1006" s="141">
        <v>21011885</v>
      </c>
      <c r="F1006" s="496" t="s">
        <v>6198</v>
      </c>
      <c r="G1006" s="536" t="s">
        <v>7053</v>
      </c>
      <c r="H1006" s="13" t="str">
        <f>IFERROR(VLOOKUP(G1006, Sheet2!$A:$B, 2, FALSE), A1006)</f>
        <v>MAXIM'S CATERERS LTD</v>
      </c>
      <c r="I1006" s="537" t="s">
        <v>352</v>
      </c>
      <c r="J1006" s="109" t="s">
        <v>6848</v>
      </c>
      <c r="K1006" s="109" t="s">
        <v>6791</v>
      </c>
      <c r="L1006" s="400" t="s">
        <v>6890</v>
      </c>
      <c r="M1006" s="126" t="s">
        <v>6989</v>
      </c>
      <c r="N1006" s="538"/>
      <c r="O1006" s="539" t="s">
        <v>6074</v>
      </c>
      <c r="P1006" s="538"/>
      <c r="Q1006" s="540">
        <v>46021</v>
      </c>
      <c r="R1006" s="540">
        <v>46385</v>
      </c>
      <c r="S1006" s="540">
        <v>46386</v>
      </c>
      <c r="T1006" s="141" t="s">
        <v>6633</v>
      </c>
      <c r="U1006" s="536" t="s">
        <v>6634</v>
      </c>
      <c r="V1006" s="141">
        <v>104622</v>
      </c>
      <c r="W1006" s="540" t="s">
        <v>7055</v>
      </c>
      <c r="X1006" s="400" t="s">
        <v>7049</v>
      </c>
      <c r="Y1006" s="541"/>
      <c r="Z1006" t="s">
        <v>4275</v>
      </c>
      <c r="AA1006" t="s">
        <v>4275</v>
      </c>
      <c r="AB1006" t="s">
        <v>4275</v>
      </c>
      <c r="AC1006" t="s">
        <v>2680</v>
      </c>
      <c r="AD1006" s="536" t="s">
        <v>7056</v>
      </c>
    </row>
    <row r="1007" spans="1:30" ht="29">
      <c r="A1007" s="534" t="s">
        <v>350</v>
      </c>
      <c r="B1007" s="535" t="s">
        <v>933</v>
      </c>
      <c r="C1007" s="534"/>
      <c r="D1007" s="536" t="s">
        <v>7054</v>
      </c>
      <c r="E1007" s="141">
        <v>21011885</v>
      </c>
      <c r="F1007" s="496" t="s">
        <v>6198</v>
      </c>
      <c r="G1007" s="536" t="s">
        <v>7053</v>
      </c>
      <c r="H1007" s="13" t="str">
        <f>IFERROR(VLOOKUP(G1007, Sheet2!$A:$B, 2, FALSE), A1007)</f>
        <v>MAXIM'S CATERERS LTD</v>
      </c>
      <c r="I1007" s="537" t="s">
        <v>352</v>
      </c>
      <c r="J1007" s="109" t="s">
        <v>6848</v>
      </c>
      <c r="K1007" s="109" t="s">
        <v>6792</v>
      </c>
      <c r="L1007" s="400" t="s">
        <v>6891</v>
      </c>
      <c r="M1007" s="126" t="s">
        <v>6990</v>
      </c>
      <c r="N1007" s="538"/>
      <c r="O1007" s="539" t="s">
        <v>6074</v>
      </c>
      <c r="P1007" s="538"/>
      <c r="Q1007" s="540">
        <v>46021</v>
      </c>
      <c r="R1007" s="540">
        <v>46385</v>
      </c>
      <c r="S1007" s="540">
        <v>46386</v>
      </c>
      <c r="T1007" s="141" t="s">
        <v>6635</v>
      </c>
      <c r="U1007" s="536" t="s">
        <v>6636</v>
      </c>
      <c r="V1007" s="141">
        <v>104640</v>
      </c>
      <c r="W1007" s="540" t="s">
        <v>7055</v>
      </c>
      <c r="X1007" s="400" t="s">
        <v>7049</v>
      </c>
      <c r="Y1007" s="541"/>
      <c r="Z1007" t="s">
        <v>4275</v>
      </c>
      <c r="AA1007" t="s">
        <v>4275</v>
      </c>
      <c r="AB1007" t="s">
        <v>4275</v>
      </c>
      <c r="AC1007" t="s">
        <v>2680</v>
      </c>
      <c r="AD1007" s="536" t="s">
        <v>7056</v>
      </c>
    </row>
    <row r="1008" spans="1:30" ht="29">
      <c r="A1008" s="534" t="s">
        <v>350</v>
      </c>
      <c r="B1008" s="535" t="s">
        <v>933</v>
      </c>
      <c r="C1008" s="534"/>
      <c r="D1008" s="536" t="s">
        <v>7054</v>
      </c>
      <c r="E1008" s="141">
        <v>21011885</v>
      </c>
      <c r="F1008" s="496" t="s">
        <v>6198</v>
      </c>
      <c r="G1008" s="536" t="s">
        <v>7053</v>
      </c>
      <c r="H1008" s="13" t="str">
        <f>IFERROR(VLOOKUP(G1008, Sheet2!$A:$B, 2, FALSE), A1008)</f>
        <v>MAXIM'S CATERERS LTD</v>
      </c>
      <c r="I1008" s="537" t="s">
        <v>352</v>
      </c>
      <c r="J1008" s="109" t="s">
        <v>6848</v>
      </c>
      <c r="K1008" s="109" t="s">
        <v>6793</v>
      </c>
      <c r="L1008" s="400" t="s">
        <v>6892</v>
      </c>
      <c r="M1008" s="126" t="s">
        <v>6991</v>
      </c>
      <c r="N1008" s="538"/>
      <c r="O1008" s="539" t="s">
        <v>6074</v>
      </c>
      <c r="P1008" s="538"/>
      <c r="Q1008" s="540">
        <v>46021</v>
      </c>
      <c r="R1008" s="540">
        <v>46385</v>
      </c>
      <c r="S1008" s="540">
        <v>46386</v>
      </c>
      <c r="T1008" s="141" t="s">
        <v>6637</v>
      </c>
      <c r="U1008" s="536" t="s">
        <v>6638</v>
      </c>
      <c r="V1008" s="141">
        <v>104639</v>
      </c>
      <c r="W1008" s="540" t="s">
        <v>7055</v>
      </c>
      <c r="X1008" s="400" t="s">
        <v>7049</v>
      </c>
      <c r="Y1008" s="541"/>
      <c r="Z1008" t="s">
        <v>4275</v>
      </c>
      <c r="AA1008" t="s">
        <v>4275</v>
      </c>
      <c r="AB1008" t="s">
        <v>4275</v>
      </c>
      <c r="AC1008" t="s">
        <v>2680</v>
      </c>
      <c r="AD1008" s="536" t="s">
        <v>7056</v>
      </c>
    </row>
    <row r="1009" spans="1:30" ht="29">
      <c r="A1009" s="534" t="s">
        <v>350</v>
      </c>
      <c r="B1009" s="535" t="s">
        <v>933</v>
      </c>
      <c r="C1009" s="534"/>
      <c r="D1009" s="536" t="s">
        <v>7054</v>
      </c>
      <c r="E1009" s="141">
        <v>21011885</v>
      </c>
      <c r="F1009" s="496" t="s">
        <v>6198</v>
      </c>
      <c r="G1009" s="536" t="s">
        <v>7053</v>
      </c>
      <c r="H1009" s="13" t="str">
        <f>IFERROR(VLOOKUP(G1009, Sheet2!$A:$B, 2, FALSE), A1009)</f>
        <v>MAXIM'S CATERERS LTD</v>
      </c>
      <c r="I1009" s="537" t="s">
        <v>352</v>
      </c>
      <c r="J1009" s="109" t="s">
        <v>6848</v>
      </c>
      <c r="K1009" s="109" t="s">
        <v>6794</v>
      </c>
      <c r="L1009" s="400" t="s">
        <v>6893</v>
      </c>
      <c r="M1009" s="126" t="s">
        <v>6992</v>
      </c>
      <c r="N1009" s="538"/>
      <c r="O1009" s="539" t="s">
        <v>6074</v>
      </c>
      <c r="P1009" s="538"/>
      <c r="Q1009" s="540">
        <v>46021</v>
      </c>
      <c r="R1009" s="540">
        <v>46385</v>
      </c>
      <c r="S1009" s="540">
        <v>46386</v>
      </c>
      <c r="T1009" s="141" t="s">
        <v>6639</v>
      </c>
      <c r="U1009" s="536" t="s">
        <v>6640</v>
      </c>
      <c r="V1009" s="141">
        <v>104638</v>
      </c>
      <c r="W1009" s="540" t="s">
        <v>7055</v>
      </c>
      <c r="X1009" s="400" t="s">
        <v>7049</v>
      </c>
      <c r="Y1009" s="541"/>
      <c r="Z1009" t="s">
        <v>4275</v>
      </c>
      <c r="AA1009" t="s">
        <v>4275</v>
      </c>
      <c r="AB1009" t="s">
        <v>4275</v>
      </c>
      <c r="AC1009" t="s">
        <v>2680</v>
      </c>
      <c r="AD1009" s="536" t="s">
        <v>7056</v>
      </c>
    </row>
    <row r="1010" spans="1:30" ht="29">
      <c r="A1010" s="534" t="s">
        <v>350</v>
      </c>
      <c r="B1010" s="535" t="s">
        <v>933</v>
      </c>
      <c r="C1010" s="534"/>
      <c r="D1010" s="536" t="s">
        <v>7054</v>
      </c>
      <c r="E1010" s="141">
        <v>21011885</v>
      </c>
      <c r="F1010" s="496" t="s">
        <v>6198</v>
      </c>
      <c r="G1010" s="536" t="s">
        <v>7053</v>
      </c>
      <c r="H1010" s="13" t="str">
        <f>IFERROR(VLOOKUP(G1010, Sheet2!$A:$B, 2, FALSE), A1010)</f>
        <v>MAXIM'S CATERERS LTD</v>
      </c>
      <c r="I1010" s="537" t="s">
        <v>352</v>
      </c>
      <c r="J1010" s="109" t="s">
        <v>6848</v>
      </c>
      <c r="K1010" s="109" t="s">
        <v>6795</v>
      </c>
      <c r="L1010" s="400" t="s">
        <v>6894</v>
      </c>
      <c r="M1010" s="126" t="s">
        <v>6993</v>
      </c>
      <c r="N1010" s="538"/>
      <c r="O1010" s="539" t="s">
        <v>6074</v>
      </c>
      <c r="P1010" s="538"/>
      <c r="Q1010" s="540">
        <v>46021</v>
      </c>
      <c r="R1010" s="540">
        <v>46385</v>
      </c>
      <c r="S1010" s="540">
        <v>46386</v>
      </c>
      <c r="T1010" s="141" t="s">
        <v>6641</v>
      </c>
      <c r="U1010" s="536" t="s">
        <v>6642</v>
      </c>
      <c r="V1010" s="141">
        <v>104637</v>
      </c>
      <c r="W1010" s="540" t="s">
        <v>7055</v>
      </c>
      <c r="X1010" s="400" t="s">
        <v>7049</v>
      </c>
      <c r="Y1010" s="541"/>
      <c r="Z1010" t="s">
        <v>4275</v>
      </c>
      <c r="AA1010" t="s">
        <v>4275</v>
      </c>
      <c r="AB1010" t="s">
        <v>4275</v>
      </c>
      <c r="AC1010" t="s">
        <v>2680</v>
      </c>
      <c r="AD1010" s="536" t="s">
        <v>7056</v>
      </c>
    </row>
    <row r="1011" spans="1:30" ht="29">
      <c r="A1011" s="534" t="s">
        <v>350</v>
      </c>
      <c r="B1011" s="535" t="s">
        <v>933</v>
      </c>
      <c r="C1011" s="534"/>
      <c r="D1011" s="536" t="s">
        <v>7054</v>
      </c>
      <c r="E1011" s="141">
        <v>21011885</v>
      </c>
      <c r="F1011" s="496" t="s">
        <v>6198</v>
      </c>
      <c r="G1011" s="536" t="s">
        <v>7053</v>
      </c>
      <c r="H1011" s="13" t="str">
        <f>IFERROR(VLOOKUP(G1011, Sheet2!$A:$B, 2, FALSE), A1011)</f>
        <v>MAXIM'S CATERERS LTD</v>
      </c>
      <c r="I1011" s="537" t="s">
        <v>352</v>
      </c>
      <c r="J1011" s="109" t="s">
        <v>6848</v>
      </c>
      <c r="K1011" s="109" t="s">
        <v>6796</v>
      </c>
      <c r="L1011" s="400" t="s">
        <v>6895</v>
      </c>
      <c r="M1011" s="126" t="s">
        <v>6994</v>
      </c>
      <c r="N1011" s="538"/>
      <c r="O1011" s="539" t="s">
        <v>6074</v>
      </c>
      <c r="P1011" s="538"/>
      <c r="Q1011" s="540">
        <v>46021</v>
      </c>
      <c r="R1011" s="540">
        <v>46385</v>
      </c>
      <c r="S1011" s="540">
        <v>46386</v>
      </c>
      <c r="T1011" s="141" t="s">
        <v>6643</v>
      </c>
      <c r="U1011" s="536" t="s">
        <v>6644</v>
      </c>
      <c r="V1011" s="141">
        <v>104636</v>
      </c>
      <c r="W1011" s="540" t="s">
        <v>7055</v>
      </c>
      <c r="X1011" s="400" t="s">
        <v>7049</v>
      </c>
      <c r="Y1011" s="541"/>
      <c r="Z1011" t="s">
        <v>4275</v>
      </c>
      <c r="AA1011" t="s">
        <v>4275</v>
      </c>
      <c r="AB1011" t="s">
        <v>4275</v>
      </c>
      <c r="AC1011" t="s">
        <v>2680</v>
      </c>
      <c r="AD1011" s="536" t="s">
        <v>7056</v>
      </c>
    </row>
    <row r="1012" spans="1:30" ht="29">
      <c r="A1012" s="534" t="s">
        <v>350</v>
      </c>
      <c r="B1012" s="535" t="s">
        <v>933</v>
      </c>
      <c r="C1012" s="534"/>
      <c r="D1012" s="536" t="s">
        <v>7054</v>
      </c>
      <c r="E1012" s="141">
        <v>21011885</v>
      </c>
      <c r="F1012" s="496" t="s">
        <v>6198</v>
      </c>
      <c r="G1012" s="536" t="s">
        <v>7053</v>
      </c>
      <c r="H1012" s="13" t="str">
        <f>IFERROR(VLOOKUP(G1012, Sheet2!$A:$B, 2, FALSE), A1012)</f>
        <v>MAXIM'S CATERERS LTD</v>
      </c>
      <c r="I1012" s="537" t="s">
        <v>352</v>
      </c>
      <c r="J1012" s="109" t="s">
        <v>6848</v>
      </c>
      <c r="K1012" s="109" t="s">
        <v>6797</v>
      </c>
      <c r="L1012" s="400" t="s">
        <v>6896</v>
      </c>
      <c r="M1012" s="126" t="s">
        <v>6995</v>
      </c>
      <c r="N1012" s="538"/>
      <c r="O1012" s="539" t="s">
        <v>6074</v>
      </c>
      <c r="P1012" s="538"/>
      <c r="Q1012" s="540">
        <v>46021</v>
      </c>
      <c r="R1012" s="540">
        <v>46385</v>
      </c>
      <c r="S1012" s="540">
        <v>46386</v>
      </c>
      <c r="T1012" s="141" t="s">
        <v>6645</v>
      </c>
      <c r="U1012" s="536" t="s">
        <v>6646</v>
      </c>
      <c r="V1012" s="141">
        <v>104635</v>
      </c>
      <c r="W1012" s="540" t="s">
        <v>7055</v>
      </c>
      <c r="X1012" s="400" t="s">
        <v>7049</v>
      </c>
      <c r="Y1012" s="541"/>
      <c r="Z1012" t="s">
        <v>4275</v>
      </c>
      <c r="AA1012" t="s">
        <v>4275</v>
      </c>
      <c r="AB1012" t="s">
        <v>4275</v>
      </c>
      <c r="AC1012" t="s">
        <v>2680</v>
      </c>
      <c r="AD1012" s="536" t="s">
        <v>7056</v>
      </c>
    </row>
    <row r="1013" spans="1:30" ht="29">
      <c r="A1013" s="534" t="s">
        <v>350</v>
      </c>
      <c r="B1013" s="535" t="s">
        <v>933</v>
      </c>
      <c r="C1013" s="534"/>
      <c r="D1013" s="536" t="s">
        <v>7054</v>
      </c>
      <c r="E1013" s="141">
        <v>21011885</v>
      </c>
      <c r="F1013" s="496" t="s">
        <v>6198</v>
      </c>
      <c r="G1013" s="536" t="s">
        <v>7053</v>
      </c>
      <c r="H1013" s="13" t="str">
        <f>IFERROR(VLOOKUP(G1013, Sheet2!$A:$B, 2, FALSE), A1013)</f>
        <v>MAXIM'S CATERERS LTD</v>
      </c>
      <c r="I1013" s="537" t="s">
        <v>352</v>
      </c>
      <c r="J1013" s="109" t="s">
        <v>6848</v>
      </c>
      <c r="K1013" s="109" t="s">
        <v>6798</v>
      </c>
      <c r="L1013" s="400" t="s">
        <v>6897</v>
      </c>
      <c r="M1013" s="126" t="s">
        <v>6996</v>
      </c>
      <c r="N1013" s="538"/>
      <c r="O1013" s="539" t="s">
        <v>6074</v>
      </c>
      <c r="P1013" s="538"/>
      <c r="Q1013" s="540">
        <v>46021</v>
      </c>
      <c r="R1013" s="540">
        <v>46385</v>
      </c>
      <c r="S1013" s="540">
        <v>46386</v>
      </c>
      <c r="T1013" s="141" t="s">
        <v>6647</v>
      </c>
      <c r="U1013" s="536" t="s">
        <v>6648</v>
      </c>
      <c r="V1013" s="141">
        <v>104634</v>
      </c>
      <c r="W1013" s="540" t="s">
        <v>7055</v>
      </c>
      <c r="X1013" s="400" t="s">
        <v>7049</v>
      </c>
      <c r="Y1013" s="541"/>
      <c r="Z1013" t="s">
        <v>4275</v>
      </c>
      <c r="AA1013" t="s">
        <v>4275</v>
      </c>
      <c r="AB1013" t="s">
        <v>4275</v>
      </c>
      <c r="AC1013" t="s">
        <v>2680</v>
      </c>
      <c r="AD1013" s="536" t="s">
        <v>7056</v>
      </c>
    </row>
    <row r="1014" spans="1:30" ht="29">
      <c r="A1014" s="534" t="s">
        <v>350</v>
      </c>
      <c r="B1014" s="535" t="s">
        <v>933</v>
      </c>
      <c r="C1014" s="534"/>
      <c r="D1014" s="536" t="s">
        <v>7054</v>
      </c>
      <c r="E1014" s="141">
        <v>21011885</v>
      </c>
      <c r="F1014" s="496" t="s">
        <v>6198</v>
      </c>
      <c r="G1014" s="536" t="s">
        <v>7053</v>
      </c>
      <c r="H1014" s="13" t="str">
        <f>IFERROR(VLOOKUP(G1014, Sheet2!$A:$B, 2, FALSE), A1014)</f>
        <v>MAXIM'S CATERERS LTD</v>
      </c>
      <c r="I1014" s="537" t="s">
        <v>352</v>
      </c>
      <c r="J1014" s="109" t="s">
        <v>6848</v>
      </c>
      <c r="K1014" s="109" t="s">
        <v>6799</v>
      </c>
      <c r="L1014" s="400" t="s">
        <v>6898</v>
      </c>
      <c r="M1014" s="126" t="s">
        <v>6997</v>
      </c>
      <c r="N1014" s="538"/>
      <c r="O1014" s="539" t="s">
        <v>6074</v>
      </c>
      <c r="P1014" s="538"/>
      <c r="Q1014" s="540">
        <v>46021</v>
      </c>
      <c r="R1014" s="540">
        <v>46385</v>
      </c>
      <c r="S1014" s="540">
        <v>46386</v>
      </c>
      <c r="T1014" s="141" t="s">
        <v>6649</v>
      </c>
      <c r="U1014" s="536" t="s">
        <v>6650</v>
      </c>
      <c r="V1014" s="141">
        <v>104633</v>
      </c>
      <c r="W1014" s="540" t="s">
        <v>7055</v>
      </c>
      <c r="X1014" s="400" t="s">
        <v>7049</v>
      </c>
      <c r="Y1014" s="541"/>
      <c r="Z1014" t="s">
        <v>4275</v>
      </c>
      <c r="AA1014" t="s">
        <v>4275</v>
      </c>
      <c r="AB1014" t="s">
        <v>4275</v>
      </c>
      <c r="AC1014" t="s">
        <v>2680</v>
      </c>
      <c r="AD1014" s="536" t="s">
        <v>7056</v>
      </c>
    </row>
    <row r="1015" spans="1:30" ht="29">
      <c r="A1015" s="534" t="s">
        <v>350</v>
      </c>
      <c r="B1015" s="535" t="s">
        <v>933</v>
      </c>
      <c r="C1015" s="534"/>
      <c r="D1015" s="536" t="s">
        <v>7054</v>
      </c>
      <c r="E1015" s="141">
        <v>21011885</v>
      </c>
      <c r="F1015" s="496" t="s">
        <v>6198</v>
      </c>
      <c r="G1015" s="536" t="s">
        <v>7053</v>
      </c>
      <c r="H1015" s="13" t="str">
        <f>IFERROR(VLOOKUP(G1015, Sheet2!$A:$B, 2, FALSE), A1015)</f>
        <v>MAXIM'S CATERERS LTD</v>
      </c>
      <c r="I1015" s="537" t="s">
        <v>352</v>
      </c>
      <c r="J1015" s="109" t="s">
        <v>6848</v>
      </c>
      <c r="K1015" s="109" t="s">
        <v>6800</v>
      </c>
      <c r="L1015" s="400" t="s">
        <v>6899</v>
      </c>
      <c r="M1015" s="126" t="s">
        <v>6998</v>
      </c>
      <c r="N1015" s="538"/>
      <c r="O1015" s="539" t="s">
        <v>6074</v>
      </c>
      <c r="P1015" s="538"/>
      <c r="Q1015" s="540">
        <v>46021</v>
      </c>
      <c r="R1015" s="540">
        <v>46385</v>
      </c>
      <c r="S1015" s="540">
        <v>46386</v>
      </c>
      <c r="T1015" s="141" t="s">
        <v>6651</v>
      </c>
      <c r="U1015" s="536" t="s">
        <v>6652</v>
      </c>
      <c r="V1015" s="141">
        <v>104632</v>
      </c>
      <c r="W1015" s="540" t="s">
        <v>7055</v>
      </c>
      <c r="X1015" s="400" t="s">
        <v>7049</v>
      </c>
      <c r="Y1015" s="541"/>
      <c r="Z1015" t="s">
        <v>4275</v>
      </c>
      <c r="AA1015" t="s">
        <v>4275</v>
      </c>
      <c r="AB1015" t="s">
        <v>4275</v>
      </c>
      <c r="AC1015" t="s">
        <v>2680</v>
      </c>
      <c r="AD1015" s="536" t="s">
        <v>7056</v>
      </c>
    </row>
    <row r="1016" spans="1:30" ht="29">
      <c r="A1016" s="534" t="s">
        <v>350</v>
      </c>
      <c r="B1016" s="535" t="s">
        <v>933</v>
      </c>
      <c r="C1016" s="534"/>
      <c r="D1016" s="536" t="s">
        <v>7054</v>
      </c>
      <c r="E1016" s="141">
        <v>21011885</v>
      </c>
      <c r="F1016" s="496" t="s">
        <v>6198</v>
      </c>
      <c r="G1016" s="536" t="s">
        <v>7053</v>
      </c>
      <c r="H1016" s="13" t="str">
        <f>IFERROR(VLOOKUP(G1016, Sheet2!$A:$B, 2, FALSE), A1016)</f>
        <v>MAXIM'S CATERERS LTD</v>
      </c>
      <c r="I1016" s="537" t="s">
        <v>352</v>
      </c>
      <c r="J1016" s="109" t="s">
        <v>6848</v>
      </c>
      <c r="K1016" s="109" t="s">
        <v>6801</v>
      </c>
      <c r="L1016" s="400" t="s">
        <v>6900</v>
      </c>
      <c r="M1016" s="126" t="s">
        <v>6999</v>
      </c>
      <c r="N1016" s="538"/>
      <c r="O1016" s="539" t="s">
        <v>6074</v>
      </c>
      <c r="P1016" s="538"/>
      <c r="Q1016" s="540">
        <v>46021</v>
      </c>
      <c r="R1016" s="540">
        <v>46385</v>
      </c>
      <c r="S1016" s="540">
        <v>46386</v>
      </c>
      <c r="T1016" s="141" t="s">
        <v>6653</v>
      </c>
      <c r="U1016" s="536" t="s">
        <v>6654</v>
      </c>
      <c r="V1016" s="141">
        <v>104631</v>
      </c>
      <c r="W1016" s="540" t="s">
        <v>7055</v>
      </c>
      <c r="X1016" s="400" t="s">
        <v>7049</v>
      </c>
      <c r="Y1016" s="541"/>
      <c r="Z1016" t="s">
        <v>4275</v>
      </c>
      <c r="AA1016" t="s">
        <v>4275</v>
      </c>
      <c r="AB1016" t="s">
        <v>4275</v>
      </c>
      <c r="AC1016" t="s">
        <v>2680</v>
      </c>
      <c r="AD1016" s="536" t="s">
        <v>7056</v>
      </c>
    </row>
    <row r="1017" spans="1:30" ht="29">
      <c r="A1017" s="534" t="s">
        <v>350</v>
      </c>
      <c r="B1017" s="535" t="s">
        <v>933</v>
      </c>
      <c r="C1017" s="534"/>
      <c r="D1017" s="536" t="s">
        <v>7054</v>
      </c>
      <c r="E1017" s="141">
        <v>21011885</v>
      </c>
      <c r="F1017" s="496" t="s">
        <v>6198</v>
      </c>
      <c r="G1017" s="536" t="s">
        <v>7053</v>
      </c>
      <c r="H1017" s="13" t="str">
        <f>IFERROR(VLOOKUP(G1017, Sheet2!$A:$B, 2, FALSE), A1017)</f>
        <v>MAXIM'S CATERERS LTD</v>
      </c>
      <c r="I1017" s="537" t="s">
        <v>352</v>
      </c>
      <c r="J1017" s="109" t="s">
        <v>6848</v>
      </c>
      <c r="K1017" s="109" t="s">
        <v>6802</v>
      </c>
      <c r="L1017" s="400" t="s">
        <v>6901</v>
      </c>
      <c r="M1017" s="126" t="s">
        <v>7000</v>
      </c>
      <c r="N1017" s="538"/>
      <c r="O1017" s="539" t="s">
        <v>6074</v>
      </c>
      <c r="P1017" s="538"/>
      <c r="Q1017" s="540">
        <v>46021</v>
      </c>
      <c r="R1017" s="540">
        <v>46385</v>
      </c>
      <c r="S1017" s="540">
        <v>46386</v>
      </c>
      <c r="T1017" s="141" t="s">
        <v>6655</v>
      </c>
      <c r="U1017" s="536" t="s">
        <v>6656</v>
      </c>
      <c r="V1017" s="141">
        <v>104630</v>
      </c>
      <c r="W1017" s="540" t="s">
        <v>7055</v>
      </c>
      <c r="X1017" s="400" t="s">
        <v>7049</v>
      </c>
      <c r="Y1017" s="541"/>
      <c r="Z1017" t="s">
        <v>4275</v>
      </c>
      <c r="AA1017" t="s">
        <v>4275</v>
      </c>
      <c r="AB1017" t="s">
        <v>4275</v>
      </c>
      <c r="AC1017" t="s">
        <v>2680</v>
      </c>
      <c r="AD1017" s="536" t="s">
        <v>7056</v>
      </c>
    </row>
    <row r="1018" spans="1:30" ht="29">
      <c r="A1018" s="534" t="s">
        <v>350</v>
      </c>
      <c r="B1018" s="535" t="s">
        <v>933</v>
      </c>
      <c r="C1018" s="534"/>
      <c r="D1018" s="536" t="s">
        <v>7054</v>
      </c>
      <c r="E1018" s="141">
        <v>21011885</v>
      </c>
      <c r="F1018" s="496" t="s">
        <v>6198</v>
      </c>
      <c r="G1018" s="536" t="s">
        <v>7053</v>
      </c>
      <c r="H1018" s="13" t="str">
        <f>IFERROR(VLOOKUP(G1018, Sheet2!$A:$B, 2, FALSE), A1018)</f>
        <v>MAXIM'S CATERERS LTD</v>
      </c>
      <c r="I1018" s="537" t="s">
        <v>352</v>
      </c>
      <c r="J1018" s="109" t="s">
        <v>6848</v>
      </c>
      <c r="K1018" s="109" t="s">
        <v>6803</v>
      </c>
      <c r="L1018" s="400" t="s">
        <v>6902</v>
      </c>
      <c r="M1018" s="126" t="s">
        <v>7001</v>
      </c>
      <c r="N1018" s="538"/>
      <c r="O1018" s="539" t="s">
        <v>6074</v>
      </c>
      <c r="P1018" s="538"/>
      <c r="Q1018" s="540">
        <v>46021</v>
      </c>
      <c r="R1018" s="540">
        <v>46385</v>
      </c>
      <c r="S1018" s="540">
        <v>46386</v>
      </c>
      <c r="T1018" s="141" t="s">
        <v>6657</v>
      </c>
      <c r="U1018" s="536" t="s">
        <v>6658</v>
      </c>
      <c r="V1018" s="141">
        <v>104629</v>
      </c>
      <c r="W1018" s="540" t="s">
        <v>7055</v>
      </c>
      <c r="X1018" s="400" t="s">
        <v>7049</v>
      </c>
      <c r="Y1018" s="541"/>
      <c r="Z1018" t="s">
        <v>4275</v>
      </c>
      <c r="AA1018" t="s">
        <v>4275</v>
      </c>
      <c r="AB1018" t="s">
        <v>4275</v>
      </c>
      <c r="AC1018" t="s">
        <v>2680</v>
      </c>
      <c r="AD1018" s="536" t="s">
        <v>7056</v>
      </c>
    </row>
    <row r="1019" spans="1:30" ht="29">
      <c r="A1019" s="534" t="s">
        <v>350</v>
      </c>
      <c r="B1019" s="535" t="s">
        <v>933</v>
      </c>
      <c r="C1019" s="534"/>
      <c r="D1019" s="536" t="s">
        <v>7054</v>
      </c>
      <c r="E1019" s="141">
        <v>21011885</v>
      </c>
      <c r="F1019" s="496" t="s">
        <v>6198</v>
      </c>
      <c r="G1019" s="536" t="s">
        <v>7053</v>
      </c>
      <c r="H1019" s="13" t="str">
        <f>IFERROR(VLOOKUP(G1019, Sheet2!$A:$B, 2, FALSE), A1019)</f>
        <v>MAXIM'S CATERERS LTD</v>
      </c>
      <c r="I1019" s="537" t="s">
        <v>352</v>
      </c>
      <c r="J1019" s="109" t="s">
        <v>6848</v>
      </c>
      <c r="K1019" s="109" t="s">
        <v>6804</v>
      </c>
      <c r="L1019" s="400" t="s">
        <v>6903</v>
      </c>
      <c r="M1019" s="126" t="s">
        <v>7002</v>
      </c>
      <c r="N1019" s="538"/>
      <c r="O1019" s="539" t="s">
        <v>6074</v>
      </c>
      <c r="P1019" s="538"/>
      <c r="Q1019" s="540">
        <v>46021</v>
      </c>
      <c r="R1019" s="540">
        <v>46385</v>
      </c>
      <c r="S1019" s="540">
        <v>46386</v>
      </c>
      <c r="T1019" s="141" t="s">
        <v>6659</v>
      </c>
      <c r="U1019" s="536" t="s">
        <v>6660</v>
      </c>
      <c r="V1019" s="141">
        <v>104648</v>
      </c>
      <c r="W1019" s="540" t="s">
        <v>7055</v>
      </c>
      <c r="X1019" s="400" t="s">
        <v>7049</v>
      </c>
      <c r="Y1019" s="541"/>
      <c r="Z1019" t="s">
        <v>4275</v>
      </c>
      <c r="AA1019" t="s">
        <v>4275</v>
      </c>
      <c r="AB1019" t="s">
        <v>4275</v>
      </c>
      <c r="AC1019" t="s">
        <v>2680</v>
      </c>
      <c r="AD1019" s="536" t="s">
        <v>7056</v>
      </c>
    </row>
    <row r="1020" spans="1:30" ht="29">
      <c r="A1020" s="534" t="s">
        <v>350</v>
      </c>
      <c r="B1020" s="535" t="s">
        <v>933</v>
      </c>
      <c r="C1020" s="534"/>
      <c r="D1020" s="536" t="s">
        <v>7054</v>
      </c>
      <c r="E1020" s="141">
        <v>21011885</v>
      </c>
      <c r="F1020" s="496" t="s">
        <v>6198</v>
      </c>
      <c r="G1020" s="536" t="s">
        <v>7053</v>
      </c>
      <c r="H1020" s="13" t="str">
        <f>IFERROR(VLOOKUP(G1020, Sheet2!$A:$B, 2, FALSE), A1020)</f>
        <v>MAXIM'S CATERERS LTD</v>
      </c>
      <c r="I1020" s="537" t="s">
        <v>352</v>
      </c>
      <c r="J1020" s="109" t="s">
        <v>6848</v>
      </c>
      <c r="K1020" s="109" t="s">
        <v>6805</v>
      </c>
      <c r="L1020" s="400" t="s">
        <v>6904</v>
      </c>
      <c r="M1020" s="126" t="s">
        <v>7003</v>
      </c>
      <c r="N1020" s="538"/>
      <c r="O1020" s="539" t="s">
        <v>6074</v>
      </c>
      <c r="P1020" s="538"/>
      <c r="Q1020" s="540">
        <v>46021</v>
      </c>
      <c r="R1020" s="540">
        <v>46385</v>
      </c>
      <c r="S1020" s="540">
        <v>46386</v>
      </c>
      <c r="T1020" s="141" t="s">
        <v>6661</v>
      </c>
      <c r="U1020" s="536" t="s">
        <v>6662</v>
      </c>
      <c r="V1020" s="141">
        <v>104647</v>
      </c>
      <c r="W1020" s="540" t="s">
        <v>7055</v>
      </c>
      <c r="X1020" s="400" t="s">
        <v>7049</v>
      </c>
      <c r="Y1020" s="541"/>
      <c r="Z1020" t="s">
        <v>4275</v>
      </c>
      <c r="AA1020" t="s">
        <v>4275</v>
      </c>
      <c r="AB1020" t="s">
        <v>4275</v>
      </c>
      <c r="AC1020" t="s">
        <v>2680</v>
      </c>
      <c r="AD1020" s="536" t="s">
        <v>7056</v>
      </c>
    </row>
    <row r="1021" spans="1:30" ht="29">
      <c r="A1021" s="534" t="s">
        <v>350</v>
      </c>
      <c r="B1021" s="535" t="s">
        <v>933</v>
      </c>
      <c r="C1021" s="534"/>
      <c r="D1021" s="536" t="s">
        <v>7054</v>
      </c>
      <c r="E1021" s="141">
        <v>21011885</v>
      </c>
      <c r="F1021" s="496" t="s">
        <v>6198</v>
      </c>
      <c r="G1021" s="536" t="s">
        <v>7053</v>
      </c>
      <c r="H1021" s="13" t="str">
        <f>IFERROR(VLOOKUP(G1021, Sheet2!$A:$B, 2, FALSE), A1021)</f>
        <v>MAXIM'S CATERERS LTD</v>
      </c>
      <c r="I1021" s="537" t="s">
        <v>352</v>
      </c>
      <c r="J1021" s="109" t="s">
        <v>6848</v>
      </c>
      <c r="K1021" s="109" t="s">
        <v>6806</v>
      </c>
      <c r="L1021" s="400" t="s">
        <v>6905</v>
      </c>
      <c r="M1021" s="126" t="s">
        <v>7004</v>
      </c>
      <c r="N1021" s="538"/>
      <c r="O1021" s="539" t="s">
        <v>6074</v>
      </c>
      <c r="P1021" s="538"/>
      <c r="Q1021" s="540">
        <v>46021</v>
      </c>
      <c r="R1021" s="540">
        <v>46385</v>
      </c>
      <c r="S1021" s="540">
        <v>46386</v>
      </c>
      <c r="T1021" s="141" t="s">
        <v>6663</v>
      </c>
      <c r="U1021" s="536" t="s">
        <v>6664</v>
      </c>
      <c r="V1021" s="141">
        <v>104646</v>
      </c>
      <c r="W1021" s="540" t="s">
        <v>7055</v>
      </c>
      <c r="X1021" s="400" t="s">
        <v>7049</v>
      </c>
      <c r="Y1021" s="541"/>
      <c r="Z1021" t="s">
        <v>4275</v>
      </c>
      <c r="AA1021" t="s">
        <v>4275</v>
      </c>
      <c r="AB1021" t="s">
        <v>4275</v>
      </c>
      <c r="AC1021" t="s">
        <v>2680</v>
      </c>
      <c r="AD1021" s="536" t="s">
        <v>7056</v>
      </c>
    </row>
    <row r="1022" spans="1:30" ht="29">
      <c r="A1022" s="534" t="s">
        <v>350</v>
      </c>
      <c r="B1022" s="535" t="s">
        <v>933</v>
      </c>
      <c r="C1022" s="534"/>
      <c r="D1022" s="536" t="s">
        <v>7054</v>
      </c>
      <c r="E1022" s="141">
        <v>21011885</v>
      </c>
      <c r="F1022" s="496" t="s">
        <v>6198</v>
      </c>
      <c r="G1022" s="536" t="s">
        <v>7053</v>
      </c>
      <c r="H1022" s="13" t="str">
        <f>IFERROR(VLOOKUP(G1022, Sheet2!$A:$B, 2, FALSE), A1022)</f>
        <v>MAXIM'S CATERERS LTD</v>
      </c>
      <c r="I1022" s="537" t="s">
        <v>352</v>
      </c>
      <c r="J1022" s="109" t="s">
        <v>6848</v>
      </c>
      <c r="K1022" s="109" t="s">
        <v>6807</v>
      </c>
      <c r="L1022" s="400" t="s">
        <v>6906</v>
      </c>
      <c r="M1022" s="126" t="s">
        <v>7005</v>
      </c>
      <c r="N1022" s="538"/>
      <c r="O1022" s="539" t="s">
        <v>6074</v>
      </c>
      <c r="P1022" s="538"/>
      <c r="Q1022" s="540">
        <v>46021</v>
      </c>
      <c r="R1022" s="540">
        <v>46385</v>
      </c>
      <c r="S1022" s="540">
        <v>46386</v>
      </c>
      <c r="T1022" s="141" t="s">
        <v>6665</v>
      </c>
      <c r="U1022" s="536" t="s">
        <v>6666</v>
      </c>
      <c r="V1022" s="141">
        <v>104645</v>
      </c>
      <c r="W1022" s="540" t="s">
        <v>7055</v>
      </c>
      <c r="X1022" s="400" t="s">
        <v>7049</v>
      </c>
      <c r="Y1022" s="541"/>
      <c r="Z1022" t="s">
        <v>4275</v>
      </c>
      <c r="AA1022" t="s">
        <v>4275</v>
      </c>
      <c r="AB1022" t="s">
        <v>4275</v>
      </c>
      <c r="AC1022" t="s">
        <v>2680</v>
      </c>
      <c r="AD1022" s="536" t="s">
        <v>7056</v>
      </c>
    </row>
    <row r="1023" spans="1:30" ht="29">
      <c r="A1023" s="534" t="s">
        <v>350</v>
      </c>
      <c r="B1023" s="535" t="s">
        <v>933</v>
      </c>
      <c r="C1023" s="534"/>
      <c r="D1023" s="536" t="s">
        <v>7054</v>
      </c>
      <c r="E1023" s="141">
        <v>21011885</v>
      </c>
      <c r="F1023" s="496" t="s">
        <v>6198</v>
      </c>
      <c r="G1023" s="536" t="s">
        <v>7053</v>
      </c>
      <c r="H1023" s="13" t="str">
        <f>IFERROR(VLOOKUP(G1023, Sheet2!$A:$B, 2, FALSE), A1023)</f>
        <v>MAXIM'S CATERERS LTD</v>
      </c>
      <c r="I1023" s="537" t="s">
        <v>352</v>
      </c>
      <c r="J1023" s="109" t="s">
        <v>6848</v>
      </c>
      <c r="K1023" s="109" t="s">
        <v>6808</v>
      </c>
      <c r="L1023" s="400" t="s">
        <v>6907</v>
      </c>
      <c r="M1023" s="126" t="s">
        <v>7006</v>
      </c>
      <c r="N1023" s="538"/>
      <c r="O1023" s="539" t="s">
        <v>6074</v>
      </c>
      <c r="P1023" s="538"/>
      <c r="Q1023" s="540">
        <v>46021</v>
      </c>
      <c r="R1023" s="540">
        <v>46385</v>
      </c>
      <c r="S1023" s="540">
        <v>46386</v>
      </c>
      <c r="T1023" s="141" t="s">
        <v>6667</v>
      </c>
      <c r="U1023" s="536" t="s">
        <v>6668</v>
      </c>
      <c r="V1023" s="141">
        <v>104644</v>
      </c>
      <c r="W1023" s="540" t="s">
        <v>7055</v>
      </c>
      <c r="X1023" s="400" t="s">
        <v>7049</v>
      </c>
      <c r="Y1023" s="541"/>
      <c r="Z1023" t="s">
        <v>4275</v>
      </c>
      <c r="AA1023" t="s">
        <v>4275</v>
      </c>
      <c r="AB1023" t="s">
        <v>4275</v>
      </c>
      <c r="AC1023" t="s">
        <v>2680</v>
      </c>
      <c r="AD1023" s="536" t="s">
        <v>7056</v>
      </c>
    </row>
    <row r="1024" spans="1:30" ht="29">
      <c r="A1024" s="534" t="s">
        <v>350</v>
      </c>
      <c r="B1024" s="535" t="s">
        <v>933</v>
      </c>
      <c r="C1024" s="534"/>
      <c r="D1024" s="536" t="s">
        <v>7054</v>
      </c>
      <c r="E1024" s="141">
        <v>21011885</v>
      </c>
      <c r="F1024" s="496" t="s">
        <v>6198</v>
      </c>
      <c r="G1024" s="536" t="s">
        <v>7053</v>
      </c>
      <c r="H1024" s="13" t="str">
        <f>IFERROR(VLOOKUP(G1024, Sheet2!$A:$B, 2, FALSE), A1024)</f>
        <v>MAXIM'S CATERERS LTD</v>
      </c>
      <c r="I1024" s="537" t="s">
        <v>352</v>
      </c>
      <c r="J1024" s="109" t="s">
        <v>6848</v>
      </c>
      <c r="K1024" s="109" t="s">
        <v>6809</v>
      </c>
      <c r="L1024" s="400" t="s">
        <v>6908</v>
      </c>
      <c r="M1024" s="126" t="s">
        <v>7007</v>
      </c>
      <c r="N1024" s="538"/>
      <c r="O1024" s="539" t="s">
        <v>6074</v>
      </c>
      <c r="P1024" s="538"/>
      <c r="Q1024" s="540">
        <v>46021</v>
      </c>
      <c r="R1024" s="540">
        <v>46385</v>
      </c>
      <c r="S1024" s="540">
        <v>46386</v>
      </c>
      <c r="T1024" s="141" t="s">
        <v>6669</v>
      </c>
      <c r="U1024" s="536" t="s">
        <v>6670</v>
      </c>
      <c r="V1024" s="141">
        <v>104643</v>
      </c>
      <c r="W1024" s="540" t="s">
        <v>7055</v>
      </c>
      <c r="X1024" s="400" t="s">
        <v>7049</v>
      </c>
      <c r="Y1024" s="541"/>
      <c r="Z1024" t="s">
        <v>4275</v>
      </c>
      <c r="AA1024" t="s">
        <v>4275</v>
      </c>
      <c r="AB1024" t="s">
        <v>4275</v>
      </c>
      <c r="AC1024" t="s">
        <v>2680</v>
      </c>
      <c r="AD1024" s="536" t="s">
        <v>7056</v>
      </c>
    </row>
    <row r="1025" spans="1:30" ht="29">
      <c r="A1025" s="534" t="s">
        <v>350</v>
      </c>
      <c r="B1025" s="535" t="s">
        <v>933</v>
      </c>
      <c r="C1025" s="534"/>
      <c r="D1025" s="536" t="s">
        <v>7054</v>
      </c>
      <c r="E1025" s="141">
        <v>21011885</v>
      </c>
      <c r="F1025" s="496" t="s">
        <v>6198</v>
      </c>
      <c r="G1025" s="536" t="s">
        <v>7053</v>
      </c>
      <c r="H1025" s="13" t="str">
        <f>IFERROR(VLOOKUP(G1025, Sheet2!$A:$B, 2, FALSE), A1025)</f>
        <v>MAXIM'S CATERERS LTD</v>
      </c>
      <c r="I1025" s="537" t="s">
        <v>352</v>
      </c>
      <c r="J1025" s="109" t="s">
        <v>6848</v>
      </c>
      <c r="K1025" s="109" t="s">
        <v>6810</v>
      </c>
      <c r="L1025" s="400" t="s">
        <v>6909</v>
      </c>
      <c r="M1025" s="126" t="s">
        <v>7008</v>
      </c>
      <c r="N1025" s="538"/>
      <c r="O1025" s="539" t="s">
        <v>6074</v>
      </c>
      <c r="P1025" s="538"/>
      <c r="Q1025" s="540">
        <v>46021</v>
      </c>
      <c r="R1025" s="540">
        <v>46385</v>
      </c>
      <c r="S1025" s="540">
        <v>46386</v>
      </c>
      <c r="T1025" s="141" t="s">
        <v>6671</v>
      </c>
      <c r="U1025" s="536" t="s">
        <v>6672</v>
      </c>
      <c r="V1025" s="141">
        <v>104642</v>
      </c>
      <c r="W1025" s="540" t="s">
        <v>7055</v>
      </c>
      <c r="X1025" s="400" t="s">
        <v>7049</v>
      </c>
      <c r="Y1025" s="541"/>
      <c r="Z1025" t="s">
        <v>4275</v>
      </c>
      <c r="AA1025" t="s">
        <v>4275</v>
      </c>
      <c r="AB1025" t="s">
        <v>4275</v>
      </c>
      <c r="AC1025" t="s">
        <v>2680</v>
      </c>
      <c r="AD1025" s="536" t="s">
        <v>7056</v>
      </c>
    </row>
    <row r="1026" spans="1:30" ht="29">
      <c r="A1026" s="534" t="s">
        <v>350</v>
      </c>
      <c r="B1026" s="535" t="s">
        <v>933</v>
      </c>
      <c r="C1026" s="534"/>
      <c r="D1026" s="536" t="s">
        <v>7054</v>
      </c>
      <c r="E1026" s="141">
        <v>21011885</v>
      </c>
      <c r="F1026" s="496" t="s">
        <v>6198</v>
      </c>
      <c r="G1026" s="536" t="s">
        <v>7053</v>
      </c>
      <c r="H1026" s="13" t="str">
        <f>IFERROR(VLOOKUP(G1026, Sheet2!$A:$B, 2, FALSE), A1026)</f>
        <v>MAXIM'S CATERERS LTD</v>
      </c>
      <c r="I1026" s="537" t="s">
        <v>352</v>
      </c>
      <c r="J1026" s="109" t="s">
        <v>6848</v>
      </c>
      <c r="K1026" s="109" t="s">
        <v>6811</v>
      </c>
      <c r="L1026" s="400" t="s">
        <v>6910</v>
      </c>
      <c r="M1026" s="126" t="s">
        <v>7009</v>
      </c>
      <c r="N1026" s="538"/>
      <c r="O1026" s="539" t="s">
        <v>6074</v>
      </c>
      <c r="P1026" s="538"/>
      <c r="Q1026" s="540">
        <v>46021</v>
      </c>
      <c r="R1026" s="540">
        <v>46385</v>
      </c>
      <c r="S1026" s="540">
        <v>46386</v>
      </c>
      <c r="T1026" s="141" t="s">
        <v>6673</v>
      </c>
      <c r="U1026" s="536" t="s">
        <v>6674</v>
      </c>
      <c r="V1026" s="141">
        <v>104641</v>
      </c>
      <c r="W1026" s="540" t="s">
        <v>7055</v>
      </c>
      <c r="X1026" s="400" t="s">
        <v>7049</v>
      </c>
      <c r="Y1026" s="541"/>
      <c r="Z1026" t="s">
        <v>4275</v>
      </c>
      <c r="AA1026" t="s">
        <v>4275</v>
      </c>
      <c r="AB1026" t="s">
        <v>4275</v>
      </c>
      <c r="AC1026" t="s">
        <v>2680</v>
      </c>
      <c r="AD1026" s="536" t="s">
        <v>7056</v>
      </c>
    </row>
    <row r="1027" spans="1:30" ht="29">
      <c r="A1027" s="534" t="s">
        <v>350</v>
      </c>
      <c r="B1027" s="535" t="s">
        <v>933</v>
      </c>
      <c r="C1027" s="534"/>
      <c r="D1027" s="536" t="s">
        <v>7054</v>
      </c>
      <c r="E1027" s="141">
        <v>21011885</v>
      </c>
      <c r="F1027" s="496" t="s">
        <v>6198</v>
      </c>
      <c r="G1027" s="536" t="s">
        <v>7053</v>
      </c>
      <c r="H1027" s="13" t="str">
        <f>IFERROR(VLOOKUP(G1027, Sheet2!$A:$B, 2, FALSE), A1027)</f>
        <v>MAXIM'S CATERERS LTD</v>
      </c>
      <c r="I1027" s="537" t="s">
        <v>352</v>
      </c>
      <c r="J1027" s="109" t="s">
        <v>6848</v>
      </c>
      <c r="K1027" s="109" t="s">
        <v>6812</v>
      </c>
      <c r="L1027" s="400" t="s">
        <v>6911</v>
      </c>
      <c r="M1027" s="126" t="s">
        <v>7010</v>
      </c>
      <c r="N1027" s="538"/>
      <c r="O1027" s="539" t="s">
        <v>6074</v>
      </c>
      <c r="P1027" s="538"/>
      <c r="Q1027" s="540">
        <v>46021</v>
      </c>
      <c r="R1027" s="540">
        <v>46385</v>
      </c>
      <c r="S1027" s="540">
        <v>46386</v>
      </c>
      <c r="T1027" s="141" t="s">
        <v>6675</v>
      </c>
      <c r="U1027" s="536" t="s">
        <v>6676</v>
      </c>
      <c r="V1027" s="141">
        <v>104652</v>
      </c>
      <c r="W1027" s="540" t="s">
        <v>7055</v>
      </c>
      <c r="X1027" s="400" t="s">
        <v>7049</v>
      </c>
      <c r="Y1027" s="541"/>
      <c r="Z1027" t="s">
        <v>4275</v>
      </c>
      <c r="AA1027" t="s">
        <v>4275</v>
      </c>
      <c r="AB1027" t="s">
        <v>4275</v>
      </c>
      <c r="AC1027" t="s">
        <v>2680</v>
      </c>
      <c r="AD1027" s="536" t="s">
        <v>7056</v>
      </c>
    </row>
    <row r="1028" spans="1:30" ht="29">
      <c r="A1028" s="534" t="s">
        <v>350</v>
      </c>
      <c r="B1028" s="535" t="s">
        <v>933</v>
      </c>
      <c r="C1028" s="534"/>
      <c r="D1028" s="536" t="s">
        <v>7054</v>
      </c>
      <c r="E1028" s="141">
        <v>21011885</v>
      </c>
      <c r="F1028" s="496" t="s">
        <v>6198</v>
      </c>
      <c r="G1028" s="536" t="s">
        <v>7053</v>
      </c>
      <c r="H1028" s="13" t="str">
        <f>IFERROR(VLOOKUP(G1028, Sheet2!$A:$B, 2, FALSE), A1028)</f>
        <v>MAXIM'S CATERERS LTD</v>
      </c>
      <c r="I1028" s="537" t="s">
        <v>352</v>
      </c>
      <c r="J1028" s="109" t="s">
        <v>6848</v>
      </c>
      <c r="K1028" s="109" t="s">
        <v>6813</v>
      </c>
      <c r="L1028" s="400" t="s">
        <v>6912</v>
      </c>
      <c r="M1028" s="126" t="s">
        <v>7011</v>
      </c>
      <c r="N1028" s="538"/>
      <c r="O1028" s="539" t="s">
        <v>6074</v>
      </c>
      <c r="P1028" s="538"/>
      <c r="Q1028" s="540">
        <v>46021</v>
      </c>
      <c r="R1028" s="540">
        <v>46385</v>
      </c>
      <c r="S1028" s="540">
        <v>46386</v>
      </c>
      <c r="T1028" s="141" t="s">
        <v>6677</v>
      </c>
      <c r="U1028" s="536" t="s">
        <v>6678</v>
      </c>
      <c r="V1028" s="141">
        <v>104651</v>
      </c>
      <c r="W1028" s="540" t="s">
        <v>7055</v>
      </c>
      <c r="X1028" s="400" t="s">
        <v>7049</v>
      </c>
      <c r="Y1028" s="541"/>
      <c r="Z1028" t="s">
        <v>4275</v>
      </c>
      <c r="AA1028" t="s">
        <v>4275</v>
      </c>
      <c r="AB1028" t="s">
        <v>4275</v>
      </c>
      <c r="AC1028" t="s">
        <v>2680</v>
      </c>
      <c r="AD1028" s="536" t="s">
        <v>7056</v>
      </c>
    </row>
    <row r="1029" spans="1:30" ht="29">
      <c r="A1029" s="534" t="s">
        <v>350</v>
      </c>
      <c r="B1029" s="535" t="s">
        <v>933</v>
      </c>
      <c r="C1029" s="534"/>
      <c r="D1029" s="536" t="s">
        <v>7054</v>
      </c>
      <c r="E1029" s="141">
        <v>21011885</v>
      </c>
      <c r="F1029" s="496" t="s">
        <v>6198</v>
      </c>
      <c r="G1029" s="536" t="s">
        <v>7053</v>
      </c>
      <c r="H1029" s="13" t="str">
        <f>IFERROR(VLOOKUP(G1029, Sheet2!$A:$B, 2, FALSE), A1029)</f>
        <v>MAXIM'S CATERERS LTD</v>
      </c>
      <c r="I1029" s="537" t="s">
        <v>352</v>
      </c>
      <c r="J1029" s="109" t="s">
        <v>6848</v>
      </c>
      <c r="K1029" s="109" t="s">
        <v>6814</v>
      </c>
      <c r="L1029" s="400" t="s">
        <v>6913</v>
      </c>
      <c r="M1029" s="126" t="s">
        <v>7012</v>
      </c>
      <c r="N1029" s="538"/>
      <c r="O1029" s="539" t="s">
        <v>6074</v>
      </c>
      <c r="P1029" s="538"/>
      <c r="Q1029" s="540">
        <v>46021</v>
      </c>
      <c r="R1029" s="540">
        <v>46385</v>
      </c>
      <c r="S1029" s="540">
        <v>46386</v>
      </c>
      <c r="T1029" s="141" t="s">
        <v>6679</v>
      </c>
      <c r="U1029" s="536" t="s">
        <v>6680</v>
      </c>
      <c r="V1029" s="141">
        <v>104650</v>
      </c>
      <c r="W1029" s="540" t="s">
        <v>7055</v>
      </c>
      <c r="X1029" s="400" t="s">
        <v>7049</v>
      </c>
      <c r="Y1029" s="541"/>
      <c r="Z1029" t="s">
        <v>4275</v>
      </c>
      <c r="AA1029" t="s">
        <v>4275</v>
      </c>
      <c r="AB1029" t="s">
        <v>4275</v>
      </c>
      <c r="AC1029" t="s">
        <v>2680</v>
      </c>
      <c r="AD1029" s="536" t="s">
        <v>7056</v>
      </c>
    </row>
    <row r="1030" spans="1:30" ht="29">
      <c r="A1030" s="534" t="s">
        <v>350</v>
      </c>
      <c r="B1030" s="535" t="s">
        <v>933</v>
      </c>
      <c r="C1030" s="534"/>
      <c r="D1030" s="536" t="s">
        <v>7054</v>
      </c>
      <c r="E1030" s="141">
        <v>21011885</v>
      </c>
      <c r="F1030" s="496" t="s">
        <v>6198</v>
      </c>
      <c r="G1030" s="536" t="s">
        <v>7053</v>
      </c>
      <c r="H1030" s="13" t="str">
        <f>IFERROR(VLOOKUP(G1030, Sheet2!$A:$B, 2, FALSE), A1030)</f>
        <v>MAXIM'S CATERERS LTD</v>
      </c>
      <c r="I1030" s="537" t="s">
        <v>352</v>
      </c>
      <c r="J1030" s="109" t="s">
        <v>6848</v>
      </c>
      <c r="K1030" s="109" t="s">
        <v>6815</v>
      </c>
      <c r="L1030" s="400" t="s">
        <v>6914</v>
      </c>
      <c r="M1030" s="126" t="s">
        <v>7013</v>
      </c>
      <c r="N1030" s="538"/>
      <c r="O1030" s="539" t="s">
        <v>6074</v>
      </c>
      <c r="P1030" s="538"/>
      <c r="Q1030" s="540">
        <v>46021</v>
      </c>
      <c r="R1030" s="540">
        <v>46385</v>
      </c>
      <c r="S1030" s="540">
        <v>46386</v>
      </c>
      <c r="T1030" s="141" t="s">
        <v>6681</v>
      </c>
      <c r="U1030" s="536" t="s">
        <v>6682</v>
      </c>
      <c r="V1030" s="141">
        <v>104649</v>
      </c>
      <c r="W1030" s="540" t="s">
        <v>7055</v>
      </c>
      <c r="X1030" s="400" t="s">
        <v>7049</v>
      </c>
      <c r="Y1030" s="541"/>
      <c r="Z1030" t="s">
        <v>4275</v>
      </c>
      <c r="AA1030" t="s">
        <v>4275</v>
      </c>
      <c r="AB1030" t="s">
        <v>4275</v>
      </c>
      <c r="AC1030" t="s">
        <v>2680</v>
      </c>
      <c r="AD1030" s="536" t="s">
        <v>7056</v>
      </c>
    </row>
    <row r="1031" spans="1:30" ht="29">
      <c r="A1031" s="534" t="s">
        <v>350</v>
      </c>
      <c r="B1031" s="535" t="s">
        <v>933</v>
      </c>
      <c r="C1031" s="534"/>
      <c r="D1031" s="536" t="s">
        <v>7054</v>
      </c>
      <c r="E1031" s="141">
        <v>21011885</v>
      </c>
      <c r="F1031" s="496" t="s">
        <v>6198</v>
      </c>
      <c r="G1031" s="536" t="s">
        <v>7053</v>
      </c>
      <c r="H1031" s="13" t="str">
        <f>IFERROR(VLOOKUP(G1031, Sheet2!$A:$B, 2, FALSE), A1031)</f>
        <v>MAXIM'S CATERERS LTD</v>
      </c>
      <c r="I1031" s="537" t="s">
        <v>352</v>
      </c>
      <c r="J1031" s="109" t="s">
        <v>6848</v>
      </c>
      <c r="K1031" s="109" t="s">
        <v>6816</v>
      </c>
      <c r="L1031" s="400" t="s">
        <v>6915</v>
      </c>
      <c r="M1031" s="126" t="s">
        <v>7014</v>
      </c>
      <c r="N1031" s="538"/>
      <c r="O1031" s="539" t="s">
        <v>6074</v>
      </c>
      <c r="P1031" s="538"/>
      <c r="Q1031" s="540">
        <v>46021</v>
      </c>
      <c r="R1031" s="540">
        <v>46385</v>
      </c>
      <c r="S1031" s="540">
        <v>46386</v>
      </c>
      <c r="T1031" s="141" t="s">
        <v>6683</v>
      </c>
      <c r="U1031" s="536" t="s">
        <v>6684</v>
      </c>
      <c r="V1031" s="141">
        <v>104667</v>
      </c>
      <c r="W1031" s="540" t="s">
        <v>7055</v>
      </c>
      <c r="X1031" s="400" t="s">
        <v>7049</v>
      </c>
      <c r="Y1031" s="541"/>
      <c r="Z1031" t="s">
        <v>4275</v>
      </c>
      <c r="AA1031" t="s">
        <v>4275</v>
      </c>
      <c r="AB1031" t="s">
        <v>4275</v>
      </c>
      <c r="AC1031" t="s">
        <v>2680</v>
      </c>
      <c r="AD1031" s="536" t="s">
        <v>7056</v>
      </c>
    </row>
    <row r="1032" spans="1:30" ht="29">
      <c r="A1032" s="534" t="s">
        <v>350</v>
      </c>
      <c r="B1032" s="535" t="s">
        <v>933</v>
      </c>
      <c r="C1032" s="534"/>
      <c r="D1032" s="536" t="s">
        <v>7054</v>
      </c>
      <c r="E1032" s="141">
        <v>21011885</v>
      </c>
      <c r="F1032" s="496" t="s">
        <v>6198</v>
      </c>
      <c r="G1032" s="536" t="s">
        <v>7053</v>
      </c>
      <c r="H1032" s="13" t="str">
        <f>IFERROR(VLOOKUP(G1032, Sheet2!$A:$B, 2, FALSE), A1032)</f>
        <v>MAXIM'S CATERERS LTD</v>
      </c>
      <c r="I1032" s="537" t="s">
        <v>352</v>
      </c>
      <c r="J1032" s="109" t="s">
        <v>6848</v>
      </c>
      <c r="K1032" s="109" t="s">
        <v>6817</v>
      </c>
      <c r="L1032" s="400" t="s">
        <v>6916</v>
      </c>
      <c r="M1032" s="126" t="s">
        <v>7015</v>
      </c>
      <c r="N1032" s="538"/>
      <c r="O1032" s="539" t="s">
        <v>6074</v>
      </c>
      <c r="P1032" s="538"/>
      <c r="Q1032" s="540">
        <v>46021</v>
      </c>
      <c r="R1032" s="540">
        <v>46385</v>
      </c>
      <c r="S1032" s="540">
        <v>46386</v>
      </c>
      <c r="T1032" s="141" t="s">
        <v>6685</v>
      </c>
      <c r="U1032" s="536" t="s">
        <v>6686</v>
      </c>
      <c r="V1032" s="141">
        <v>104666</v>
      </c>
      <c r="W1032" s="540" t="s">
        <v>7055</v>
      </c>
      <c r="X1032" s="400" t="s">
        <v>7049</v>
      </c>
      <c r="Y1032" s="541"/>
      <c r="Z1032" t="s">
        <v>4275</v>
      </c>
      <c r="AA1032" t="s">
        <v>4275</v>
      </c>
      <c r="AB1032" t="s">
        <v>4275</v>
      </c>
      <c r="AC1032" t="s">
        <v>2680</v>
      </c>
      <c r="AD1032" s="536" t="s">
        <v>7056</v>
      </c>
    </row>
    <row r="1033" spans="1:30" ht="29">
      <c r="A1033" s="534" t="s">
        <v>350</v>
      </c>
      <c r="B1033" s="535" t="s">
        <v>933</v>
      </c>
      <c r="C1033" s="534"/>
      <c r="D1033" s="536" t="s">
        <v>7054</v>
      </c>
      <c r="E1033" s="141">
        <v>21011885</v>
      </c>
      <c r="F1033" s="496" t="s">
        <v>6198</v>
      </c>
      <c r="G1033" s="536" t="s">
        <v>7053</v>
      </c>
      <c r="H1033" s="13" t="str">
        <f>IFERROR(VLOOKUP(G1033, Sheet2!$A:$B, 2, FALSE), A1033)</f>
        <v>MAXIM'S CATERERS LTD</v>
      </c>
      <c r="I1033" s="537" t="s">
        <v>352</v>
      </c>
      <c r="J1033" s="109" t="s">
        <v>6848</v>
      </c>
      <c r="K1033" s="109" t="s">
        <v>6818</v>
      </c>
      <c r="L1033" s="400" t="s">
        <v>6917</v>
      </c>
      <c r="M1033" s="126" t="s">
        <v>7016</v>
      </c>
      <c r="N1033" s="538"/>
      <c r="O1033" s="539" t="s">
        <v>6074</v>
      </c>
      <c r="P1033" s="538"/>
      <c r="Q1033" s="540">
        <v>46021</v>
      </c>
      <c r="R1033" s="540">
        <v>46385</v>
      </c>
      <c r="S1033" s="540">
        <v>46386</v>
      </c>
      <c r="T1033" s="141" t="s">
        <v>6687</v>
      </c>
      <c r="U1033" s="536" t="s">
        <v>6688</v>
      </c>
      <c r="V1033" s="141">
        <v>104665</v>
      </c>
      <c r="W1033" s="540" t="s">
        <v>7055</v>
      </c>
      <c r="X1033" s="400" t="s">
        <v>7049</v>
      </c>
      <c r="Y1033" s="541"/>
      <c r="Z1033" t="s">
        <v>4275</v>
      </c>
      <c r="AA1033" t="s">
        <v>4275</v>
      </c>
      <c r="AB1033" t="s">
        <v>4275</v>
      </c>
      <c r="AC1033" t="s">
        <v>2680</v>
      </c>
      <c r="AD1033" s="536" t="s">
        <v>7056</v>
      </c>
    </row>
    <row r="1034" spans="1:30" ht="29">
      <c r="A1034" s="534" t="s">
        <v>350</v>
      </c>
      <c r="B1034" s="535" t="s">
        <v>933</v>
      </c>
      <c r="C1034" s="534"/>
      <c r="D1034" s="536" t="s">
        <v>7054</v>
      </c>
      <c r="E1034" s="141">
        <v>21011885</v>
      </c>
      <c r="F1034" s="496" t="s">
        <v>6198</v>
      </c>
      <c r="G1034" s="536" t="s">
        <v>7053</v>
      </c>
      <c r="H1034" s="13" t="str">
        <f>IFERROR(VLOOKUP(G1034, Sheet2!$A:$B, 2, FALSE), A1034)</f>
        <v>MAXIM'S CATERERS LTD</v>
      </c>
      <c r="I1034" s="537" t="s">
        <v>352</v>
      </c>
      <c r="J1034" s="109" t="s">
        <v>6848</v>
      </c>
      <c r="K1034" s="109" t="s">
        <v>6819</v>
      </c>
      <c r="L1034" s="400" t="s">
        <v>6918</v>
      </c>
      <c r="M1034" s="126" t="s">
        <v>7017</v>
      </c>
      <c r="N1034" s="538"/>
      <c r="O1034" s="539" t="s">
        <v>6074</v>
      </c>
      <c r="P1034" s="538"/>
      <c r="Q1034" s="540">
        <v>46021</v>
      </c>
      <c r="R1034" s="540">
        <v>46385</v>
      </c>
      <c r="S1034" s="540">
        <v>46386</v>
      </c>
      <c r="T1034" s="141" t="s">
        <v>6689</v>
      </c>
      <c r="U1034" s="536" t="s">
        <v>6690</v>
      </c>
      <c r="V1034" s="141">
        <v>104664</v>
      </c>
      <c r="W1034" s="540" t="s">
        <v>7055</v>
      </c>
      <c r="X1034" s="400" t="s">
        <v>7049</v>
      </c>
      <c r="Y1034" s="541"/>
      <c r="Z1034" t="s">
        <v>4275</v>
      </c>
      <c r="AA1034" t="s">
        <v>4275</v>
      </c>
      <c r="AB1034" t="s">
        <v>4275</v>
      </c>
      <c r="AC1034" t="s">
        <v>2680</v>
      </c>
      <c r="AD1034" s="536" t="s">
        <v>7056</v>
      </c>
    </row>
    <row r="1035" spans="1:30" ht="29">
      <c r="A1035" s="534" t="s">
        <v>350</v>
      </c>
      <c r="B1035" s="535" t="s">
        <v>933</v>
      </c>
      <c r="C1035" s="534"/>
      <c r="D1035" s="536" t="s">
        <v>7054</v>
      </c>
      <c r="E1035" s="141">
        <v>21011885</v>
      </c>
      <c r="F1035" s="496" t="s">
        <v>6198</v>
      </c>
      <c r="G1035" s="536" t="s">
        <v>7053</v>
      </c>
      <c r="H1035" s="13" t="str">
        <f>IFERROR(VLOOKUP(G1035, Sheet2!$A:$B, 2, FALSE), A1035)</f>
        <v>MAXIM'S CATERERS LTD</v>
      </c>
      <c r="I1035" s="537" t="s">
        <v>352</v>
      </c>
      <c r="J1035" s="109" t="s">
        <v>6848</v>
      </c>
      <c r="K1035" s="109" t="s">
        <v>6820</v>
      </c>
      <c r="L1035" s="400" t="s">
        <v>6919</v>
      </c>
      <c r="M1035" s="126" t="s">
        <v>7018</v>
      </c>
      <c r="N1035" s="538"/>
      <c r="O1035" s="539" t="s">
        <v>6074</v>
      </c>
      <c r="P1035" s="538"/>
      <c r="Q1035" s="540">
        <v>46021</v>
      </c>
      <c r="R1035" s="540">
        <v>46385</v>
      </c>
      <c r="S1035" s="540">
        <v>46386</v>
      </c>
      <c r="T1035" s="141" t="s">
        <v>6691</v>
      </c>
      <c r="U1035" s="536" t="s">
        <v>6692</v>
      </c>
      <c r="V1035" s="141">
        <v>104663</v>
      </c>
      <c r="W1035" s="540" t="s">
        <v>7055</v>
      </c>
      <c r="X1035" s="400" t="s">
        <v>7049</v>
      </c>
      <c r="Y1035" s="541"/>
      <c r="Z1035" t="s">
        <v>4275</v>
      </c>
      <c r="AA1035" t="s">
        <v>4275</v>
      </c>
      <c r="AB1035" t="s">
        <v>4275</v>
      </c>
      <c r="AC1035" t="s">
        <v>2680</v>
      </c>
      <c r="AD1035" s="536" t="s">
        <v>7056</v>
      </c>
    </row>
    <row r="1036" spans="1:30" ht="29">
      <c r="A1036" s="534" t="s">
        <v>350</v>
      </c>
      <c r="B1036" s="535" t="s">
        <v>933</v>
      </c>
      <c r="C1036" s="534"/>
      <c r="D1036" s="536" t="s">
        <v>7054</v>
      </c>
      <c r="E1036" s="141">
        <v>21011885</v>
      </c>
      <c r="F1036" s="496" t="s">
        <v>6198</v>
      </c>
      <c r="G1036" s="536" t="s">
        <v>7053</v>
      </c>
      <c r="H1036" s="13" t="str">
        <f>IFERROR(VLOOKUP(G1036, Sheet2!$A:$B, 2, FALSE), A1036)</f>
        <v>MAXIM'S CATERERS LTD</v>
      </c>
      <c r="I1036" s="537" t="s">
        <v>352</v>
      </c>
      <c r="J1036" s="109" t="s">
        <v>6848</v>
      </c>
      <c r="K1036" s="109" t="s">
        <v>6821</v>
      </c>
      <c r="L1036" s="400" t="s">
        <v>6920</v>
      </c>
      <c r="M1036" s="126" t="s">
        <v>7019</v>
      </c>
      <c r="N1036" s="538"/>
      <c r="O1036" s="539" t="s">
        <v>6074</v>
      </c>
      <c r="P1036" s="538"/>
      <c r="Q1036" s="540">
        <v>46021</v>
      </c>
      <c r="R1036" s="540">
        <v>46385</v>
      </c>
      <c r="S1036" s="540">
        <v>46386</v>
      </c>
      <c r="T1036" s="141" t="s">
        <v>6693</v>
      </c>
      <c r="U1036" s="536" t="s">
        <v>6694</v>
      </c>
      <c r="V1036" s="141">
        <v>104662</v>
      </c>
      <c r="W1036" s="540" t="s">
        <v>7055</v>
      </c>
      <c r="X1036" s="400" t="s">
        <v>7049</v>
      </c>
      <c r="Y1036" s="541"/>
      <c r="Z1036" t="s">
        <v>4275</v>
      </c>
      <c r="AA1036" t="s">
        <v>4275</v>
      </c>
      <c r="AB1036" t="s">
        <v>4275</v>
      </c>
      <c r="AC1036" t="s">
        <v>2680</v>
      </c>
      <c r="AD1036" s="536" t="s">
        <v>7056</v>
      </c>
    </row>
    <row r="1037" spans="1:30" ht="29">
      <c r="A1037" s="534" t="s">
        <v>350</v>
      </c>
      <c r="B1037" s="535" t="s">
        <v>933</v>
      </c>
      <c r="C1037" s="534"/>
      <c r="D1037" s="536" t="s">
        <v>7054</v>
      </c>
      <c r="E1037" s="141">
        <v>21011885</v>
      </c>
      <c r="F1037" s="496" t="s">
        <v>6198</v>
      </c>
      <c r="G1037" s="536" t="s">
        <v>7053</v>
      </c>
      <c r="H1037" s="13" t="str">
        <f>IFERROR(VLOOKUP(G1037, Sheet2!$A:$B, 2, FALSE), A1037)</f>
        <v>MAXIM'S CATERERS LTD</v>
      </c>
      <c r="I1037" s="537" t="s">
        <v>352</v>
      </c>
      <c r="J1037" s="109" t="s">
        <v>6848</v>
      </c>
      <c r="K1037" s="109" t="s">
        <v>6822</v>
      </c>
      <c r="L1037" s="400" t="s">
        <v>6921</v>
      </c>
      <c r="M1037" s="126" t="s">
        <v>7020</v>
      </c>
      <c r="N1037" s="538"/>
      <c r="O1037" s="539" t="s">
        <v>6074</v>
      </c>
      <c r="P1037" s="538"/>
      <c r="Q1037" s="540">
        <v>46021</v>
      </c>
      <c r="R1037" s="540">
        <v>46385</v>
      </c>
      <c r="S1037" s="540">
        <v>46386</v>
      </c>
      <c r="T1037" s="141" t="s">
        <v>6695</v>
      </c>
      <c r="U1037" s="536" t="s">
        <v>6696</v>
      </c>
      <c r="V1037" s="141">
        <v>104661</v>
      </c>
      <c r="W1037" s="540" t="s">
        <v>7055</v>
      </c>
      <c r="X1037" s="400" t="s">
        <v>7049</v>
      </c>
      <c r="Y1037" s="541"/>
      <c r="Z1037" t="s">
        <v>4275</v>
      </c>
      <c r="AA1037" t="s">
        <v>4275</v>
      </c>
      <c r="AB1037" t="s">
        <v>4275</v>
      </c>
      <c r="AC1037" t="s">
        <v>2680</v>
      </c>
      <c r="AD1037" s="536" t="s">
        <v>7056</v>
      </c>
    </row>
    <row r="1038" spans="1:30" ht="29">
      <c r="A1038" s="534" t="s">
        <v>350</v>
      </c>
      <c r="B1038" s="535" t="s">
        <v>933</v>
      </c>
      <c r="C1038" s="534"/>
      <c r="D1038" s="536" t="s">
        <v>7054</v>
      </c>
      <c r="E1038" s="141">
        <v>21011885</v>
      </c>
      <c r="F1038" s="496" t="s">
        <v>6198</v>
      </c>
      <c r="G1038" s="536" t="s">
        <v>7053</v>
      </c>
      <c r="H1038" s="13" t="str">
        <f>IFERROR(VLOOKUP(G1038, Sheet2!$A:$B, 2, FALSE), A1038)</f>
        <v>MAXIM'S CATERERS LTD</v>
      </c>
      <c r="I1038" s="537" t="s">
        <v>352</v>
      </c>
      <c r="J1038" s="109" t="s">
        <v>6848</v>
      </c>
      <c r="K1038" s="109" t="s">
        <v>6823</v>
      </c>
      <c r="L1038" s="400" t="s">
        <v>6922</v>
      </c>
      <c r="M1038" s="126" t="s">
        <v>7021</v>
      </c>
      <c r="N1038" s="538"/>
      <c r="O1038" s="539" t="s">
        <v>6074</v>
      </c>
      <c r="P1038" s="538"/>
      <c r="Q1038" s="540">
        <v>46021</v>
      </c>
      <c r="R1038" s="540">
        <v>46385</v>
      </c>
      <c r="S1038" s="540">
        <v>46386</v>
      </c>
      <c r="T1038" s="141" t="s">
        <v>6697</v>
      </c>
      <c r="U1038" s="536" t="s">
        <v>6698</v>
      </c>
      <c r="V1038" s="141">
        <v>104660</v>
      </c>
      <c r="W1038" s="540" t="s">
        <v>7055</v>
      </c>
      <c r="X1038" s="400" t="s">
        <v>7049</v>
      </c>
      <c r="Y1038" s="541"/>
      <c r="Z1038" t="s">
        <v>4275</v>
      </c>
      <c r="AA1038" t="s">
        <v>4275</v>
      </c>
      <c r="AB1038" t="s">
        <v>4275</v>
      </c>
      <c r="AC1038" t="s">
        <v>2680</v>
      </c>
      <c r="AD1038" s="536" t="s">
        <v>7056</v>
      </c>
    </row>
    <row r="1039" spans="1:30" ht="29">
      <c r="A1039" s="534" t="s">
        <v>350</v>
      </c>
      <c r="B1039" s="535" t="s">
        <v>933</v>
      </c>
      <c r="C1039" s="534"/>
      <c r="D1039" s="536" t="s">
        <v>7054</v>
      </c>
      <c r="E1039" s="141">
        <v>21011885</v>
      </c>
      <c r="F1039" s="496" t="s">
        <v>6198</v>
      </c>
      <c r="G1039" s="536" t="s">
        <v>7053</v>
      </c>
      <c r="H1039" s="13" t="str">
        <f>IFERROR(VLOOKUP(G1039, Sheet2!$A:$B, 2, FALSE), A1039)</f>
        <v>MAXIM'S CATERERS LTD</v>
      </c>
      <c r="I1039" s="537" t="s">
        <v>352</v>
      </c>
      <c r="J1039" s="109" t="s">
        <v>6848</v>
      </c>
      <c r="K1039" s="109" t="s">
        <v>6824</v>
      </c>
      <c r="L1039" s="400" t="s">
        <v>6923</v>
      </c>
      <c r="M1039" s="126" t="s">
        <v>7022</v>
      </c>
      <c r="N1039" s="538"/>
      <c r="O1039" s="539" t="s">
        <v>6074</v>
      </c>
      <c r="P1039" s="538"/>
      <c r="Q1039" s="540">
        <v>46021</v>
      </c>
      <c r="R1039" s="540">
        <v>46385</v>
      </c>
      <c r="S1039" s="540">
        <v>46386</v>
      </c>
      <c r="T1039" s="141" t="s">
        <v>6699</v>
      </c>
      <c r="U1039" s="536" t="s">
        <v>6700</v>
      </c>
      <c r="V1039" s="141">
        <v>104659</v>
      </c>
      <c r="W1039" s="540" t="s">
        <v>7055</v>
      </c>
      <c r="X1039" s="400" t="s">
        <v>7049</v>
      </c>
      <c r="Y1039" s="541"/>
      <c r="Z1039" t="s">
        <v>4275</v>
      </c>
      <c r="AA1039" t="s">
        <v>4275</v>
      </c>
      <c r="AB1039" t="s">
        <v>4275</v>
      </c>
      <c r="AC1039" t="s">
        <v>2680</v>
      </c>
      <c r="AD1039" s="536" t="s">
        <v>7056</v>
      </c>
    </row>
    <row r="1040" spans="1:30" ht="29">
      <c r="A1040" s="534" t="s">
        <v>350</v>
      </c>
      <c r="B1040" s="535" t="s">
        <v>933</v>
      </c>
      <c r="C1040" s="534"/>
      <c r="D1040" s="536" t="s">
        <v>7054</v>
      </c>
      <c r="E1040" s="141">
        <v>21011885</v>
      </c>
      <c r="F1040" s="496" t="s">
        <v>6198</v>
      </c>
      <c r="G1040" s="536" t="s">
        <v>7053</v>
      </c>
      <c r="H1040" s="13" t="str">
        <f>IFERROR(VLOOKUP(G1040, Sheet2!$A:$B, 2, FALSE), A1040)</f>
        <v>MAXIM'S CATERERS LTD</v>
      </c>
      <c r="I1040" s="537" t="s">
        <v>352</v>
      </c>
      <c r="J1040" s="109" t="s">
        <v>6848</v>
      </c>
      <c r="K1040" s="109" t="s">
        <v>6825</v>
      </c>
      <c r="L1040" s="400" t="s">
        <v>6924</v>
      </c>
      <c r="M1040" s="126" t="s">
        <v>7023</v>
      </c>
      <c r="N1040" s="538"/>
      <c r="O1040" s="539" t="s">
        <v>6074</v>
      </c>
      <c r="P1040" s="538"/>
      <c r="Q1040" s="540">
        <v>46021</v>
      </c>
      <c r="R1040" s="540">
        <v>46385</v>
      </c>
      <c r="S1040" s="540">
        <v>46386</v>
      </c>
      <c r="T1040" s="393" t="s">
        <v>6701</v>
      </c>
      <c r="U1040" s="536" t="s">
        <v>6702</v>
      </c>
      <c r="V1040" s="393">
        <v>104658</v>
      </c>
      <c r="W1040" s="540" t="s">
        <v>7055</v>
      </c>
      <c r="X1040" s="400" t="s">
        <v>7049</v>
      </c>
      <c r="Y1040" s="541"/>
      <c r="Z1040" t="s">
        <v>4275</v>
      </c>
      <c r="AA1040" t="s">
        <v>4275</v>
      </c>
      <c r="AB1040" t="s">
        <v>4275</v>
      </c>
      <c r="AC1040" t="s">
        <v>2680</v>
      </c>
      <c r="AD1040" s="536" t="s">
        <v>7056</v>
      </c>
    </row>
    <row r="1041" spans="1:30" ht="29">
      <c r="A1041" s="534" t="s">
        <v>350</v>
      </c>
      <c r="B1041" s="535" t="s">
        <v>933</v>
      </c>
      <c r="C1041" s="534"/>
      <c r="D1041" s="536" t="s">
        <v>7054</v>
      </c>
      <c r="E1041" s="141">
        <v>21011885</v>
      </c>
      <c r="F1041" s="496" t="s">
        <v>6198</v>
      </c>
      <c r="G1041" s="536" t="s">
        <v>7053</v>
      </c>
      <c r="H1041" s="13" t="str">
        <f>IFERROR(VLOOKUP(G1041, Sheet2!$A:$B, 2, FALSE), A1041)</f>
        <v>MAXIM'S CATERERS LTD</v>
      </c>
      <c r="I1041" s="537" t="s">
        <v>352</v>
      </c>
      <c r="J1041" s="109" t="s">
        <v>6848</v>
      </c>
      <c r="K1041" s="109" t="s">
        <v>6826</v>
      </c>
      <c r="L1041" s="400" t="s">
        <v>6925</v>
      </c>
      <c r="M1041" s="126" t="s">
        <v>7024</v>
      </c>
      <c r="N1041" s="538"/>
      <c r="O1041" s="539" t="s">
        <v>6074</v>
      </c>
      <c r="P1041" s="538"/>
      <c r="Q1041" s="540">
        <v>46021</v>
      </c>
      <c r="R1041" s="540">
        <v>46385</v>
      </c>
      <c r="S1041" s="540">
        <v>46386</v>
      </c>
      <c r="T1041" s="141" t="s">
        <v>6703</v>
      </c>
      <c r="U1041" s="536" t="s">
        <v>6704</v>
      </c>
      <c r="V1041" s="141">
        <v>104657</v>
      </c>
      <c r="W1041" s="540" t="s">
        <v>7055</v>
      </c>
      <c r="X1041" s="400" t="s">
        <v>7049</v>
      </c>
      <c r="Y1041" s="541"/>
      <c r="Z1041" t="s">
        <v>4275</v>
      </c>
      <c r="AA1041" t="s">
        <v>4275</v>
      </c>
      <c r="AB1041" t="s">
        <v>4275</v>
      </c>
      <c r="AC1041" t="s">
        <v>2680</v>
      </c>
      <c r="AD1041" s="536" t="s">
        <v>7056</v>
      </c>
    </row>
    <row r="1042" spans="1:30" ht="29">
      <c r="A1042" s="534" t="s">
        <v>350</v>
      </c>
      <c r="B1042" s="535" t="s">
        <v>933</v>
      </c>
      <c r="C1042" s="534"/>
      <c r="D1042" s="536" t="s">
        <v>7054</v>
      </c>
      <c r="E1042" s="141">
        <v>21011885</v>
      </c>
      <c r="F1042" s="496" t="s">
        <v>6198</v>
      </c>
      <c r="G1042" s="536" t="s">
        <v>7053</v>
      </c>
      <c r="H1042" s="13" t="str">
        <f>IFERROR(VLOOKUP(G1042, Sheet2!$A:$B, 2, FALSE), A1042)</f>
        <v>MAXIM'S CATERERS LTD</v>
      </c>
      <c r="I1042" s="537" t="s">
        <v>352</v>
      </c>
      <c r="J1042" s="109" t="s">
        <v>6848</v>
      </c>
      <c r="K1042" s="109" t="s">
        <v>6827</v>
      </c>
      <c r="L1042" s="400" t="s">
        <v>6926</v>
      </c>
      <c r="M1042" s="126" t="s">
        <v>7025</v>
      </c>
      <c r="N1042" s="538"/>
      <c r="O1042" s="539" t="s">
        <v>6074</v>
      </c>
      <c r="P1042" s="538"/>
      <c r="Q1042" s="540">
        <v>46021</v>
      </c>
      <c r="R1042" s="540">
        <v>46385</v>
      </c>
      <c r="S1042" s="540">
        <v>46386</v>
      </c>
      <c r="T1042" s="141" t="s">
        <v>6705</v>
      </c>
      <c r="U1042" s="536" t="s">
        <v>6706</v>
      </c>
      <c r="V1042" s="141">
        <v>104656</v>
      </c>
      <c r="W1042" s="540" t="s">
        <v>7055</v>
      </c>
      <c r="X1042" s="400" t="s">
        <v>7049</v>
      </c>
      <c r="Y1042" s="541"/>
      <c r="Z1042" t="s">
        <v>4275</v>
      </c>
      <c r="AA1042" t="s">
        <v>4275</v>
      </c>
      <c r="AB1042" t="s">
        <v>4275</v>
      </c>
      <c r="AC1042" t="s">
        <v>2680</v>
      </c>
      <c r="AD1042" s="536" t="s">
        <v>7056</v>
      </c>
    </row>
    <row r="1043" spans="1:30" ht="29">
      <c r="A1043" s="534" t="s">
        <v>350</v>
      </c>
      <c r="B1043" s="535" t="s">
        <v>933</v>
      </c>
      <c r="C1043" s="534"/>
      <c r="D1043" s="536" t="s">
        <v>7054</v>
      </c>
      <c r="E1043" s="141">
        <v>21011885</v>
      </c>
      <c r="F1043" s="496" t="s">
        <v>6198</v>
      </c>
      <c r="G1043" s="536" t="s">
        <v>7053</v>
      </c>
      <c r="H1043" s="13" t="str">
        <f>IFERROR(VLOOKUP(G1043, Sheet2!$A:$B, 2, FALSE), A1043)</f>
        <v>MAXIM'S CATERERS LTD</v>
      </c>
      <c r="I1043" s="537" t="s">
        <v>352</v>
      </c>
      <c r="J1043" s="109" t="s">
        <v>6848</v>
      </c>
      <c r="K1043" s="109" t="s">
        <v>6828</v>
      </c>
      <c r="L1043" s="400" t="s">
        <v>6927</v>
      </c>
      <c r="M1043" s="126" t="s">
        <v>7026</v>
      </c>
      <c r="N1043" s="538"/>
      <c r="O1043" s="539" t="s">
        <v>6074</v>
      </c>
      <c r="P1043" s="538"/>
      <c r="Q1043" s="540">
        <v>46021</v>
      </c>
      <c r="R1043" s="540">
        <v>46385</v>
      </c>
      <c r="S1043" s="540">
        <v>46386</v>
      </c>
      <c r="T1043" s="141" t="s">
        <v>6707</v>
      </c>
      <c r="U1043" s="536" t="s">
        <v>6708</v>
      </c>
      <c r="V1043" s="141">
        <v>104655</v>
      </c>
      <c r="W1043" s="540" t="s">
        <v>7055</v>
      </c>
      <c r="X1043" s="400" t="s">
        <v>7049</v>
      </c>
      <c r="Y1043" s="541"/>
      <c r="Z1043" t="s">
        <v>4275</v>
      </c>
      <c r="AA1043" t="s">
        <v>4275</v>
      </c>
      <c r="AB1043" t="s">
        <v>4275</v>
      </c>
      <c r="AC1043" t="s">
        <v>2680</v>
      </c>
      <c r="AD1043" s="536" t="s">
        <v>7056</v>
      </c>
    </row>
    <row r="1044" spans="1:30" ht="29">
      <c r="A1044" s="534" t="s">
        <v>350</v>
      </c>
      <c r="B1044" s="535" t="s">
        <v>933</v>
      </c>
      <c r="C1044" s="534"/>
      <c r="D1044" s="536" t="s">
        <v>7054</v>
      </c>
      <c r="E1044" s="141">
        <v>21011885</v>
      </c>
      <c r="F1044" s="496" t="s">
        <v>6198</v>
      </c>
      <c r="G1044" s="536" t="s">
        <v>7053</v>
      </c>
      <c r="H1044" s="13" t="str">
        <f>IFERROR(VLOOKUP(G1044, Sheet2!$A:$B, 2, FALSE), A1044)</f>
        <v>MAXIM'S CATERERS LTD</v>
      </c>
      <c r="I1044" s="537" t="s">
        <v>352</v>
      </c>
      <c r="J1044" s="109" t="s">
        <v>6848</v>
      </c>
      <c r="K1044" s="109" t="s">
        <v>6829</v>
      </c>
      <c r="L1044" s="400" t="s">
        <v>6928</v>
      </c>
      <c r="M1044" s="126" t="s">
        <v>7027</v>
      </c>
      <c r="N1044" s="538"/>
      <c r="O1044" s="539" t="s">
        <v>6074</v>
      </c>
      <c r="P1044" s="538"/>
      <c r="Q1044" s="540">
        <v>46021</v>
      </c>
      <c r="R1044" s="540">
        <v>46385</v>
      </c>
      <c r="S1044" s="540">
        <v>46386</v>
      </c>
      <c r="T1044" s="141" t="s">
        <v>6709</v>
      </c>
      <c r="U1044" s="536" t="s">
        <v>6710</v>
      </c>
      <c r="V1044" s="141">
        <v>104654</v>
      </c>
      <c r="W1044" s="540" t="s">
        <v>7055</v>
      </c>
      <c r="X1044" s="400" t="s">
        <v>7049</v>
      </c>
      <c r="Y1044" s="541"/>
      <c r="Z1044" t="s">
        <v>4275</v>
      </c>
      <c r="AA1044" t="s">
        <v>4275</v>
      </c>
      <c r="AB1044" t="s">
        <v>4275</v>
      </c>
      <c r="AC1044" t="s">
        <v>2680</v>
      </c>
      <c r="AD1044" s="536" t="s">
        <v>7056</v>
      </c>
    </row>
    <row r="1045" spans="1:30" ht="29">
      <c r="A1045" s="534" t="s">
        <v>350</v>
      </c>
      <c r="B1045" s="535" t="s">
        <v>933</v>
      </c>
      <c r="C1045" s="534"/>
      <c r="D1045" s="536" t="s">
        <v>7054</v>
      </c>
      <c r="E1045" s="141">
        <v>21011885</v>
      </c>
      <c r="F1045" s="496" t="s">
        <v>6198</v>
      </c>
      <c r="G1045" s="536" t="s">
        <v>7053</v>
      </c>
      <c r="H1045" s="13" t="str">
        <f>IFERROR(VLOOKUP(G1045, Sheet2!$A:$B, 2, FALSE), A1045)</f>
        <v>MAXIM'S CATERERS LTD</v>
      </c>
      <c r="I1045" s="537" t="s">
        <v>352</v>
      </c>
      <c r="J1045" s="109" t="s">
        <v>6848</v>
      </c>
      <c r="K1045" s="109" t="s">
        <v>6830</v>
      </c>
      <c r="L1045" s="400" t="s">
        <v>6929</v>
      </c>
      <c r="M1045" s="126" t="s">
        <v>7028</v>
      </c>
      <c r="N1045" s="538"/>
      <c r="O1045" s="539" t="s">
        <v>6074</v>
      </c>
      <c r="P1045" s="538"/>
      <c r="Q1045" s="540">
        <v>46021</v>
      </c>
      <c r="R1045" s="540">
        <v>46385</v>
      </c>
      <c r="S1045" s="540">
        <v>46386</v>
      </c>
      <c r="T1045" s="141" t="s">
        <v>6711</v>
      </c>
      <c r="U1045" s="536" t="s">
        <v>6712</v>
      </c>
      <c r="V1045" s="141">
        <v>104653</v>
      </c>
      <c r="W1045" s="540" t="s">
        <v>7055</v>
      </c>
      <c r="X1045" s="400" t="s">
        <v>7049</v>
      </c>
      <c r="Y1045" s="541"/>
      <c r="Z1045" t="s">
        <v>4275</v>
      </c>
      <c r="AA1045" t="s">
        <v>4275</v>
      </c>
      <c r="AB1045" t="s">
        <v>4275</v>
      </c>
      <c r="AC1045" t="s">
        <v>2680</v>
      </c>
      <c r="AD1045" s="536" t="s">
        <v>7056</v>
      </c>
    </row>
    <row r="1046" spans="1:30" ht="29">
      <c r="A1046" s="534" t="s">
        <v>350</v>
      </c>
      <c r="B1046" s="535" t="s">
        <v>933</v>
      </c>
      <c r="C1046" s="534"/>
      <c r="D1046" s="536" t="s">
        <v>7054</v>
      </c>
      <c r="E1046" s="141">
        <v>21011885</v>
      </c>
      <c r="F1046" s="496" t="s">
        <v>6198</v>
      </c>
      <c r="G1046" s="536" t="s">
        <v>7053</v>
      </c>
      <c r="H1046" s="13" t="str">
        <f>IFERROR(VLOOKUP(G1046, Sheet2!$A:$B, 2, FALSE), A1046)</f>
        <v>MAXIM'S CATERERS LTD</v>
      </c>
      <c r="I1046" s="537" t="s">
        <v>352</v>
      </c>
      <c r="J1046" s="109" t="s">
        <v>6848</v>
      </c>
      <c r="K1046" s="109" t="s">
        <v>6831</v>
      </c>
      <c r="L1046" s="400" t="s">
        <v>6930</v>
      </c>
      <c r="M1046" s="126" t="s">
        <v>7029</v>
      </c>
      <c r="N1046" s="538"/>
      <c r="O1046" s="539" t="s">
        <v>6074</v>
      </c>
      <c r="P1046" s="538"/>
      <c r="Q1046" s="540">
        <v>46021</v>
      </c>
      <c r="R1046" s="540">
        <v>46385</v>
      </c>
      <c r="S1046" s="540">
        <v>46386</v>
      </c>
      <c r="T1046" s="393" t="s">
        <v>6713</v>
      </c>
      <c r="U1046" s="393" t="s">
        <v>6714</v>
      </c>
      <c r="V1046" s="141">
        <v>104668</v>
      </c>
      <c r="W1046" s="540" t="s">
        <v>7055</v>
      </c>
      <c r="X1046" s="400" t="s">
        <v>7049</v>
      </c>
      <c r="Y1046" s="541"/>
      <c r="Z1046" t="s">
        <v>4275</v>
      </c>
      <c r="AA1046" t="s">
        <v>4275</v>
      </c>
      <c r="AB1046" t="s">
        <v>4275</v>
      </c>
      <c r="AC1046" t="s">
        <v>2680</v>
      </c>
      <c r="AD1046" s="536" t="s">
        <v>7056</v>
      </c>
    </row>
    <row r="1047" spans="1:30" ht="29">
      <c r="A1047" s="534" t="s">
        <v>350</v>
      </c>
      <c r="B1047" s="535" t="s">
        <v>933</v>
      </c>
      <c r="C1047" s="534"/>
      <c r="D1047" s="536" t="s">
        <v>7054</v>
      </c>
      <c r="E1047" s="141">
        <v>21011885</v>
      </c>
      <c r="F1047" s="496" t="s">
        <v>6198</v>
      </c>
      <c r="G1047" s="536" t="s">
        <v>7053</v>
      </c>
      <c r="H1047" s="13" t="str">
        <f>IFERROR(VLOOKUP(G1047, Sheet2!$A:$B, 2, FALSE), A1047)</f>
        <v>MAXIM'S CATERERS LTD</v>
      </c>
      <c r="I1047" s="537" t="s">
        <v>352</v>
      </c>
      <c r="J1047" s="109" t="s">
        <v>6848</v>
      </c>
      <c r="K1047" s="109" t="s">
        <v>6832</v>
      </c>
      <c r="L1047" s="400" t="s">
        <v>6931</v>
      </c>
      <c r="M1047" s="126" t="s">
        <v>7030</v>
      </c>
      <c r="N1047" s="538"/>
      <c r="O1047" s="539" t="s">
        <v>6074</v>
      </c>
      <c r="P1047" s="538"/>
      <c r="Q1047" s="540">
        <v>46021</v>
      </c>
      <c r="R1047" s="540">
        <v>46385</v>
      </c>
      <c r="S1047" s="540">
        <v>46386</v>
      </c>
      <c r="T1047" s="141" t="s">
        <v>6715</v>
      </c>
      <c r="U1047" s="536" t="s">
        <v>6716</v>
      </c>
      <c r="V1047" s="141">
        <v>104683</v>
      </c>
      <c r="W1047" s="540" t="s">
        <v>7055</v>
      </c>
      <c r="X1047" s="400" t="s">
        <v>7049</v>
      </c>
      <c r="Y1047" s="541"/>
      <c r="Z1047" t="s">
        <v>4275</v>
      </c>
      <c r="AA1047" t="s">
        <v>4275</v>
      </c>
      <c r="AB1047" t="s">
        <v>4275</v>
      </c>
      <c r="AC1047" t="s">
        <v>2680</v>
      </c>
      <c r="AD1047" s="536" t="s">
        <v>7056</v>
      </c>
    </row>
    <row r="1048" spans="1:30" ht="29">
      <c r="A1048" s="534" t="s">
        <v>350</v>
      </c>
      <c r="B1048" s="535" t="s">
        <v>933</v>
      </c>
      <c r="C1048" s="534"/>
      <c r="D1048" s="536" t="s">
        <v>7054</v>
      </c>
      <c r="E1048" s="141">
        <v>21011885</v>
      </c>
      <c r="F1048" s="496" t="s">
        <v>6198</v>
      </c>
      <c r="G1048" s="536" t="s">
        <v>7053</v>
      </c>
      <c r="H1048" s="13" t="str">
        <f>IFERROR(VLOOKUP(G1048, Sheet2!$A:$B, 2, FALSE), A1048)</f>
        <v>MAXIM'S CATERERS LTD</v>
      </c>
      <c r="I1048" s="537" t="s">
        <v>352</v>
      </c>
      <c r="J1048" s="109" t="s">
        <v>6848</v>
      </c>
      <c r="K1048" s="109" t="s">
        <v>6833</v>
      </c>
      <c r="L1048" s="400" t="s">
        <v>6932</v>
      </c>
      <c r="M1048" s="126" t="s">
        <v>7031</v>
      </c>
      <c r="N1048" s="538"/>
      <c r="O1048" s="539" t="s">
        <v>6074</v>
      </c>
      <c r="P1048" s="538"/>
      <c r="Q1048" s="540">
        <v>46021</v>
      </c>
      <c r="R1048" s="540">
        <v>46385</v>
      </c>
      <c r="S1048" s="540">
        <v>46386</v>
      </c>
      <c r="T1048" s="141" t="s">
        <v>6717</v>
      </c>
      <c r="U1048" s="536" t="s">
        <v>6718</v>
      </c>
      <c r="V1048" s="141">
        <v>104682</v>
      </c>
      <c r="W1048" s="540" t="s">
        <v>7055</v>
      </c>
      <c r="X1048" s="400" t="s">
        <v>7049</v>
      </c>
      <c r="Y1048" s="541"/>
      <c r="Z1048" t="s">
        <v>4275</v>
      </c>
      <c r="AA1048" t="s">
        <v>4275</v>
      </c>
      <c r="AB1048" t="s">
        <v>4275</v>
      </c>
      <c r="AC1048" t="s">
        <v>2680</v>
      </c>
      <c r="AD1048" s="536" t="s">
        <v>7056</v>
      </c>
    </row>
    <row r="1049" spans="1:30" ht="29">
      <c r="A1049" s="534" t="s">
        <v>350</v>
      </c>
      <c r="B1049" s="535" t="s">
        <v>933</v>
      </c>
      <c r="C1049" s="534"/>
      <c r="D1049" s="536" t="s">
        <v>7054</v>
      </c>
      <c r="E1049" s="141">
        <v>21011885</v>
      </c>
      <c r="F1049" s="496" t="s">
        <v>6198</v>
      </c>
      <c r="G1049" s="536" t="s">
        <v>7053</v>
      </c>
      <c r="H1049" s="13" t="str">
        <f>IFERROR(VLOOKUP(G1049, Sheet2!$A:$B, 2, FALSE), A1049)</f>
        <v>MAXIM'S CATERERS LTD</v>
      </c>
      <c r="I1049" s="537" t="s">
        <v>352</v>
      </c>
      <c r="J1049" s="109" t="s">
        <v>6848</v>
      </c>
      <c r="K1049" s="109" t="s">
        <v>6834</v>
      </c>
      <c r="L1049" s="400" t="s">
        <v>6933</v>
      </c>
      <c r="M1049" s="126" t="s">
        <v>7032</v>
      </c>
      <c r="N1049" s="538"/>
      <c r="O1049" s="539" t="s">
        <v>6074</v>
      </c>
      <c r="P1049" s="538"/>
      <c r="Q1049" s="540">
        <v>46021</v>
      </c>
      <c r="R1049" s="540">
        <v>46385</v>
      </c>
      <c r="S1049" s="540">
        <v>46386</v>
      </c>
      <c r="T1049" s="141" t="s">
        <v>6719</v>
      </c>
      <c r="U1049" s="536" t="s">
        <v>6720</v>
      </c>
      <c r="V1049" s="141">
        <v>104681</v>
      </c>
      <c r="W1049" s="540" t="s">
        <v>7055</v>
      </c>
      <c r="X1049" s="400" t="s">
        <v>7049</v>
      </c>
      <c r="Y1049" s="541"/>
      <c r="Z1049" t="s">
        <v>4275</v>
      </c>
      <c r="AA1049" t="s">
        <v>4275</v>
      </c>
      <c r="AB1049" t="s">
        <v>4275</v>
      </c>
      <c r="AC1049" t="s">
        <v>2680</v>
      </c>
      <c r="AD1049" s="536" t="s">
        <v>7056</v>
      </c>
    </row>
    <row r="1050" spans="1:30" ht="29">
      <c r="A1050" s="534" t="s">
        <v>350</v>
      </c>
      <c r="B1050" s="535" t="s">
        <v>933</v>
      </c>
      <c r="C1050" s="534"/>
      <c r="D1050" s="536" t="s">
        <v>7054</v>
      </c>
      <c r="E1050" s="141">
        <v>21011885</v>
      </c>
      <c r="F1050" s="496" t="s">
        <v>6198</v>
      </c>
      <c r="G1050" s="536" t="s">
        <v>7053</v>
      </c>
      <c r="H1050" s="13" t="str">
        <f>IFERROR(VLOOKUP(G1050, Sheet2!$A:$B, 2, FALSE), A1050)</f>
        <v>MAXIM'S CATERERS LTD</v>
      </c>
      <c r="I1050" s="537" t="s">
        <v>352</v>
      </c>
      <c r="J1050" s="109" t="s">
        <v>6848</v>
      </c>
      <c r="K1050" s="109" t="s">
        <v>6835</v>
      </c>
      <c r="L1050" s="400" t="s">
        <v>6934</v>
      </c>
      <c r="M1050" s="126" t="s">
        <v>7033</v>
      </c>
      <c r="N1050" s="538"/>
      <c r="O1050" s="539" t="s">
        <v>6074</v>
      </c>
      <c r="P1050" s="538"/>
      <c r="Q1050" s="540">
        <v>46021</v>
      </c>
      <c r="R1050" s="540">
        <v>46385</v>
      </c>
      <c r="S1050" s="540">
        <v>46386</v>
      </c>
      <c r="T1050" s="141" t="s">
        <v>6721</v>
      </c>
      <c r="U1050" s="536" t="s">
        <v>6722</v>
      </c>
      <c r="V1050" s="141">
        <v>104680</v>
      </c>
      <c r="W1050" s="540" t="s">
        <v>7055</v>
      </c>
      <c r="X1050" s="400" t="s">
        <v>7049</v>
      </c>
      <c r="Y1050" s="541"/>
      <c r="Z1050" t="s">
        <v>4275</v>
      </c>
      <c r="AA1050" t="s">
        <v>4275</v>
      </c>
      <c r="AB1050" t="s">
        <v>4275</v>
      </c>
      <c r="AC1050" t="s">
        <v>2680</v>
      </c>
      <c r="AD1050" s="536" t="s">
        <v>7056</v>
      </c>
    </row>
    <row r="1051" spans="1:30" ht="29">
      <c r="A1051" s="534" t="s">
        <v>350</v>
      </c>
      <c r="B1051" s="535" t="s">
        <v>933</v>
      </c>
      <c r="C1051" s="534"/>
      <c r="D1051" s="536" t="s">
        <v>7054</v>
      </c>
      <c r="E1051" s="141">
        <v>21011885</v>
      </c>
      <c r="F1051" s="496" t="s">
        <v>6198</v>
      </c>
      <c r="G1051" s="536" t="s">
        <v>7053</v>
      </c>
      <c r="H1051" s="13" t="str">
        <f>IFERROR(VLOOKUP(G1051, Sheet2!$A:$B, 2, FALSE), A1051)</f>
        <v>MAXIM'S CATERERS LTD</v>
      </c>
      <c r="I1051" s="537" t="s">
        <v>352</v>
      </c>
      <c r="J1051" s="109" t="s">
        <v>6848</v>
      </c>
      <c r="K1051" s="109" t="s">
        <v>6836</v>
      </c>
      <c r="L1051" s="400" t="s">
        <v>6935</v>
      </c>
      <c r="M1051" s="126" t="s">
        <v>7034</v>
      </c>
      <c r="N1051" s="538"/>
      <c r="O1051" s="539" t="s">
        <v>6074</v>
      </c>
      <c r="P1051" s="538"/>
      <c r="Q1051" s="540">
        <v>46021</v>
      </c>
      <c r="R1051" s="540">
        <v>46385</v>
      </c>
      <c r="S1051" s="540">
        <v>46386</v>
      </c>
      <c r="T1051" s="141" t="s">
        <v>6723</v>
      </c>
      <c r="U1051" s="536" t="s">
        <v>6724</v>
      </c>
      <c r="V1051" s="141">
        <v>104679</v>
      </c>
      <c r="W1051" s="540" t="s">
        <v>7055</v>
      </c>
      <c r="X1051" s="400" t="s">
        <v>7049</v>
      </c>
      <c r="Y1051" s="541"/>
      <c r="Z1051" t="s">
        <v>4275</v>
      </c>
      <c r="AA1051" t="s">
        <v>4275</v>
      </c>
      <c r="AB1051" t="s">
        <v>4275</v>
      </c>
      <c r="AC1051" t="s">
        <v>2680</v>
      </c>
      <c r="AD1051" s="536" t="s">
        <v>7056</v>
      </c>
    </row>
    <row r="1052" spans="1:30" ht="29">
      <c r="A1052" s="534" t="s">
        <v>350</v>
      </c>
      <c r="B1052" s="535" t="s">
        <v>933</v>
      </c>
      <c r="C1052" s="534"/>
      <c r="D1052" s="536" t="s">
        <v>7054</v>
      </c>
      <c r="E1052" s="141">
        <v>21011885</v>
      </c>
      <c r="F1052" s="496" t="s">
        <v>6198</v>
      </c>
      <c r="G1052" s="536" t="s">
        <v>7053</v>
      </c>
      <c r="H1052" s="13" t="str">
        <f>IFERROR(VLOOKUP(G1052, Sheet2!$A:$B, 2, FALSE), A1052)</f>
        <v>MAXIM'S CATERERS LTD</v>
      </c>
      <c r="I1052" s="537" t="s">
        <v>352</v>
      </c>
      <c r="J1052" s="109" t="s">
        <v>6848</v>
      </c>
      <c r="K1052" s="109" t="s">
        <v>6837</v>
      </c>
      <c r="L1052" s="400" t="s">
        <v>6936</v>
      </c>
      <c r="M1052" s="126" t="s">
        <v>7035</v>
      </c>
      <c r="N1052" s="538"/>
      <c r="O1052" s="539" t="s">
        <v>6074</v>
      </c>
      <c r="P1052" s="538"/>
      <c r="Q1052" s="540">
        <v>46021</v>
      </c>
      <c r="R1052" s="540">
        <v>46385</v>
      </c>
      <c r="S1052" s="540">
        <v>46386</v>
      </c>
      <c r="T1052" s="141" t="s">
        <v>6725</v>
      </c>
      <c r="U1052" s="536" t="s">
        <v>6726</v>
      </c>
      <c r="V1052" s="141">
        <v>104678</v>
      </c>
      <c r="W1052" s="540" t="s">
        <v>7055</v>
      </c>
      <c r="X1052" s="400" t="s">
        <v>7049</v>
      </c>
      <c r="Y1052" s="541"/>
      <c r="Z1052" t="s">
        <v>4275</v>
      </c>
      <c r="AA1052" t="s">
        <v>4275</v>
      </c>
      <c r="AB1052" t="s">
        <v>4275</v>
      </c>
      <c r="AC1052" t="s">
        <v>2680</v>
      </c>
      <c r="AD1052" s="536" t="s">
        <v>7056</v>
      </c>
    </row>
    <row r="1053" spans="1:30" ht="29">
      <c r="A1053" s="534" t="s">
        <v>350</v>
      </c>
      <c r="B1053" s="535" t="s">
        <v>933</v>
      </c>
      <c r="C1053" s="534"/>
      <c r="D1053" s="536" t="s">
        <v>7054</v>
      </c>
      <c r="E1053" s="141">
        <v>21011885</v>
      </c>
      <c r="F1053" s="496" t="s">
        <v>6198</v>
      </c>
      <c r="G1053" s="536" t="s">
        <v>7053</v>
      </c>
      <c r="H1053" s="13" t="str">
        <f>IFERROR(VLOOKUP(G1053, Sheet2!$A:$B, 2, FALSE), A1053)</f>
        <v>MAXIM'S CATERERS LTD</v>
      </c>
      <c r="I1053" s="537" t="s">
        <v>352</v>
      </c>
      <c r="J1053" s="109" t="s">
        <v>6848</v>
      </c>
      <c r="K1053" s="109" t="s">
        <v>6838</v>
      </c>
      <c r="L1053" s="400" t="s">
        <v>6937</v>
      </c>
      <c r="M1053" s="126" t="s">
        <v>7036</v>
      </c>
      <c r="N1053" s="538"/>
      <c r="O1053" s="539" t="s">
        <v>6074</v>
      </c>
      <c r="P1053" s="538"/>
      <c r="Q1053" s="540">
        <v>46021</v>
      </c>
      <c r="R1053" s="540">
        <v>46385</v>
      </c>
      <c r="S1053" s="540">
        <v>46386</v>
      </c>
      <c r="T1053" s="141" t="s">
        <v>6727</v>
      </c>
      <c r="U1053" s="536" t="s">
        <v>6728</v>
      </c>
      <c r="V1053" s="141">
        <v>104677</v>
      </c>
      <c r="W1053" s="540" t="s">
        <v>7055</v>
      </c>
      <c r="X1053" s="400" t="s">
        <v>7049</v>
      </c>
      <c r="Y1053" s="541"/>
      <c r="Z1053" t="s">
        <v>4275</v>
      </c>
      <c r="AA1053" t="s">
        <v>4275</v>
      </c>
      <c r="AB1053" t="s">
        <v>4275</v>
      </c>
      <c r="AC1053" t="s">
        <v>2680</v>
      </c>
      <c r="AD1053" s="536" t="s">
        <v>7056</v>
      </c>
    </row>
    <row r="1054" spans="1:30" ht="29">
      <c r="A1054" s="534" t="s">
        <v>350</v>
      </c>
      <c r="B1054" s="535" t="s">
        <v>933</v>
      </c>
      <c r="C1054" s="534"/>
      <c r="D1054" s="536" t="s">
        <v>7054</v>
      </c>
      <c r="E1054" s="141">
        <v>21011885</v>
      </c>
      <c r="F1054" s="496" t="s">
        <v>6198</v>
      </c>
      <c r="G1054" s="536" t="s">
        <v>7053</v>
      </c>
      <c r="H1054" s="13" t="str">
        <f>IFERROR(VLOOKUP(G1054, Sheet2!$A:$B, 2, FALSE), A1054)</f>
        <v>MAXIM'S CATERERS LTD</v>
      </c>
      <c r="I1054" s="537" t="s">
        <v>352</v>
      </c>
      <c r="J1054" s="109" t="s">
        <v>6848</v>
      </c>
      <c r="K1054" s="109" t="s">
        <v>6839</v>
      </c>
      <c r="L1054" s="400" t="s">
        <v>6938</v>
      </c>
      <c r="M1054" s="126" t="s">
        <v>7037</v>
      </c>
      <c r="N1054" s="538"/>
      <c r="O1054" s="539" t="s">
        <v>6074</v>
      </c>
      <c r="P1054" s="538"/>
      <c r="Q1054" s="540">
        <v>46021</v>
      </c>
      <c r="R1054" s="540">
        <v>46385</v>
      </c>
      <c r="S1054" s="540">
        <v>46386</v>
      </c>
      <c r="T1054" s="141" t="s">
        <v>6729</v>
      </c>
      <c r="U1054" s="536" t="s">
        <v>6730</v>
      </c>
      <c r="V1054" s="141">
        <v>104676</v>
      </c>
      <c r="W1054" s="540" t="s">
        <v>7055</v>
      </c>
      <c r="X1054" s="400" t="s">
        <v>7049</v>
      </c>
      <c r="Y1054" s="541"/>
      <c r="Z1054" t="s">
        <v>4275</v>
      </c>
      <c r="AA1054" t="s">
        <v>4275</v>
      </c>
      <c r="AB1054" t="s">
        <v>4275</v>
      </c>
      <c r="AC1054" t="s">
        <v>2680</v>
      </c>
      <c r="AD1054" s="536" t="s">
        <v>7056</v>
      </c>
    </row>
    <row r="1055" spans="1:30" ht="29">
      <c r="A1055" s="534" t="s">
        <v>350</v>
      </c>
      <c r="B1055" s="535" t="s">
        <v>933</v>
      </c>
      <c r="C1055" s="534"/>
      <c r="D1055" s="536" t="s">
        <v>7054</v>
      </c>
      <c r="E1055" s="141">
        <v>21011885</v>
      </c>
      <c r="F1055" s="496" t="s">
        <v>6198</v>
      </c>
      <c r="G1055" s="536" t="s">
        <v>7053</v>
      </c>
      <c r="H1055" s="13" t="str">
        <f>IFERROR(VLOOKUP(G1055, Sheet2!$A:$B, 2, FALSE), A1055)</f>
        <v>MAXIM'S CATERERS LTD</v>
      </c>
      <c r="I1055" s="537" t="s">
        <v>352</v>
      </c>
      <c r="J1055" s="109" t="s">
        <v>6848</v>
      </c>
      <c r="K1055" s="109" t="s">
        <v>6840</v>
      </c>
      <c r="L1055" s="400" t="s">
        <v>6939</v>
      </c>
      <c r="M1055" s="126" t="s">
        <v>7038</v>
      </c>
      <c r="N1055" s="538"/>
      <c r="O1055" s="539" t="s">
        <v>6074</v>
      </c>
      <c r="P1055" s="538"/>
      <c r="Q1055" s="540">
        <v>46021</v>
      </c>
      <c r="R1055" s="540">
        <v>46385</v>
      </c>
      <c r="S1055" s="540">
        <v>46386</v>
      </c>
      <c r="T1055" s="141" t="s">
        <v>6731</v>
      </c>
      <c r="U1055" s="536" t="s">
        <v>6732</v>
      </c>
      <c r="V1055" s="141">
        <v>104675</v>
      </c>
      <c r="W1055" s="540" t="s">
        <v>7055</v>
      </c>
      <c r="X1055" s="400" t="s">
        <v>7049</v>
      </c>
      <c r="Y1055" s="541"/>
      <c r="Z1055" t="s">
        <v>4275</v>
      </c>
      <c r="AA1055" t="s">
        <v>4275</v>
      </c>
      <c r="AB1055" t="s">
        <v>4275</v>
      </c>
      <c r="AC1055" t="s">
        <v>2680</v>
      </c>
      <c r="AD1055" s="536" t="s">
        <v>7056</v>
      </c>
    </row>
    <row r="1056" spans="1:30" ht="29">
      <c r="A1056" s="534" t="s">
        <v>350</v>
      </c>
      <c r="B1056" s="535" t="s">
        <v>933</v>
      </c>
      <c r="C1056" s="534"/>
      <c r="D1056" s="536" t="s">
        <v>7054</v>
      </c>
      <c r="E1056" s="141">
        <v>21011885</v>
      </c>
      <c r="F1056" s="496" t="s">
        <v>6198</v>
      </c>
      <c r="G1056" s="536" t="s">
        <v>7053</v>
      </c>
      <c r="H1056" s="13" t="str">
        <f>IFERROR(VLOOKUP(G1056, Sheet2!$A:$B, 2, FALSE), A1056)</f>
        <v>MAXIM'S CATERERS LTD</v>
      </c>
      <c r="I1056" s="537" t="s">
        <v>352</v>
      </c>
      <c r="J1056" s="109" t="s">
        <v>6848</v>
      </c>
      <c r="K1056" s="109" t="s">
        <v>6841</v>
      </c>
      <c r="L1056" s="400" t="s">
        <v>6940</v>
      </c>
      <c r="M1056" s="126" t="s">
        <v>7039</v>
      </c>
      <c r="N1056" s="538"/>
      <c r="O1056" s="539" t="s">
        <v>6074</v>
      </c>
      <c r="P1056" s="538"/>
      <c r="Q1056" s="540">
        <v>46021</v>
      </c>
      <c r="R1056" s="540">
        <v>46385</v>
      </c>
      <c r="S1056" s="540">
        <v>46386</v>
      </c>
      <c r="T1056" s="141" t="s">
        <v>6733</v>
      </c>
      <c r="U1056" s="536" t="s">
        <v>6734</v>
      </c>
      <c r="V1056" s="141">
        <v>104674</v>
      </c>
      <c r="W1056" s="540" t="s">
        <v>7055</v>
      </c>
      <c r="X1056" s="400" t="s">
        <v>7049</v>
      </c>
      <c r="Y1056" s="541"/>
      <c r="Z1056" t="s">
        <v>4275</v>
      </c>
      <c r="AA1056" t="s">
        <v>4275</v>
      </c>
      <c r="AB1056" t="s">
        <v>4275</v>
      </c>
      <c r="AC1056" t="s">
        <v>2680</v>
      </c>
      <c r="AD1056" s="536" t="s">
        <v>7056</v>
      </c>
    </row>
    <row r="1057" spans="1:30" ht="29">
      <c r="A1057" s="534" t="s">
        <v>350</v>
      </c>
      <c r="B1057" s="535" t="s">
        <v>933</v>
      </c>
      <c r="C1057" s="534"/>
      <c r="D1057" s="536" t="s">
        <v>7054</v>
      </c>
      <c r="E1057" s="141">
        <v>21011885</v>
      </c>
      <c r="F1057" s="496" t="s">
        <v>6198</v>
      </c>
      <c r="G1057" s="536" t="s">
        <v>7053</v>
      </c>
      <c r="H1057" s="13" t="str">
        <f>IFERROR(VLOOKUP(G1057, Sheet2!$A:$B, 2, FALSE), A1057)</f>
        <v>MAXIM'S CATERERS LTD</v>
      </c>
      <c r="I1057" s="537" t="s">
        <v>352</v>
      </c>
      <c r="J1057" s="109" t="s">
        <v>6848</v>
      </c>
      <c r="K1057" s="109" t="s">
        <v>6842</v>
      </c>
      <c r="L1057" s="400" t="s">
        <v>6941</v>
      </c>
      <c r="M1057" s="126" t="s">
        <v>7040</v>
      </c>
      <c r="N1057" s="538"/>
      <c r="O1057" s="539" t="s">
        <v>6074</v>
      </c>
      <c r="P1057" s="538"/>
      <c r="Q1057" s="540">
        <v>46021</v>
      </c>
      <c r="R1057" s="540">
        <v>46385</v>
      </c>
      <c r="S1057" s="540">
        <v>46386</v>
      </c>
      <c r="T1057" s="141" t="s">
        <v>6735</v>
      </c>
      <c r="U1057" s="536" t="s">
        <v>6736</v>
      </c>
      <c r="V1057" s="141">
        <v>104673</v>
      </c>
      <c r="W1057" s="540" t="s">
        <v>7055</v>
      </c>
      <c r="X1057" s="400" t="s">
        <v>7049</v>
      </c>
      <c r="Y1057" s="541"/>
      <c r="Z1057" t="s">
        <v>4275</v>
      </c>
      <c r="AA1057" t="s">
        <v>4275</v>
      </c>
      <c r="AB1057" t="s">
        <v>4275</v>
      </c>
      <c r="AC1057" t="s">
        <v>2680</v>
      </c>
      <c r="AD1057" s="536" t="s">
        <v>7056</v>
      </c>
    </row>
    <row r="1058" spans="1:30" ht="29">
      <c r="A1058" s="534" t="s">
        <v>350</v>
      </c>
      <c r="B1058" s="535" t="s">
        <v>933</v>
      </c>
      <c r="C1058" s="534"/>
      <c r="D1058" s="536" t="s">
        <v>7054</v>
      </c>
      <c r="E1058" s="141">
        <v>21011885</v>
      </c>
      <c r="F1058" s="496" t="s">
        <v>6198</v>
      </c>
      <c r="G1058" s="536" t="s">
        <v>7053</v>
      </c>
      <c r="H1058" s="13" t="str">
        <f>IFERROR(VLOOKUP(G1058, Sheet2!$A:$B, 2, FALSE), A1058)</f>
        <v>MAXIM'S CATERERS LTD</v>
      </c>
      <c r="I1058" s="537" t="s">
        <v>352</v>
      </c>
      <c r="J1058" s="109" t="s">
        <v>6848</v>
      </c>
      <c r="K1058" s="109" t="s">
        <v>6843</v>
      </c>
      <c r="L1058" s="400" t="s">
        <v>6942</v>
      </c>
      <c r="M1058" s="126" t="s">
        <v>7041</v>
      </c>
      <c r="N1058" s="538"/>
      <c r="O1058" s="539" t="s">
        <v>6074</v>
      </c>
      <c r="P1058" s="538"/>
      <c r="Q1058" s="540">
        <v>46021</v>
      </c>
      <c r="R1058" s="540">
        <v>46385</v>
      </c>
      <c r="S1058" s="540">
        <v>46386</v>
      </c>
      <c r="T1058" s="141" t="s">
        <v>6737</v>
      </c>
      <c r="U1058" s="536" t="s">
        <v>6738</v>
      </c>
      <c r="V1058" s="141">
        <v>104672</v>
      </c>
      <c r="W1058" s="540" t="s">
        <v>7055</v>
      </c>
      <c r="X1058" s="400" t="s">
        <v>7049</v>
      </c>
      <c r="Y1058" s="541"/>
      <c r="Z1058" t="s">
        <v>4275</v>
      </c>
      <c r="AA1058" t="s">
        <v>4275</v>
      </c>
      <c r="AB1058" t="s">
        <v>4275</v>
      </c>
      <c r="AC1058" t="s">
        <v>2680</v>
      </c>
      <c r="AD1058" s="536" t="s">
        <v>7056</v>
      </c>
    </row>
    <row r="1059" spans="1:30" ht="29">
      <c r="A1059" s="534" t="s">
        <v>350</v>
      </c>
      <c r="B1059" s="535" t="s">
        <v>933</v>
      </c>
      <c r="C1059" s="534"/>
      <c r="D1059" s="536" t="s">
        <v>7054</v>
      </c>
      <c r="E1059" s="141">
        <v>21011885</v>
      </c>
      <c r="F1059" s="496" t="s">
        <v>6198</v>
      </c>
      <c r="G1059" s="536" t="s">
        <v>7053</v>
      </c>
      <c r="H1059" s="13" t="str">
        <f>IFERROR(VLOOKUP(G1059, Sheet2!$A:$B, 2, FALSE), A1059)</f>
        <v>MAXIM'S CATERERS LTD</v>
      </c>
      <c r="I1059" s="537" t="s">
        <v>352</v>
      </c>
      <c r="J1059" s="109" t="s">
        <v>6848</v>
      </c>
      <c r="K1059" s="109" t="s">
        <v>6844</v>
      </c>
      <c r="L1059" s="400" t="s">
        <v>6943</v>
      </c>
      <c r="M1059" s="126" t="s">
        <v>7042</v>
      </c>
      <c r="N1059" s="538"/>
      <c r="O1059" s="539" t="s">
        <v>6074</v>
      </c>
      <c r="P1059" s="538"/>
      <c r="Q1059" s="540">
        <v>46021</v>
      </c>
      <c r="R1059" s="540">
        <v>46385</v>
      </c>
      <c r="S1059" s="540">
        <v>46386</v>
      </c>
      <c r="T1059" s="141" t="s">
        <v>6739</v>
      </c>
      <c r="U1059" s="536" t="s">
        <v>6740</v>
      </c>
      <c r="V1059" s="141">
        <v>104671</v>
      </c>
      <c r="W1059" s="540" t="s">
        <v>7055</v>
      </c>
      <c r="X1059" s="400" t="s">
        <v>7049</v>
      </c>
      <c r="Y1059" s="541"/>
      <c r="Z1059" t="s">
        <v>4275</v>
      </c>
      <c r="AA1059" t="s">
        <v>4275</v>
      </c>
      <c r="AB1059" t="s">
        <v>4275</v>
      </c>
      <c r="AC1059" t="s">
        <v>2680</v>
      </c>
      <c r="AD1059" s="536" t="s">
        <v>7056</v>
      </c>
    </row>
    <row r="1060" spans="1:30" ht="29">
      <c r="A1060" s="534" t="s">
        <v>350</v>
      </c>
      <c r="B1060" s="535" t="s">
        <v>933</v>
      </c>
      <c r="C1060" s="534"/>
      <c r="D1060" s="536" t="s">
        <v>7054</v>
      </c>
      <c r="E1060" s="141">
        <v>21011885</v>
      </c>
      <c r="F1060" s="496" t="s">
        <v>6198</v>
      </c>
      <c r="G1060" s="536" t="s">
        <v>7053</v>
      </c>
      <c r="H1060" s="13" t="str">
        <f>IFERROR(VLOOKUP(G1060, Sheet2!$A:$B, 2, FALSE), A1060)</f>
        <v>MAXIM'S CATERERS LTD</v>
      </c>
      <c r="I1060" s="537" t="s">
        <v>352</v>
      </c>
      <c r="J1060" s="109" t="s">
        <v>6848</v>
      </c>
      <c r="K1060" s="109" t="s">
        <v>6845</v>
      </c>
      <c r="L1060" t="s">
        <v>6944</v>
      </c>
      <c r="M1060" s="542" t="s">
        <v>7043</v>
      </c>
      <c r="N1060" s="538"/>
      <c r="O1060" s="539" t="s">
        <v>6074</v>
      </c>
      <c r="P1060" s="538"/>
      <c r="Q1060" s="540">
        <v>46021</v>
      </c>
      <c r="R1060" s="540">
        <v>46385</v>
      </c>
      <c r="S1060" s="540">
        <v>46386</v>
      </c>
      <c r="T1060" s="141" t="s">
        <v>6741</v>
      </c>
      <c r="U1060" s="536" t="s">
        <v>6742</v>
      </c>
      <c r="V1060" s="141">
        <v>104670</v>
      </c>
      <c r="W1060" s="540" t="s">
        <v>7055</v>
      </c>
      <c r="X1060" s="400" t="s">
        <v>7049</v>
      </c>
      <c r="Y1060" s="541"/>
      <c r="Z1060" t="s">
        <v>4275</v>
      </c>
      <c r="AA1060" t="s">
        <v>4275</v>
      </c>
      <c r="AB1060" t="s">
        <v>4275</v>
      </c>
      <c r="AC1060" t="s">
        <v>2680</v>
      </c>
      <c r="AD1060" s="536" t="s">
        <v>7056</v>
      </c>
    </row>
    <row r="1061" spans="1:30" ht="29">
      <c r="A1061" s="534" t="s">
        <v>350</v>
      </c>
      <c r="B1061" s="535" t="s">
        <v>933</v>
      </c>
      <c r="C1061" s="534"/>
      <c r="D1061" s="536" t="s">
        <v>7054</v>
      </c>
      <c r="E1061" s="141">
        <v>21011885</v>
      </c>
      <c r="F1061" s="496" t="s">
        <v>6198</v>
      </c>
      <c r="G1061" s="536" t="s">
        <v>7053</v>
      </c>
      <c r="H1061" s="13" t="str">
        <f>IFERROR(VLOOKUP(G1061, Sheet2!$A:$B, 2, FALSE), A1061)</f>
        <v>MAXIM'S CATERERS LTD</v>
      </c>
      <c r="I1061" s="537" t="s">
        <v>352</v>
      </c>
      <c r="J1061" s="109" t="s">
        <v>6848</v>
      </c>
      <c r="K1061" s="109" t="s">
        <v>6846</v>
      </c>
      <c r="L1061" t="s">
        <v>6945</v>
      </c>
      <c r="M1061" s="543" t="s">
        <v>7044</v>
      </c>
      <c r="N1061" s="538"/>
      <c r="O1061" s="539" t="s">
        <v>6074</v>
      </c>
      <c r="P1061" s="538"/>
      <c r="Q1061" s="540">
        <v>46021</v>
      </c>
      <c r="R1061" s="540">
        <v>46385</v>
      </c>
      <c r="S1061" s="540">
        <v>46386</v>
      </c>
      <c r="T1061" s="141" t="s">
        <v>6743</v>
      </c>
      <c r="U1061" s="141" t="s">
        <v>6744</v>
      </c>
      <c r="V1061" s="141">
        <v>104698</v>
      </c>
      <c r="W1061" s="540" t="s">
        <v>7055</v>
      </c>
      <c r="X1061" s="400" t="s">
        <v>7049</v>
      </c>
      <c r="Y1061" s="541"/>
      <c r="Z1061" t="s">
        <v>4275</v>
      </c>
      <c r="AA1061" t="s">
        <v>4275</v>
      </c>
      <c r="AB1061" t="s">
        <v>4275</v>
      </c>
      <c r="AC1061" t="s">
        <v>2680</v>
      </c>
      <c r="AD1061" s="536" t="s">
        <v>7056</v>
      </c>
    </row>
    <row r="1062" spans="1:30" ht="29">
      <c r="A1062" s="534" t="s">
        <v>350</v>
      </c>
      <c r="B1062" s="535" t="s">
        <v>933</v>
      </c>
      <c r="C1062" s="534"/>
      <c r="D1062" s="536" t="s">
        <v>7054</v>
      </c>
      <c r="E1062" s="141">
        <v>21011885</v>
      </c>
      <c r="F1062" s="496" t="s">
        <v>6198</v>
      </c>
      <c r="G1062" s="536" t="s">
        <v>7053</v>
      </c>
      <c r="H1062" s="13" t="str">
        <f>IFERROR(VLOOKUP(G1062, Sheet2!$A:$B, 2, FALSE), A1062)</f>
        <v>MAXIM'S CATERERS LTD</v>
      </c>
      <c r="I1062" s="537" t="s">
        <v>352</v>
      </c>
      <c r="J1062" s="109" t="s">
        <v>6848</v>
      </c>
      <c r="K1062" s="109" t="s">
        <v>6847</v>
      </c>
      <c r="L1062" t="s">
        <v>6946</v>
      </c>
      <c r="M1062" s="543" t="s">
        <v>7045</v>
      </c>
      <c r="N1062" s="538"/>
      <c r="O1062" s="539" t="s">
        <v>6074</v>
      </c>
      <c r="P1062" s="538"/>
      <c r="Q1062" s="540">
        <v>46021</v>
      </c>
      <c r="R1062" s="540">
        <v>46385</v>
      </c>
      <c r="S1062" s="540">
        <v>46386</v>
      </c>
      <c r="T1062" s="141" t="s">
        <v>6745</v>
      </c>
      <c r="U1062" s="141" t="s">
        <v>6746</v>
      </c>
      <c r="V1062" s="141">
        <v>104697</v>
      </c>
      <c r="W1062" s="540" t="s">
        <v>7055</v>
      </c>
      <c r="X1062" s="400" t="s">
        <v>7049</v>
      </c>
      <c r="Y1062" s="541"/>
      <c r="Z1062" t="s">
        <v>4275</v>
      </c>
      <c r="AA1062" t="s">
        <v>4275</v>
      </c>
      <c r="AB1062" t="s">
        <v>4275</v>
      </c>
      <c r="AC1062" t="s">
        <v>2680</v>
      </c>
      <c r="AD1062" s="536" t="s">
        <v>7056</v>
      </c>
    </row>
    <row r="1063" spans="1:30" ht="29">
      <c r="A1063" s="534" t="s">
        <v>350</v>
      </c>
      <c r="B1063" s="535" t="s">
        <v>933</v>
      </c>
      <c r="C1063" s="534"/>
      <c r="D1063" s="536" t="s">
        <v>7054</v>
      </c>
      <c r="E1063" s="141">
        <v>21011885</v>
      </c>
      <c r="F1063" s="496" t="s">
        <v>6198</v>
      </c>
      <c r="G1063" s="536" t="s">
        <v>7053</v>
      </c>
      <c r="H1063" s="13" t="str">
        <f>IFERROR(VLOOKUP(G1063, Sheet2!$A:$B, 2, FALSE), A1063)</f>
        <v>MAXIM'S CATERERS LTD</v>
      </c>
      <c r="I1063" s="537" t="s">
        <v>352</v>
      </c>
      <c r="J1063" s="109" t="s">
        <v>6848</v>
      </c>
      <c r="K1063" s="109" t="s">
        <v>6848</v>
      </c>
      <c r="L1063" s="400" t="s">
        <v>6947</v>
      </c>
      <c r="M1063" s="544" t="s">
        <v>7046</v>
      </c>
      <c r="N1063" s="538"/>
      <c r="O1063" s="539" t="s">
        <v>6074</v>
      </c>
      <c r="P1063" s="538"/>
      <c r="Q1063" s="540">
        <v>46021</v>
      </c>
      <c r="R1063" s="540">
        <v>46385</v>
      </c>
      <c r="S1063" s="540">
        <v>46386</v>
      </c>
      <c r="T1063" s="141" t="s">
        <v>6747</v>
      </c>
      <c r="U1063" s="536" t="s">
        <v>6748</v>
      </c>
      <c r="V1063" s="141">
        <v>104669</v>
      </c>
      <c r="W1063" s="540" t="s">
        <v>7055</v>
      </c>
      <c r="X1063" s="400" t="s">
        <v>7050</v>
      </c>
      <c r="Y1063" s="541"/>
      <c r="Z1063" t="s">
        <v>4275</v>
      </c>
      <c r="AA1063" t="s">
        <v>4275</v>
      </c>
      <c r="AB1063" t="s">
        <v>4275</v>
      </c>
      <c r="AC1063" t="s">
        <v>2680</v>
      </c>
      <c r="AD1063" s="536" t="s">
        <v>7056</v>
      </c>
    </row>
    <row r="1064" spans="1:30" ht="29">
      <c r="A1064" s="534" t="s">
        <v>350</v>
      </c>
      <c r="B1064" s="535" t="s">
        <v>933</v>
      </c>
      <c r="C1064" s="534"/>
      <c r="D1064" s="536" t="s">
        <v>7054</v>
      </c>
      <c r="E1064" s="141">
        <v>21011885</v>
      </c>
      <c r="F1064" s="496" t="s">
        <v>6198</v>
      </c>
      <c r="G1064" s="536" t="s">
        <v>7053</v>
      </c>
      <c r="H1064" s="13" t="str">
        <f>IFERROR(VLOOKUP(G1064, Sheet2!$A:$B, 2, FALSE), A1064)</f>
        <v>MAXIM'S CATERERS LTD</v>
      </c>
      <c r="I1064" s="537" t="s">
        <v>352</v>
      </c>
      <c r="J1064" s="109" t="s">
        <v>6848</v>
      </c>
      <c r="K1064" s="109" t="s">
        <v>6849</v>
      </c>
      <c r="L1064" s="400" t="s">
        <v>6948</v>
      </c>
      <c r="M1064" s="544" t="s">
        <v>7047</v>
      </c>
      <c r="N1064" s="538"/>
      <c r="O1064" s="539" t="s">
        <v>6074</v>
      </c>
      <c r="P1064" s="538"/>
      <c r="Q1064" s="540">
        <v>46021</v>
      </c>
      <c r="R1064" s="540">
        <v>46385</v>
      </c>
      <c r="S1064" s="540">
        <v>46386</v>
      </c>
      <c r="T1064" s="141" t="s">
        <v>6749</v>
      </c>
      <c r="U1064" s="536" t="s">
        <v>6750</v>
      </c>
      <c r="V1064" s="141" t="s">
        <v>6751</v>
      </c>
      <c r="W1064" s="540" t="s">
        <v>7055</v>
      </c>
      <c r="X1064" s="400" t="s">
        <v>7051</v>
      </c>
      <c r="Y1064" s="541"/>
      <c r="Z1064" t="s">
        <v>4275</v>
      </c>
      <c r="AA1064" t="s">
        <v>4275</v>
      </c>
      <c r="AB1064" t="s">
        <v>4275</v>
      </c>
      <c r="AC1064" t="s">
        <v>2680</v>
      </c>
      <c r="AD1064" s="536" t="s">
        <v>7056</v>
      </c>
    </row>
    <row r="1065" spans="1:30" ht="29">
      <c r="A1065" s="534" t="s">
        <v>350</v>
      </c>
      <c r="B1065" s="535" t="s">
        <v>933</v>
      </c>
      <c r="C1065" s="534"/>
      <c r="D1065" s="536" t="s">
        <v>7054</v>
      </c>
      <c r="E1065" s="141">
        <v>21011885</v>
      </c>
      <c r="F1065" s="496" t="s">
        <v>6198</v>
      </c>
      <c r="G1065" s="536" t="s">
        <v>7053</v>
      </c>
      <c r="H1065" s="13" t="str">
        <f>IFERROR(VLOOKUP(G1065, Sheet2!$A:$B, 2, FALSE), A1065)</f>
        <v>MAXIM'S CATERERS LTD</v>
      </c>
      <c r="I1065" s="537" t="s">
        <v>352</v>
      </c>
      <c r="J1065" s="109" t="s">
        <v>6848</v>
      </c>
      <c r="K1065" s="109" t="s">
        <v>6850</v>
      </c>
      <c r="L1065" s="400" t="s">
        <v>6949</v>
      </c>
      <c r="M1065" s="502" t="s">
        <v>7048</v>
      </c>
      <c r="N1065" s="538"/>
      <c r="O1065" s="539" t="s">
        <v>6074</v>
      </c>
      <c r="P1065" s="538"/>
      <c r="Q1065" s="540">
        <v>46021</v>
      </c>
      <c r="R1065" s="540">
        <v>46385</v>
      </c>
      <c r="S1065" s="540">
        <v>46386</v>
      </c>
      <c r="T1065" s="141" t="s">
        <v>6749</v>
      </c>
      <c r="U1065" s="536" t="s">
        <v>6750</v>
      </c>
      <c r="V1065" s="141" t="s">
        <v>6751</v>
      </c>
      <c r="W1065" s="540" t="s">
        <v>7055</v>
      </c>
      <c r="X1065" s="400" t="s">
        <v>7052</v>
      </c>
      <c r="Y1065" s="541"/>
      <c r="Z1065" t="s">
        <v>4275</v>
      </c>
      <c r="AA1065" t="s">
        <v>4275</v>
      </c>
      <c r="AB1065" t="s">
        <v>4275</v>
      </c>
      <c r="AC1065" t="s">
        <v>2680</v>
      </c>
      <c r="AD1065" s="536" t="s">
        <v>7056</v>
      </c>
    </row>
  </sheetData>
  <conditionalFormatting sqref="J317:J318">
    <cfRule type="duplicateValues" dxfId="2" priority="1"/>
  </conditionalFormatting>
  <conditionalFormatting sqref="J319">
    <cfRule type="duplicateValues" dxfId="1" priority="2"/>
  </conditionalFormatting>
  <conditionalFormatting sqref="J320:J339">
    <cfRule type="duplicateValues" dxfId="0" priority="3"/>
  </conditionalFormatting>
  <dataValidations count="8">
    <dataValidation type="list" allowBlank="1" showInputMessage="1" showErrorMessage="1" sqref="A2:A1065" xr:uid="{891C947A-A6BA-4B4B-83F9-D131EEBFA00F}">
      <formula1>"Account Created,Pre-Provisioning,Processing,Pending for other parties,Pending for order issued,Pending for Welcome Letter,Pending Closure,Completed,Cancelled"</formula1>
    </dataValidation>
    <dataValidation type="list" allowBlank="1" showInputMessage="1" showErrorMessage="1" sqref="I667 I676:I677 I724 I704 I720:I722" xr:uid="{56A494A2-3EE7-4A3E-9C7B-D7D203357724}">
      <formula1>" ,Micorsoft Azure,AWS (Amazon Web Service),Alibaba Cloud,Huawei Cloud,Google Cloud Platform (GCP)"</formula1>
    </dataValidation>
    <dataValidation type="list" allowBlank="1" showInputMessage="1" showErrorMessage="1" sqref="I688:I689 I666 I669:I673 I678:I679 I868:I869 I477:I662 I779:I784 I827:I828 I789 I800:I802 I853 I865 I2:I475 I682 I723 I895 I898 I901:I904 I907:I908 I911 I917 I931:I936 I943:I957 I959:I961 I963 I965" xr:uid="{23DA5A10-A40B-463A-94B8-7D5C1F1A0CF5}">
      <formula1>" ,Microsoft Azure,AWS (Amazon Web Service),Alibaba Cloud,Huawei Cloud,Google Cloud Platform (GCP)"</formula1>
    </dataValidation>
    <dataValidation type="list" allowBlank="1" showInputMessage="1" showErrorMessage="1" sqref="AA2" xr:uid="{18D0FEF7-FF4A-49CA-AE8F-BBBBF93A3579}">
      <formula1>"T2, T3, N/A"</formula1>
    </dataValidation>
    <dataValidation type="list" allowBlank="1" showInputMessage="1" showErrorMessage="1" sqref="B561:B564 B567:B605 B609 B611:B618 B624:B627 B782:B784 B780 B2:B472 B474:B475 B479:B549" xr:uid="{69328662-FB72-42CC-A384-89C83B551346}">
      <formula1>"New Install,Contract Renew,Misc Change,Termination"</formula1>
    </dataValidation>
    <dataValidation type="list" allowBlank="1" showInputMessage="1" showErrorMessage="1" sqref="C646:C648 C2:C643 C780:C784" xr:uid="{7AABB527-6C80-44F3-94E5-B71FBEA6407C}">
      <formula1>"Pre-Provisioning, Offset Amount, Permission Assign(Cloud Checker)"</formula1>
    </dataValidation>
    <dataValidation type="list" allowBlank="1" showInputMessage="1" showErrorMessage="1" sqref="I674:I675 I663:I665 I668 I705:I717 I683:I687 I690:I703 I476 I941:I942 I778 I725:I728 I730:I754 I966 I785:I788 I790:I799 I823:I825 I854:I864 I866:I867 I680:I681 I832:I852 I896:I897 I899:I900 I905:I906 I909:I910 I912:I916 I892:I894 I929:I930 I958 I962 I964 I803:I806 I808:I821 I870:I877 I881:I888 I919:I920 I922:I923 I938:I939 G739:G741" xr:uid="{A141D335-B224-49FF-A6DD-D7CED3FC09E8}">
      <formula1>" ,Micorsoft Azure,AWS (Amazon Web Service),AliCloud,Huawei Cloud,Google Cloud Platform (GCP),Tencent Cloud"</formula1>
    </dataValidation>
    <dataValidation type="list" allowBlank="1" showInputMessage="1" showErrorMessage="1" sqref="I807 I822 I826 I829:I831 I878:I880 I889:I891 I918 I921 I924:I928 I937 I940" xr:uid="{D042157D-EE4B-4155-9BEF-7291F4CB88F7}">
      <formula1>" ,Microsoft Azure,AWS (Amazon Web Service),Alibaba Cloud,Huawei Cloud,Google Cloud Platform (GCP),Tencent Cloud"</formula1>
    </dataValidation>
  </dataValidations>
  <hyperlinks>
    <hyperlink ref="F928" r:id="rId1" xr:uid="{539B255B-8780-4865-A38D-A2E7DDDCA5A6}"/>
    <hyperlink ref="AD927" r:id="rId2" xr:uid="{58A9E3D9-EA5D-44CB-9400-3C9C2B5415F1}"/>
    <hyperlink ref="AD926" r:id="rId3" xr:uid="{03AEF20D-AE76-4CA0-B60E-D78925D4112C}"/>
    <hyperlink ref="F927" r:id="rId4" xr:uid="{0EC4FF9E-C6F5-436A-BB5B-12DA5BC9DF4B}"/>
    <hyperlink ref="F926" r:id="rId5" xr:uid="{3C5B9EB0-F50D-44CF-95FA-D60F62F3A653}"/>
    <hyperlink ref="F925" r:id="rId6" xr:uid="{B1F9F306-6F73-49ED-9618-408477A49F54}"/>
    <hyperlink ref="AD925" r:id="rId7" xr:uid="{8B995EA2-6449-4F22-B2D5-FB78B0404BBC}"/>
    <hyperlink ref="AD924" r:id="rId8" xr:uid="{D797E9A4-D1C3-415B-8C35-C0A73CAFD770}"/>
    <hyperlink ref="F924" r:id="rId9" xr:uid="{2B409A64-F662-44F1-B064-20B868C262F2}"/>
    <hyperlink ref="AD907" r:id="rId10" xr:uid="{8C30A913-9B46-4953-AD1B-23F2CD9B4B17}"/>
    <hyperlink ref="AD923" r:id="rId11" xr:uid="{8E0D515C-D093-4097-A6B5-2D55B487B5CD}"/>
    <hyperlink ref="F923" r:id="rId12" xr:uid="{FB1DF9F3-6F7A-4814-A5BD-AC3779D43737}"/>
    <hyperlink ref="M923" r:id="rId13" xr:uid="{9A4C7C65-3C80-4424-B75E-333BC6B9464E}"/>
    <hyperlink ref="F920" r:id="rId14" xr:uid="{C30C00CD-8B90-40DE-94DE-93DBF8610209}"/>
    <hyperlink ref="F921" r:id="rId15" xr:uid="{B64EDCFC-A798-45B0-A323-077E6F7D4F97}"/>
    <hyperlink ref="F922" r:id="rId16" xr:uid="{69A209E6-1D42-4E9F-A9FD-9D2D82DD4082}"/>
    <hyperlink ref="M922" r:id="rId17" xr:uid="{50D0C3D1-C1AB-4816-B70C-344393867564}"/>
    <hyperlink ref="M892" r:id="rId18" xr:uid="{BDD44BCE-6EDC-454D-9062-ABDC392D7614}"/>
    <hyperlink ref="F892" r:id="rId19" xr:uid="{A2A62E84-ECA0-4A83-8B91-087E12EC3099}"/>
    <hyperlink ref="M920" r:id="rId20" xr:uid="{23C19D0E-BC35-474E-8E89-1A21E36D56D3}"/>
    <hyperlink ref="AD921" r:id="rId21" xr:uid="{EB2184F1-732B-454E-AD86-19C650D32E6A}"/>
    <hyperlink ref="M916" r:id="rId22" xr:uid="{8838EB5E-DACD-432E-BD7A-B8E6ED0D6D26}"/>
    <hyperlink ref="AD917" r:id="rId23" xr:uid="{EB55D598-9F0D-4D5F-8380-A88C5E31D212}"/>
    <hyperlink ref="AD916" r:id="rId24" xr:uid="{F251D0F2-E610-41EC-8BF7-E743359F61A9}"/>
    <hyperlink ref="F916" r:id="rId25" xr:uid="{208B07EA-8398-4F17-B8A8-593C501D3E84}"/>
    <hyperlink ref="M917" r:id="rId26" xr:uid="{CFC7E0D2-600E-48FE-B68C-FB253C69EA56}"/>
    <hyperlink ref="AD915" r:id="rId27" xr:uid="{A86DF910-9F4A-47BF-AEF6-A08DBD556887}"/>
    <hyperlink ref="M914" r:id="rId28" xr:uid="{F6EFD4F0-8839-404B-9CA1-9CD6C29151BF}"/>
    <hyperlink ref="F914" r:id="rId29" xr:uid="{20456AE6-A291-47E4-AC54-92218C241292}"/>
    <hyperlink ref="M913" r:id="rId30" xr:uid="{A67DAA35-E467-43C5-AC28-9A43BEEED130}"/>
    <hyperlink ref="F913" r:id="rId31" xr:uid="{EA84C8E6-6F73-422D-9A58-430AF0A32D22}"/>
    <hyperlink ref="M911" r:id="rId32" xr:uid="{ED130ABE-73FA-463E-84EE-44CD35A7F0C9}"/>
    <hyperlink ref="F911" r:id="rId33" xr:uid="{B9E2F23C-6A90-44E6-AD65-C94BF323E32A}"/>
    <hyperlink ref="AD902" r:id="rId34" xr:uid="{54484AF7-1603-48BA-80FE-DB58C9478785}"/>
    <hyperlink ref="M902" r:id="rId35" xr:uid="{4E46EABF-1CCA-450D-89B1-F92AC123F639}"/>
    <hyperlink ref="F902" r:id="rId36" xr:uid="{F4A051A1-E073-4722-A64E-C3996E30AF00}"/>
    <hyperlink ref="M910" r:id="rId37" xr:uid="{1381B721-A1ED-46AA-95C6-6FBADB74AF65}"/>
    <hyperlink ref="M909" r:id="rId38" xr:uid="{F230A0DD-1F82-4256-994E-3E525792E769}"/>
    <hyperlink ref="F910" r:id="rId39" xr:uid="{674E9CB5-BE97-4E87-A23A-B94345AFE119}"/>
    <hyperlink ref="F909" r:id="rId40" xr:uid="{F5124315-587C-4518-AAD4-0F4A34C2AAA4}"/>
    <hyperlink ref="AD908" r:id="rId41" xr:uid="{6E595C11-CAE2-45E4-BD01-7AE6C14D5C6C}"/>
    <hyperlink ref="M908" r:id="rId42" xr:uid="{C85DE819-D8C5-4C37-B973-3FEC4F30AA25}"/>
    <hyperlink ref="M907" r:id="rId43" xr:uid="{A2C13F91-E06C-4815-A8AA-64CF6EF54857}"/>
    <hyperlink ref="M900" r:id="rId44" xr:uid="{CD69F44F-7B6E-4759-BA30-BF19B6505D72}"/>
    <hyperlink ref="M906" r:id="rId45" xr:uid="{7A679272-016B-400D-B931-04D5E74022A7}"/>
    <hyperlink ref="M905" r:id="rId46" xr:uid="{2A07F363-FBE2-435F-9FCF-C91BD4D357A8}"/>
    <hyperlink ref="X906" r:id="rId47" display="javascript:openWindow('/servlet/IncidentDetailServlet?incidentId=SD11803168%27);" xr:uid="{802B22D2-2836-4B3B-B722-41D04AABC36D}"/>
    <hyperlink ref="X905" r:id="rId48" display="javascript:openWindow('/servlet/IncidentDetailServlet?incidentId=SD11803168%27);" xr:uid="{B3B91880-BA0A-4800-87D4-BA4441EF0527}"/>
    <hyperlink ref="AD906" r:id="rId49" display="http://10.10.10.209/OASIS_FILE_MANAGER/zip_files_download.php?qid=1517194&amp;serialno=UD25-00005746&amp;itemno=1&amp;token=d2fcc63539ab421111515b95e3d48e8c" xr:uid="{E7C38C17-0D91-4F42-9EA3-3157A913CCD8}"/>
    <hyperlink ref="AD905" r:id="rId50" display="http://10.10.10.209/OASIS_FILE_MANAGER/zip_files_download.php?qid=1517194&amp;serialno=UD25-00005746&amp;itemno=1&amp;token=d2fcc63539ab421111515b95e3d48e8c" xr:uid="{2238E55C-5D82-4907-9049-4067215C0042}"/>
    <hyperlink ref="AD904" r:id="rId51" display="http://10.10.10.209/OASIS_FILE_MANAGER/zip_files_download.php?qid=1517194&amp;serialno=UD25-00005746&amp;itemno=1&amp;token=d2fcc63539ab421111515b95e3d48e8c" xr:uid="{879C6CD1-6AC4-4A30-B160-54089953A95A}"/>
    <hyperlink ref="AD903" r:id="rId52" display="http://10.10.10.209/OASIS_FILE_MANAGER/zip_files_download.php?qid=1517194&amp;serialno=UD25-00005746&amp;itemno=1&amp;token=d2fcc63539ab421111515b95e3d48e8c" xr:uid="{B61D40EE-5DAD-4386-98BF-318800AC1D28}"/>
    <hyperlink ref="M904" r:id="rId53" xr:uid="{C947C912-37F4-417E-9057-F2B99114CC8E}"/>
    <hyperlink ref="M903" r:id="rId54" xr:uid="{B4D29638-F1CC-4493-A416-4684A4766687}"/>
    <hyperlink ref="M168" r:id="rId55" xr:uid="{6CE1D053-73CD-4C30-A1F8-722A002ECCEC}"/>
    <hyperlink ref="M169" r:id="rId56" xr:uid="{531BF5DD-5A51-47F7-A574-7E3DB24B0B23}"/>
    <hyperlink ref="M171" r:id="rId57" xr:uid="{FCD5A4C1-E08A-4378-8003-3C12656FCCAB}"/>
    <hyperlink ref="M170" r:id="rId58" xr:uid="{6B390AB9-5655-4D6E-9FF7-E949A2253F61}"/>
    <hyperlink ref="AD901" r:id="rId59" xr:uid="{A61D3445-0C44-47BF-9441-8AB9EA6CDA4A}"/>
    <hyperlink ref="M901" r:id="rId60" xr:uid="{EBC31159-6F23-4FA9-8388-86EBE75BD54E}"/>
    <hyperlink ref="F901" r:id="rId61" xr:uid="{2E5916B3-242E-499B-BE3E-1C8A2DE0D097}"/>
    <hyperlink ref="AD894" r:id="rId62" xr:uid="{9F52D060-6971-4239-84BB-961ADCCE6F6E}"/>
    <hyperlink ref="AD900" r:id="rId63" xr:uid="{36648039-B09C-4EC9-9CEC-6AA84B8DAC17}"/>
    <hyperlink ref="E900" r:id="rId64" xr:uid="{0AB5677A-BD68-4AFC-A407-A84BE161D9D0}"/>
    <hyperlink ref="AD870" r:id="rId65" xr:uid="{771D9E25-3257-445A-B596-C39D1696A931}"/>
    <hyperlink ref="F870" r:id="rId66" xr:uid="{D269B51F-F92C-4907-A28E-B78116A32E73}"/>
    <hyperlink ref="M899" r:id="rId67" xr:uid="{0CA473F5-C0D6-4C5E-952F-6B2EC07367E8}"/>
    <hyperlink ref="L899" r:id="rId68" xr:uid="{D4363DB3-7A12-4EC6-8960-9C1ED0F2BCD3}"/>
    <hyperlink ref="M898" r:id="rId69" xr:uid="{2B7DADCF-59E5-41E4-AC4B-B25B114E6AF1}"/>
    <hyperlink ref="AD898" r:id="rId70" xr:uid="{8B9A5380-AE40-46D6-8330-98069622A99D}"/>
    <hyperlink ref="F898" r:id="rId71" xr:uid="{C652F92C-73F4-477B-976B-9ADCCAF3286F}"/>
    <hyperlink ref="M896" r:id="rId72" xr:uid="{8E55C871-4738-467D-8060-C04A092EE295}"/>
    <hyperlink ref="F896" r:id="rId73" xr:uid="{9D152F24-21EF-48B8-B43A-53B5D7462274}"/>
    <hyperlink ref="AD896" r:id="rId74" xr:uid="{05D8EAA1-DA8D-4D46-9436-187BFA636973}"/>
    <hyperlink ref="M825" r:id="rId75" xr:uid="{6228CED4-B36A-453A-BD61-F169E3AAEDE2}"/>
    <hyperlink ref="M824" r:id="rId76" xr:uid="{2B2F238C-B3AE-4B51-860D-27FA6387EFEE}"/>
    <hyperlink ref="M895" r:id="rId77" xr:uid="{90EA2503-D318-44DA-A441-B583F575EFA4}"/>
    <hyperlink ref="AD895" r:id="rId78" xr:uid="{16235ED1-BA68-4CF8-BA80-FE4E3DD84738}"/>
    <hyperlink ref="F895" r:id="rId79" xr:uid="{659E4411-7884-47CB-8375-8B3D57873795}"/>
    <hyperlink ref="F894" r:id="rId80" xr:uid="{AC68193F-6D82-4820-B871-305F7DB7BED1}"/>
    <hyperlink ref="F893" r:id="rId81" xr:uid="{6AE6243A-135D-417B-9370-B82EEBBAC6F7}"/>
    <hyperlink ref="AD828" r:id="rId82" xr:uid="{580DAFA7-BFDB-40C8-9474-7BB333AF203C}"/>
    <hyperlink ref="F869" r:id="rId83" xr:uid="{67A906DD-C463-42E4-A22B-D653784E1D21}"/>
    <hyperlink ref="M869" r:id="rId84" xr:uid="{98B25D3D-F304-4CD3-94A2-1C21D10C8135}"/>
    <hyperlink ref="AD869" r:id="rId85" xr:uid="{BE723846-EEC2-494E-9ABB-3D0D5C89685F}"/>
    <hyperlink ref="F855" r:id="rId86" xr:uid="{BB0134BA-F65E-4A6C-BF10-C54E6E865606}"/>
    <hyperlink ref="AD855" r:id="rId87" xr:uid="{BA574AAF-C42B-4C6D-AB5F-3D42EE257E46}"/>
    <hyperlink ref="AD890" r:id="rId88" xr:uid="{236C5DC0-6489-444F-90CE-FB297A387F87}"/>
    <hyperlink ref="F891" r:id="rId89" display="http://10.10.10.209/OASIS_FILE_MANAGER/zip_files_download.php?qid=1489594&amp;serialno=UB25-00006668&amp;itemno=1&amp;token=d23f31f95c7e154f012227d36ac5a7e2" xr:uid="{A1453507-776C-438F-9981-4D8583117710}"/>
    <hyperlink ref="F890" r:id="rId90" display="http://10.10.10.209/OASIS_FILE_MANAGER/zip_files_download.php?qid=1489594&amp;serialno=UB25-00006668&amp;itemno=1&amp;token=d23f31f95c7e154f012227d36ac5a7e2" xr:uid="{06CD6598-0E36-4612-89AF-777A2D3F7654}"/>
    <hyperlink ref="F889" r:id="rId91" display="http://10.10.10.209/OASIS_FILE_MANAGER/zip_files_download.php?qid=1489594&amp;serialno=UB25-00006668&amp;itemno=1&amp;token=d23f31f95c7e154f012227d36ac5a7e2" xr:uid="{F41B7186-4180-4D58-91A0-5C335E6D0BD1}"/>
    <hyperlink ref="AD891" r:id="rId92" xr:uid="{6EAE4E84-9CFF-45AE-A1B6-9907F1BA1133}"/>
    <hyperlink ref="AD889" r:id="rId93" xr:uid="{D1708CFA-0C09-4590-BBEE-FB080284DB75}"/>
    <hyperlink ref="M888" r:id="rId94" xr:uid="{399E28C3-226D-4EC3-A1FA-FA6C378D0015}"/>
    <hyperlink ref="F888" r:id="rId95" xr:uid="{64A4502E-C9C7-42B1-AB7F-C188F5CA0DE6}"/>
    <hyperlink ref="AD888" r:id="rId96" xr:uid="{97EBEB58-B1E8-402B-9F4B-5D75CC8A4423}"/>
    <hyperlink ref="M874" r:id="rId97" xr:uid="{C0D989BC-93C9-41E1-9ACF-C22EECC612BB}"/>
    <hyperlink ref="M887" r:id="rId98" xr:uid="{070E2193-E7E4-4986-B0A1-0F7415C0680A}"/>
    <hyperlink ref="AD887" r:id="rId99" xr:uid="{1809F817-1950-42D6-9711-321F3530C9CC}"/>
    <hyperlink ref="F887" r:id="rId100" xr:uid="{C3713527-99A3-4A68-B2E8-E0EEA1D95841}"/>
    <hyperlink ref="F883" r:id="rId101" xr:uid="{A5C82DDF-8FE0-4C88-A155-C77A0959763D}"/>
    <hyperlink ref="F886" r:id="rId102" xr:uid="{B0C7C92B-8924-4F6D-B19F-2069A59A5D93}"/>
    <hyperlink ref="M886" r:id="rId103" xr:uid="{5F437212-A921-4E76-A15D-162FA2660DF3}"/>
    <hyperlink ref="D886" r:id="rId104" xr:uid="{A904FE09-6D2A-4B76-8B06-EDA73BBE072E}"/>
    <hyperlink ref="AD886" r:id="rId105" xr:uid="{DDE1415D-AC23-416D-98DE-EBA39EF675F0}"/>
    <hyperlink ref="M885" r:id="rId106" xr:uid="{F39AFED9-32FF-4B53-8E1F-5156F1B9DD98}"/>
    <hyperlink ref="F885" r:id="rId107" xr:uid="{EE240F73-29F2-4A5C-A944-C12CD8E1CB43}"/>
    <hyperlink ref="M866" r:id="rId108" xr:uid="{9A244B39-CC8B-42F4-8EDD-C7A3F01273A2}"/>
    <hyperlink ref="AD866" r:id="rId109" xr:uid="{8C2B745A-32CD-4DC9-9540-ECE04D0A4767}"/>
    <hyperlink ref="M884" r:id="rId110" xr:uid="{5C2883B5-C1B5-419A-A63D-046333C71AA7}"/>
    <hyperlink ref="AD884" r:id="rId111" xr:uid="{90872F2E-73DF-484F-8612-80A0EE2EC147}"/>
    <hyperlink ref="F884" r:id="rId112" xr:uid="{09D6C5A2-AC8A-48E6-9DD9-70FE99E5964D}"/>
    <hyperlink ref="M883" r:id="rId113" xr:uid="{4CC6BF80-7D33-4ADC-937B-92CDE8374050}"/>
    <hyperlink ref="M881" r:id="rId114" xr:uid="{1D3D84C8-B91A-401F-A8D2-A1E83E65B6CA}"/>
    <hyperlink ref="F881" r:id="rId115" xr:uid="{D369EC64-3DF6-4614-88D1-402020C18931}"/>
    <hyperlink ref="AD872" r:id="rId116" xr:uid="{FD37D7AF-F5D0-4279-931F-0FEEDAE1D9C7}"/>
    <hyperlink ref="AD880" r:id="rId117" xr:uid="{775A9F69-8A12-4FB3-A060-C1EC652E60BF}"/>
    <hyperlink ref="AD877" r:id="rId118" xr:uid="{AA1A3850-5C0F-4857-AA64-71C64E3BB07B}"/>
    <hyperlink ref="M875" r:id="rId119" xr:uid="{52FBFDA4-A64F-4A1B-8CD6-64EAE5448AFF}"/>
    <hyperlink ref="M877" r:id="rId120" xr:uid="{CFDC3C90-FABB-48D0-BF3C-6C89CE881471}"/>
    <hyperlink ref="F874" r:id="rId121" xr:uid="{82C9C2CC-9329-4DFD-8788-B76C5E8A8C89}"/>
    <hyperlink ref="AD879" r:id="rId122" xr:uid="{439DD17D-8F25-40E1-B828-C81907B890ED}"/>
    <hyperlink ref="AD878" r:id="rId123" xr:uid="{900E66D2-3496-4392-BF28-713D6DA838A3}"/>
    <hyperlink ref="F878" r:id="rId124" xr:uid="{83348018-A970-452F-8957-38D368FC266B}"/>
    <hyperlink ref="F877" r:id="rId125" xr:uid="{ED692F84-1F23-4093-ACE7-ADEC5E5A3043}"/>
    <hyperlink ref="M876" r:id="rId126" xr:uid="{33080E5A-1610-49C3-ADDF-11D373A146BB}"/>
    <hyperlink ref="AD876" r:id="rId127" xr:uid="{FA47E808-9C4B-4B33-8165-F8FABE5DF2E4}"/>
    <hyperlink ref="AD875" r:id="rId128" xr:uid="{93E583F8-C21E-464E-BBCF-58FAA044B943}"/>
    <hyperlink ref="F876" r:id="rId129" xr:uid="{EFFF5EEC-D7FF-4142-9CA0-8075B7076E08}"/>
    <hyperlink ref="F875" r:id="rId130" xr:uid="{AFC17539-BF34-4824-883C-D539C00EF6F7}"/>
    <hyperlink ref="AD873" r:id="rId131" xr:uid="{862C2C41-DE21-4806-9133-12BF6C0ED72F}"/>
    <hyperlink ref="F873" r:id="rId132" xr:uid="{6D556894-0530-4F0E-A775-7ACA10A28688}"/>
    <hyperlink ref="F872" r:id="rId133" xr:uid="{DDF81C76-6762-4F27-8B7D-DB9DF44A4A2E}"/>
    <hyperlink ref="AD871" r:id="rId134" xr:uid="{38096613-5CE7-48EB-B8B1-50970CCF482E}"/>
    <hyperlink ref="F871" r:id="rId135" xr:uid="{9BE9EBF6-BCD0-4781-B300-F8061743005D}"/>
    <hyperlink ref="M870" r:id="rId136" xr:uid="{5A6699B9-7CF2-49E3-80CE-A70D281F4654}"/>
    <hyperlink ref="F830" r:id="rId137" xr:uid="{DE6BBEF5-D6B0-462A-914F-3CC3D3F48F52}"/>
    <hyperlink ref="F829" r:id="rId138" xr:uid="{5965A721-8582-41C5-B5AD-58DF45EC9982}"/>
    <hyperlink ref="F847" r:id="rId139" xr:uid="{CD33CBAA-9F5A-434C-9AFA-FC728FE9216C}"/>
    <hyperlink ref="F836" r:id="rId140" xr:uid="{339CC70E-28CD-4A88-8846-D4BABD7EDFF9}"/>
    <hyperlink ref="F835" r:id="rId141" xr:uid="{EA86FCD8-892E-4BAA-88D8-5C132E289932}"/>
    <hyperlink ref="F834" r:id="rId142" xr:uid="{EDAFA57C-C607-40D0-9DC8-7CE7E6448782}"/>
    <hyperlink ref="F832" r:id="rId143" xr:uid="{D016D39D-8A11-46D3-B71D-AB16852D56D7}"/>
    <hyperlink ref="F831" r:id="rId144" xr:uid="{B0AC67EF-DC4C-4169-9096-A00A5B7F6C11}"/>
    <hyperlink ref="AD831" r:id="rId145" xr:uid="{9585D49E-5D74-4EC2-9F8D-9D75430A2BC9}"/>
    <hyperlink ref="AD830" r:id="rId146" xr:uid="{C842F682-E886-410E-A61D-7939D82439BA}"/>
    <hyperlink ref="AD829" r:id="rId147" xr:uid="{61AD7BC0-CB03-4B60-9CFE-65F78DB1CD7A}"/>
    <hyperlink ref="M868" r:id="rId148" xr:uid="{54052474-7CDE-4A12-BCC4-1D8C78ECDF92}"/>
    <hyperlink ref="AD868" r:id="rId149" xr:uid="{C701FF4F-28A3-48C1-974A-3D48FE5E22E8}"/>
    <hyperlink ref="F868" r:id="rId150" xr:uid="{6C5D02D9-9560-4EE3-AC1C-8475A6045A87}"/>
    <hyperlink ref="F866" r:id="rId151" xr:uid="{481621D7-D70E-4A3D-87F2-705C2C3D12E8}"/>
    <hyperlink ref="L865" r:id="rId152" xr:uid="{4CD8B45E-3E0D-42FE-A738-86EDFAAD57DF}"/>
    <hyperlink ref="F865" r:id="rId153" xr:uid="{35DB5042-3C3E-4E01-A6B1-911EA78B7445}"/>
    <hyperlink ref="M865" r:id="rId154" xr:uid="{63D233AC-B862-47EC-9E22-6981B36E4712}"/>
    <hyperlink ref="AD863" r:id="rId155" xr:uid="{09A297C1-73FC-4718-8583-FFC66F59D9F0}"/>
    <hyperlink ref="F863" r:id="rId156" xr:uid="{4C023F3B-34B9-416A-9943-43F36CB44552}"/>
    <hyperlink ref="AD858" r:id="rId157" xr:uid="{B0A29D8E-1141-4381-8144-B64020624FCB}"/>
    <hyperlink ref="F859" r:id="rId158" xr:uid="{5EF4DDC2-AA6F-4AC4-9FBD-F8AE7992AD05}"/>
    <hyperlink ref="AD859" r:id="rId159" xr:uid="{55D09BEE-D7F3-4869-9823-0093ED0FC0D9}"/>
    <hyperlink ref="AD862" r:id="rId160" xr:uid="{9A14FB22-5F64-4E29-A05C-7FEAF074109B}"/>
    <hyperlink ref="AD816" r:id="rId161" xr:uid="{2A612DB4-A48E-416B-A2C1-BAB7914A5772}"/>
    <hyperlink ref="F862" r:id="rId162" xr:uid="{F9ACFEA4-E1BA-4163-B3FC-F0EB562C0B27}"/>
    <hyperlink ref="F858" r:id="rId163" xr:uid="{ECF19B4C-2784-41B1-8F70-738E4892DC26}"/>
    <hyperlink ref="M855" r:id="rId164" xr:uid="{FF9CCF21-FE21-47E5-A86C-42688F1806E3}"/>
    <hyperlink ref="AD861" r:id="rId165" xr:uid="{9967E391-A34C-4B64-8154-2796D4A05376}"/>
    <hyperlink ref="AD860" r:id="rId166" xr:uid="{6C2FBA7B-77D1-4C32-BECD-C4B2944C8CCC}"/>
    <hyperlink ref="F861" r:id="rId167" xr:uid="{8B669C35-22AD-460C-A696-3728D6F9F11F}"/>
    <hyperlink ref="F860" r:id="rId168" xr:uid="{F6C95278-273E-4677-B8E2-661BEA9DC168}"/>
    <hyperlink ref="M856" r:id="rId169" xr:uid="{F1931717-0D3A-4FF4-893F-AF1083C5B60A}"/>
    <hyperlink ref="F856" r:id="rId170" xr:uid="{50917A7D-EF82-464D-8A50-D4491CFCDC9F}"/>
    <hyperlink ref="AD856" r:id="rId171" xr:uid="{E76C3A46-81EB-4911-9CCE-1FDAE6078F06}"/>
    <hyperlink ref="F857" r:id="rId172" xr:uid="{D0B4D05C-96E9-4857-94B5-65755F71A6EB}"/>
    <hyperlink ref="AD857" r:id="rId173" xr:uid="{601A1C16-133E-46F1-9081-D4F52A0BB86A}"/>
    <hyperlink ref="AD854" r:id="rId174" xr:uid="{97055A98-1782-4DE5-82C8-7566F11F7CC6}"/>
    <hyperlink ref="M854" r:id="rId175" xr:uid="{D94662B8-B2DF-418C-8DBA-345E7CE628D0}"/>
    <hyperlink ref="F854" r:id="rId176" xr:uid="{16700384-0217-4802-9DC2-6EC88249B955}"/>
    <hyperlink ref="M853" r:id="rId177" xr:uid="{5933AC2A-A67C-4F6E-B0C9-933CB0043334}"/>
    <hyperlink ref="F851" r:id="rId178" xr:uid="{FA1C85B8-3E11-4B4A-910B-EDAE9F52B5BC}"/>
    <hyperlink ref="M852" r:id="rId179" xr:uid="{64F5BBBD-BFFB-4C99-BF43-68A7A0D97C31}"/>
    <hyperlink ref="M851" r:id="rId180" xr:uid="{B464FA70-EB36-451E-9A70-CD027FDEB15E}"/>
    <hyperlink ref="M850" r:id="rId181" xr:uid="{78C23A31-7F36-4529-9D23-46EE56005C59}"/>
    <hyperlink ref="M849" r:id="rId182" xr:uid="{93C7A76E-54A8-4BE9-9854-BA2D0BA467CD}"/>
    <hyperlink ref="M848" r:id="rId183" xr:uid="{66ED6730-06E6-4AA9-B70C-77D89B954F7B}"/>
    <hyperlink ref="M847" r:id="rId184" xr:uid="{D1D431AC-AF76-4C8E-9470-4604E0C3F3A0}"/>
    <hyperlink ref="M846" r:id="rId185" xr:uid="{F3044486-0FC2-43EA-867C-C6AC59A34DFA}"/>
    <hyperlink ref="M845" r:id="rId186" xr:uid="{5130D59D-0F85-4733-A63A-F9EFEF7BCC34}"/>
    <hyperlink ref="M844" r:id="rId187" xr:uid="{EA430A32-1125-46FD-A527-D220FD85256D}"/>
    <hyperlink ref="M843" r:id="rId188" xr:uid="{8D1623E7-DEC4-4157-BE34-A64C5D2699A3}"/>
    <hyperlink ref="M842" r:id="rId189" xr:uid="{A6FA0F06-885A-4F3E-89C1-4B0FE4E0C7E6}"/>
    <hyperlink ref="M841" r:id="rId190" xr:uid="{9CCC0B6E-B594-4D2A-8217-F15BA77C6736}"/>
    <hyperlink ref="M840" r:id="rId191" xr:uid="{775D5162-892F-41F0-8608-24FBB0CAAB7A}"/>
    <hyperlink ref="M839" r:id="rId192" xr:uid="{287FB79C-959E-42BF-BCF4-EBF01A9E1B99}"/>
    <hyperlink ref="M838" r:id="rId193" xr:uid="{1C04A24E-C08B-4C66-BD1A-CD9543B087FD}"/>
    <hyperlink ref="M837" r:id="rId194" xr:uid="{28D3446F-A56E-4FEF-A0CA-4C66AC179F61}"/>
    <hyperlink ref="M836" r:id="rId195" xr:uid="{171030D5-F200-408F-B6EC-23A50D1EE986}"/>
    <hyperlink ref="M835" r:id="rId196" xr:uid="{626968CA-3BA0-49F0-B50D-632E893EEF78}"/>
    <hyperlink ref="M834" r:id="rId197" xr:uid="{72D3E248-9773-4174-B236-DEA9BEB37FDB}"/>
    <hyperlink ref="M833" r:id="rId198" xr:uid="{C95C6EDB-DF6E-4E7C-B093-63B89550E280}"/>
    <hyperlink ref="M832" r:id="rId199" xr:uid="{F735854C-B06C-4CD2-A05D-CFA301D44B9A}"/>
    <hyperlink ref="M828" r:id="rId200" xr:uid="{E27C4E88-103B-488A-959E-40C2614E4477}"/>
    <hyperlink ref="F828" r:id="rId201" xr:uid="{D99432AE-348D-4500-8FA7-1A18F440D9CD}"/>
    <hyperlink ref="M823" r:id="rId202" xr:uid="{3BE03735-5370-4F5B-AFCF-3C4DB425512C}"/>
    <hyperlink ref="AD823" r:id="rId203" xr:uid="{B689C669-067C-486D-A418-96B34550ACB7}"/>
    <hyperlink ref="AD827" r:id="rId204" xr:uid="{988DC21B-C712-423D-8174-3008542A4454}"/>
    <hyperlink ref="F827" r:id="rId205" xr:uid="{45E296F4-E532-4B7C-9CDF-ECF44C01EC13}"/>
    <hyperlink ref="AD826" r:id="rId206" xr:uid="{D63ECE37-B2EC-40E7-9599-666C3AE949CA}"/>
    <hyperlink ref="F826" r:id="rId207" xr:uid="{CD514779-4EF1-4AB2-984F-97355829B3AF}"/>
    <hyperlink ref="AD817" r:id="rId208" xr:uid="{01F5254A-A879-4845-BD38-18636D07C424}"/>
    <hyperlink ref="AD785" r:id="rId209" xr:uid="{13B448AB-532B-4B19-B064-E58B2178EE66}"/>
    <hyperlink ref="F785" r:id="rId210" xr:uid="{C42F6D77-D91C-4A1B-9D59-E59A2F0724EE}"/>
    <hyperlink ref="AD815" r:id="rId211" xr:uid="{0E51BF04-5D2C-42D6-891D-A84ECB539408}"/>
    <hyperlink ref="F816" r:id="rId212" display="soc@ha.org.hk" xr:uid="{00355657-CC56-4055-93EC-4B8D95E90907}"/>
    <hyperlink ref="F815" r:id="rId213" display="soc@ha.org.hk" xr:uid="{8792699D-28FF-4457-AB86-42D951B7CD8B}"/>
    <hyperlink ref="F814" r:id="rId214" display="soc@ha.org.hk" xr:uid="{46EDE772-E200-41E7-8821-2A6BB6414E18}"/>
    <hyperlink ref="F824" r:id="rId215" xr:uid="{F87D81D1-CA57-4EAE-A74B-6B52F0FC4A03}"/>
    <hyperlink ref="F823" r:id="rId216" xr:uid="{3B4AA113-A5E0-4A59-9B06-935317804373}"/>
    <hyperlink ref="AD822" r:id="rId217" xr:uid="{0D794581-A9C3-43A6-88DB-AEB0802F1C6C}"/>
    <hyperlink ref="AD819" r:id="rId218" xr:uid="{AC9A4706-63C5-4910-A17D-731AB9D5F1FE}"/>
    <hyperlink ref="M788" r:id="rId219" xr:uid="{9C7696E0-C155-4D68-B854-61BEC202FE1F}"/>
    <hyperlink ref="AD788" r:id="rId220" xr:uid="{1B5BCF3F-E8D3-4923-86EC-632DBBDDF157}"/>
    <hyperlink ref="AD797" r:id="rId221" xr:uid="{D7B3E23D-1218-4304-908F-EC95EC722DF6}"/>
    <hyperlink ref="AD796" r:id="rId222" xr:uid="{EC2CF902-0C45-4964-B285-9E6864846AC1}"/>
    <hyperlink ref="AD795" r:id="rId223" xr:uid="{4C6CCF38-1C22-4A70-945B-B2FE30133BC2}"/>
    <hyperlink ref="AD794" r:id="rId224" xr:uid="{2DF40541-34F9-4D66-AD74-FC2AD1F621B5}"/>
    <hyperlink ref="AD793" r:id="rId225" xr:uid="{E03E279A-004D-447F-9A66-062E1E16A4F4}"/>
    <hyperlink ref="AD792" r:id="rId226" xr:uid="{99A16D5A-E728-4B4E-912F-66682869BAEA}"/>
    <hyperlink ref="AD791" r:id="rId227" xr:uid="{13EC3C0E-963E-4652-863C-69CF66873308}"/>
    <hyperlink ref="F791" r:id="rId228" display="http://10.10.10.209/OASIS_FILE_MANAGER/zip_files_download.php?qid=1410754&amp;serialno=TI25-00003668&amp;itemno=1&amp;token=35a8d3955406018c0aaa17a463f8488b" xr:uid="{3CE487F8-8C3C-4F5C-8E78-AD71E4C0DA22}"/>
    <hyperlink ref="F797" r:id="rId229" display="http://10.10.10.209/OASIS_FILE_MANAGER/zip_files_download.php?qid=1410754&amp;serialno=TI25-00003668&amp;itemno=1&amp;token=35a8d3955406018c0aaa17a463f8488b" xr:uid="{A1215456-1CA9-4573-B709-605C524D9FD4}"/>
    <hyperlink ref="F796" r:id="rId230" display="http://10.10.10.209/OASIS_FILE_MANAGER/zip_files_download.php?qid=1410754&amp;serialno=TI25-00003668&amp;itemno=1&amp;token=35a8d3955406018c0aaa17a463f8488b" xr:uid="{D2D5AFC4-980E-4173-ADD6-154C7044861B}"/>
    <hyperlink ref="F795" r:id="rId231" display="http://10.10.10.209/OASIS_FILE_MANAGER/zip_files_download.php?qid=1410754&amp;serialno=TI25-00003668&amp;itemno=1&amp;token=35a8d3955406018c0aaa17a463f8488b" xr:uid="{3A877D77-2AF3-4E11-82D8-E002C49D2F36}"/>
    <hyperlink ref="F794" r:id="rId232" display="http://10.10.10.209/OASIS_FILE_MANAGER/zip_files_download.php?qid=1410754&amp;serialno=TI25-00003668&amp;itemno=1&amp;token=35a8d3955406018c0aaa17a463f8488b" xr:uid="{C1B6BEB3-E0F8-4610-B78C-76426930AB7F}"/>
    <hyperlink ref="F793" r:id="rId233" display="http://10.10.10.209/OASIS_FILE_MANAGER/zip_files_download.php?qid=1410754&amp;serialno=TI25-00003668&amp;itemno=1&amp;token=35a8d3955406018c0aaa17a463f8488b" xr:uid="{131DFBEF-5D1A-4DB5-AC7D-BE5D07629808}"/>
    <hyperlink ref="F792" r:id="rId234" display="http://10.10.10.209/OASIS_FILE_MANAGER/zip_files_download.php?qid=1410754&amp;serialno=TI25-00003668&amp;itemno=1&amp;token=35a8d3955406018c0aaa17a463f8488b" xr:uid="{A579C515-B494-4407-BCA0-188D568F0312}"/>
    <hyperlink ref="F790" r:id="rId235" display="http://10.10.10.209/OASIS_FILE_MANAGER/zip_files_download.php?qid=1410754&amp;serialno=TI25-00003668&amp;itemno=1&amp;token=35a8d3955406018c0aaa17a463f8488b" xr:uid="{EE422239-FDE3-4338-9DB7-553F9C1B54AE}"/>
    <hyperlink ref="M801" r:id="rId236" xr:uid="{D0E4305C-DC4D-4473-AFCB-E432C1839777}"/>
    <hyperlink ref="L801" r:id="rId237" xr:uid="{C9227137-D0B7-43E9-AA15-82A345845855}"/>
    <hyperlink ref="L800" r:id="rId238" xr:uid="{527A7564-3C08-4B59-825E-A2D9D76CFBCF}"/>
    <hyperlink ref="M800" r:id="rId239" xr:uid="{4F73389C-9FE9-43CA-A2AD-0ECBC83E27ED}"/>
    <hyperlink ref="F801" r:id="rId240" xr:uid="{8EC42D95-9E45-47D5-A6B9-9F0E060CDF26}"/>
    <hyperlink ref="AD801" r:id="rId241" xr:uid="{B974D1C1-5F0B-43BD-BB0A-3B76392F0946}"/>
    <hyperlink ref="AD800" r:id="rId242" xr:uid="{DA2DC681-5088-4539-8F9B-AB4AA23DE38A}"/>
    <hyperlink ref="F821" r:id="rId243" xr:uid="{04317A9C-754E-42AD-AFBD-64EC7E95BB4A}"/>
    <hyperlink ref="F820" r:id="rId244" xr:uid="{446CD8B0-1A00-4B16-9075-BCDEDBDEE399}"/>
    <hyperlink ref="AD821" r:id="rId245" xr:uid="{B84246AE-A420-4FE4-8049-382D0BD77482}"/>
    <hyperlink ref="AD820" r:id="rId246" xr:uid="{62CC4679-B74A-4D05-B5CC-B7A96C1C27FE}"/>
    <hyperlink ref="M784" r:id="rId247" xr:uid="{C7A62028-32E6-472D-82EE-B0BC8F003C86}"/>
    <hyperlink ref="F784" r:id="rId248" xr:uid="{71DE1B50-2CD3-4044-B035-45BCF2A71EF9}"/>
    <hyperlink ref="AD784" r:id="rId249" xr:uid="{943E965E-C85F-45FA-B086-6ABAC1883E24}"/>
    <hyperlink ref="AD818" r:id="rId250" xr:uid="{F27A014D-EA59-4AFC-88D4-D77463D91E43}"/>
    <hyperlink ref="F818" r:id="rId251" xr:uid="{62C0C95F-8931-4179-A16C-4EA60197F3AB}"/>
    <hyperlink ref="F817" r:id="rId252" xr:uid="{5E69FDC7-E150-49AD-9D2B-20F4A6501B13}"/>
    <hyperlink ref="M817" r:id="rId253" xr:uid="{E5AC1D46-E348-455B-A077-0E24FAB541BF}"/>
    <hyperlink ref="AD814" r:id="rId254" xr:uid="{01998884-31C2-41A7-ADC6-70F095C0D21D}"/>
    <hyperlink ref="F813" r:id="rId255" xr:uid="{750A651C-A583-4CD1-BD40-97AC32BE841B}"/>
    <hyperlink ref="AD813" r:id="rId256" xr:uid="{5831848D-E8F2-4F02-B4A7-52853F22C006}"/>
    <hyperlink ref="AD808" r:id="rId257" xr:uid="{D4586494-F0DE-4138-88A2-2253C203509B}"/>
    <hyperlink ref="M808" r:id="rId258" xr:uid="{BBF3A187-5E5D-473F-82E0-C83193CD2DF6}"/>
    <hyperlink ref="F808" r:id="rId259" xr:uid="{F0EDFBAA-EF86-4810-B1D4-ACBAF9D64A1E}"/>
    <hyperlink ref="F807" r:id="rId260" xr:uid="{AEB4543F-753C-4285-A353-AFB9B360C954}"/>
    <hyperlink ref="AD807" r:id="rId261" xr:uid="{CD8D758B-D9FC-48DF-81B0-51ACF18ABBE0}"/>
    <hyperlink ref="F788" r:id="rId262" xr:uid="{2D36967A-D108-4537-B8BE-149EAE120D6C}"/>
    <hyperlink ref="AD789" r:id="rId263" xr:uid="{C904E78A-35BC-4E08-B6E4-BEE687FE0209}"/>
    <hyperlink ref="M802" r:id="rId264" xr:uid="{99764A8D-5457-4313-8CC3-273B1BA393F6}"/>
    <hyperlink ref="M804" r:id="rId265" xr:uid="{A27D3764-A5FE-415C-9D0F-5FDEB4C1C060}"/>
    <hyperlink ref="F804" r:id="rId266" xr:uid="{564585B7-2371-4709-BACA-E1FA97000A6D}"/>
    <hyperlink ref="AD802" r:id="rId267" xr:uid="{18D54726-154C-4B58-BCBE-1577101ADAB9}"/>
    <hyperlink ref="AD804" r:id="rId268" xr:uid="{851B3234-5769-4242-8949-938E31F517DE}"/>
    <hyperlink ref="AD799" r:id="rId269" xr:uid="{48AC9B37-8C1D-409B-BE31-939A39DD36EE}"/>
    <hyperlink ref="F800" r:id="rId270" xr:uid="{BBB1E054-AF08-405F-9F1D-6E3BA41FF532}"/>
    <hyperlink ref="F799" r:id="rId271" xr:uid="{5265533A-A438-4A17-9DD4-814346D13EA1}"/>
    <hyperlink ref="AD798" r:id="rId272" xr:uid="{120C6F26-C127-4DFC-A0BB-37D95AF47BA5}"/>
    <hyperlink ref="F798" r:id="rId273" xr:uid="{DB0BCEA3-2A4A-43C7-9F19-613963D0175E}"/>
    <hyperlink ref="AD773" r:id="rId274" xr:uid="{16DDF13C-96D6-4AC5-9DF1-45CC9C3B06F7}"/>
    <hyperlink ref="F773" r:id="rId275" xr:uid="{88AAA2A6-F53E-4B2F-8961-6053610C0F38}"/>
    <hyperlink ref="AD754" r:id="rId276" xr:uid="{38427CA8-B85C-404F-93B7-91F7C1056693}"/>
    <hyperlink ref="AD790" r:id="rId277" xr:uid="{F415CEA9-DE73-42E1-AD4C-BE464159A2CE}"/>
    <hyperlink ref="M789" r:id="rId278" xr:uid="{42FA269F-927D-4BD8-8AF6-FDC2187D4A8B}"/>
    <hyperlink ref="F789" r:id="rId279" xr:uid="{8261ADA9-B6FC-4327-B312-CD74BD5C6716}"/>
    <hyperlink ref="AD663" r:id="rId280" xr:uid="{85480F63-815F-4582-B22B-218D97748115}"/>
    <hyperlink ref="AD685" r:id="rId281" xr:uid="{3D1E57E0-EE1B-4B8C-96A6-B8842D3F15A4}"/>
    <hyperlink ref="AD787" r:id="rId282" xr:uid="{024D5B17-1053-4B76-8315-DAC3AC9DFF47}"/>
    <hyperlink ref="AD721" r:id="rId283" xr:uid="{F03FE201-7630-4358-BB82-6AA84BF0413C}"/>
    <hyperlink ref="F787" r:id="rId284" xr:uid="{D66F6333-714C-48FF-A5BD-FE6E13FDFF3F}"/>
    <hyperlink ref="AD786" r:id="rId285" xr:uid="{8CD4F448-1F51-4409-93F1-22727E79D267}"/>
    <hyperlink ref="F786" r:id="rId286" xr:uid="{28CE7979-87CD-48CD-B644-254F768DA4F5}"/>
    <hyperlink ref="AD781" r:id="rId287" xr:uid="{8BBFD8D1-FF0F-40EE-BF08-EEDB1D990133}"/>
    <hyperlink ref="AD775" r:id="rId288" xr:uid="{5C0AEEF8-7605-48B4-B799-90C5D2F8D3BE}"/>
    <hyperlink ref="AD778" r:id="rId289" xr:uid="{9162AA3C-49F2-48EA-9AF4-3C6C0853B53F}"/>
    <hyperlink ref="AD782" r:id="rId290" xr:uid="{D31CAFAB-3924-4230-9753-53D509F36DF0}"/>
    <hyperlink ref="F781" r:id="rId291" display="terence.lee@hkairport.com" xr:uid="{334D7984-0F7A-4ED6-9BEF-227C02279AD6}"/>
    <hyperlink ref="M768" r:id="rId292" xr:uid="{5E998C18-2E5B-46AF-B86C-847E987F4C7A}"/>
    <hyperlink ref="F782" r:id="rId293" xr:uid="{AC4FC830-EDDD-403B-A791-10213A07EB71}"/>
    <hyperlink ref="M782" r:id="rId294" xr:uid="{E86C190E-F250-4F26-9BFB-CC3AF36C28A7}"/>
    <hyperlink ref="AD780" r:id="rId295" xr:uid="{21B03814-6D34-40FA-B863-4C9461BEDCC2}"/>
    <hyperlink ref="AD779" r:id="rId296" xr:uid="{828E11DB-E802-4C7F-A03F-5D7A4226FD48}"/>
    <hyperlink ref="F779" r:id="rId297" xr:uid="{962043D9-A277-4A2F-8115-15BF7BC41D45}"/>
    <hyperlink ref="F780" r:id="rId298" display="terence.lee@hkairport.com" xr:uid="{3A408D66-CEF0-4BDF-BB27-F0C654C7DE21}"/>
    <hyperlink ref="M778" r:id="rId299" xr:uid="{45B9328E-4A20-4A5B-92D8-BAB408571AB5}"/>
    <hyperlink ref="F778" r:id="rId300" xr:uid="{3C2DBB28-E00F-4F43-9A0B-E39BACAB05C6}"/>
    <hyperlink ref="M777" r:id="rId301" xr:uid="{B9288EFE-BED0-4A7C-ADA0-F3CBF1A7E5A4}"/>
    <hyperlink ref="AD777" r:id="rId302" xr:uid="{7FDA89C9-FC4D-4886-B6FF-1E7178B4D6C6}"/>
    <hyperlink ref="AD776" r:id="rId303" xr:uid="{3F21C721-D8FE-41D0-A93E-141366640695}"/>
    <hyperlink ref="M776" r:id="rId304" xr:uid="{B0C4A72B-5DD7-44E7-922E-E26700906DF3}"/>
    <hyperlink ref="F774" r:id="rId305" xr:uid="{A3C15848-A0A4-4D65-8301-94673CF1E0CE}"/>
    <hyperlink ref="AD774" r:id="rId306" xr:uid="{25290E2C-5BD0-4C12-98C8-8CE7D1EFDB20}"/>
    <hyperlink ref="AD770" r:id="rId307" xr:uid="{C49F4EA1-C126-4401-AF82-1B1458F61EDD}"/>
    <hyperlink ref="M773" r:id="rId308" xr:uid="{D89C3338-A6FB-4D51-86FD-0D96164C7791}"/>
    <hyperlink ref="F772" r:id="rId309" xr:uid="{E1984664-7626-42CA-8E9A-7942931C60DB}"/>
    <hyperlink ref="AD772" r:id="rId310" xr:uid="{6AA5BE86-397A-49BC-A9FD-E784E47B6F47}"/>
    <hyperlink ref="AD771" r:id="rId311" xr:uid="{AD38B705-3348-4F4E-8C8C-8525006B608A}"/>
    <hyperlink ref="F771" r:id="rId312" xr:uid="{DE3D792A-06F8-48FD-B40C-5385694F4A53}"/>
    <hyperlink ref="F770" r:id="rId313" xr:uid="{7593B24A-CDAE-41DF-AF82-41558499210D}"/>
    <hyperlink ref="AD769" r:id="rId314" xr:uid="{E8A16D3A-F582-4A3F-8225-9DD529C4BDA2}"/>
    <hyperlink ref="F769" r:id="rId315" xr:uid="{EF6BEEEC-7AB6-4480-822E-1BF12027A9B7}"/>
    <hyperlink ref="AD768" r:id="rId316" xr:uid="{4E4D1E8B-9008-4FE1-9492-59F2765AE8E0}"/>
    <hyperlink ref="F768" r:id="rId317" xr:uid="{C9F1D5DD-9A36-4947-91C9-1EB0B96AC8D9}"/>
    <hyperlink ref="M767" r:id="rId318" xr:uid="{2268FCE7-AA15-46F1-BDC4-8DC49C8A8E3F}"/>
    <hyperlink ref="F767" r:id="rId319" xr:uid="{47457600-572C-4348-AE77-4A88C4CF4616}"/>
    <hyperlink ref="AD767" r:id="rId320" xr:uid="{2DB03A55-9932-4E4F-9824-5041F72DC21A}"/>
    <hyperlink ref="F757" r:id="rId321" xr:uid="{6F12D2C4-D65D-4F27-A463-492C3DE58663}"/>
    <hyperlink ref="AD766" r:id="rId322" xr:uid="{02C008F9-D2D3-4C60-B5F9-D2FB29665B26}"/>
    <hyperlink ref="M766" r:id="rId323" xr:uid="{BA296B03-9ECD-40F8-9935-FEAC3FDFD953}"/>
    <hyperlink ref="F766" r:id="rId324" xr:uid="{CA107BE4-4DCB-4C92-A042-26E3D61DF5FE}"/>
    <hyperlink ref="AD765" r:id="rId325" xr:uid="{AFDBC913-97BC-4F27-80EF-4C7976748193}"/>
    <hyperlink ref="F765" r:id="rId326" xr:uid="{D878E48E-21BE-450E-BAAD-E343CE436929}"/>
    <hyperlink ref="M764" r:id="rId327" xr:uid="{E6E3F536-2579-4AC2-8CAF-ECFC9E8F2590}"/>
    <hyperlink ref="F764" r:id="rId328" xr:uid="{8D592B67-A79E-4EEF-9B2F-2E14F431F0E1}"/>
    <hyperlink ref="AD764" r:id="rId329" xr:uid="{E8972CB0-AD32-4A2E-A509-3D44F3EAB6A3}"/>
    <hyperlink ref="F763" r:id="rId330" xr:uid="{F13AEE7D-FDB8-485D-AC12-9C33DA59CA86}"/>
    <hyperlink ref="AD763" r:id="rId331" xr:uid="{4FADCEC3-3C6A-46E7-8D0E-820AE613F96E}"/>
    <hyperlink ref="AD744" r:id="rId332" xr:uid="{0F7ADEEE-708F-4F72-BF9D-1D169BCE5180}"/>
    <hyperlink ref="F744" r:id="rId333" xr:uid="{A09344EC-0E0F-427E-A1A0-431DB76F8E50}"/>
    <hyperlink ref="F743" r:id="rId334" xr:uid="{F9AB5C28-E62D-44B4-84E4-A36A2290E1E2}"/>
    <hyperlink ref="AD756" r:id="rId335" xr:uid="{EA2A90F6-C3AF-482D-8E0D-BE62A4EF283C}"/>
    <hyperlink ref="AD758" r:id="rId336" xr:uid="{886B2693-4F17-4A47-87EB-E4FB208C7AFD}"/>
    <hyperlink ref="AD757" r:id="rId337" xr:uid="{3934DA02-B5D1-421C-BA4E-6E6F09F3680B}"/>
    <hyperlink ref="F756" r:id="rId338" xr:uid="{84F1F59F-E883-494C-BE96-D70B8BF05647}"/>
    <hyperlink ref="AD755" r:id="rId339" xr:uid="{299E3829-DA24-4887-98EF-707757A07B84}"/>
    <hyperlink ref="F755" r:id="rId340" xr:uid="{2F2F0282-427F-494E-BB4B-DFF42BABDE66}"/>
    <hyperlink ref="AD750" r:id="rId341" xr:uid="{83D1DFF9-2FE4-4F9E-8F37-AD5BBB8D4836}"/>
    <hyperlink ref="M754" r:id="rId342" xr:uid="{33B4C21A-A152-4B0D-A13F-D8FB0B9AD384}"/>
    <hyperlink ref="F754" r:id="rId343" xr:uid="{E64C0ECA-DF57-4876-9C32-E2B71478C0D7}"/>
    <hyperlink ref="AD701" r:id="rId344" xr:uid="{4E7C922C-5FE0-4D45-9608-D05C6344F10D}"/>
    <hyperlink ref="AD700" r:id="rId345" xr:uid="{CBC32761-99B4-4E33-BB7E-AE3495BE3B5B}"/>
    <hyperlink ref="AD753" r:id="rId346" xr:uid="{3FE561DC-5C71-4A29-8CA6-A55FDE64F165}"/>
    <hyperlink ref="M753" r:id="rId347" xr:uid="{A4FF52F2-CE08-4AC6-929F-46EB65E30D83}"/>
    <hyperlink ref="F753" r:id="rId348" xr:uid="{FABAE3AF-FD4E-4742-A6EB-85FF20EF3658}"/>
    <hyperlink ref="F750" r:id="rId349" xr:uid="{85FA7037-EA20-42CD-95A9-18FF69781E08}"/>
    <hyperlink ref="AD749" r:id="rId350" xr:uid="{333B2BA0-7E70-4ED0-A17B-DD0B58C00F29}"/>
    <hyperlink ref="F749" r:id="rId351" xr:uid="{217B0A99-DEDD-4C47-B8FF-8DCFEAC03537}"/>
    <hyperlink ref="F748" r:id="rId352" xr:uid="{8CC220B8-5B34-43ED-9AB4-C7E4DEB01DF6}"/>
    <hyperlink ref="F747" r:id="rId353" xr:uid="{080F2F8B-D2BE-4FBD-BC29-6C858474AC3B}"/>
    <hyperlink ref="AD748" r:id="rId354" xr:uid="{0A780472-37AF-4B6C-8C2F-B3A450BE5261}"/>
    <hyperlink ref="AD746" r:id="rId355" xr:uid="{57B6DE79-505E-442A-B2E2-86FF6AC0ECAE}"/>
    <hyperlink ref="F746" r:id="rId356" xr:uid="{3CBDDDBF-9FD5-4F4D-BEBB-B76DE628484A}"/>
    <hyperlink ref="AD745" r:id="rId357" xr:uid="{552B6E80-807F-4871-A5AA-847338B009AF}"/>
    <hyperlink ref="F745" r:id="rId358" xr:uid="{2BB5F331-DF5E-4965-8046-38EAA511C418}"/>
    <hyperlink ref="M741" r:id="rId359" display="hagocalcs@ha.org.hk" xr:uid="{A69CE089-CF42-49A3-A3DF-54719917DC13}"/>
    <hyperlink ref="AD741" r:id="rId360" xr:uid="{48E4FB18-929A-492E-B927-976B8C74D970}"/>
    <hyperlink ref="AD740" r:id="rId361" xr:uid="{FDF0060E-2C1A-4A6C-9C2A-F029EBFA7BFF}"/>
    <hyperlink ref="AD739" r:id="rId362" xr:uid="{75B49A53-0888-43C9-9246-2B8BEE370A60}"/>
    <hyperlink ref="F741" r:id="rId363" xr:uid="{F08AC04E-ACA8-4A0D-ACA5-2BFE8188D8B3}"/>
    <hyperlink ref="F740" r:id="rId364" xr:uid="{A2828898-6FCA-418B-B069-6F1FDE7F045F}"/>
    <hyperlink ref="F739" r:id="rId365" xr:uid="{1AADBD62-9C67-4B92-9956-1BE2BA97A783}"/>
    <hyperlink ref="AD743" r:id="rId366" xr:uid="{6C401D5D-6488-4F3D-ACBF-85DCBC50CC12}"/>
    <hyperlink ref="AD718" r:id="rId367" xr:uid="{DE7DF8C9-B9CC-4D25-AED9-AE1F6FEAEF50}"/>
    <hyperlink ref="M718" r:id="rId368" xr:uid="{7B5D3FA4-648F-41C0-9C2D-73B85635BA65}"/>
    <hyperlink ref="F718" r:id="rId369" xr:uid="{D939C962-E553-4B9C-A9A8-25C7250720CE}"/>
    <hyperlink ref="AD742" r:id="rId370" xr:uid="{AF5C2861-C58E-43CD-BDDA-AA2E277CDA85}"/>
    <hyperlink ref="F742" r:id="rId371" xr:uid="{ED01022B-07A1-434B-95F9-EFF13F184FF6}"/>
    <hyperlink ref="AD738" r:id="rId372" xr:uid="{83449AF3-D00A-438D-B47E-20CE19FEC329}"/>
    <hyperlink ref="F738" r:id="rId373" xr:uid="{76DBE0EB-28CD-49CF-A64B-D75F59F71EED}"/>
    <hyperlink ref="F737" r:id="rId374" xr:uid="{DAB804C4-AF67-4138-90D4-DFA976E5CFE9}"/>
    <hyperlink ref="M737" r:id="rId375" xr:uid="{34C9D0BB-352D-4CE5-A1E9-AE930F9763BA}"/>
    <hyperlink ref="L737" r:id="rId376" xr:uid="{71898110-A2E5-4A5A-B5E1-16025B59C588}"/>
    <hyperlink ref="AD737" r:id="rId377" xr:uid="{B359A405-E594-43F7-834A-050E67FF349B}"/>
    <hyperlink ref="M736" r:id="rId378" xr:uid="{4E0F68DA-5D4C-44A9-B5FD-66388A4C625B}"/>
    <hyperlink ref="AD736" r:id="rId379" xr:uid="{1AC152CC-6E36-4577-833F-30D9356B4251}"/>
    <hyperlink ref="F736" r:id="rId380" xr:uid="{F16748DC-4254-4B22-B2A8-F062BDDC5F25}"/>
    <hyperlink ref="AD735" r:id="rId381" xr:uid="{B673DF87-5FCA-42EC-B104-AFEFFCEAB019}"/>
    <hyperlink ref="F735" r:id="rId382" xr:uid="{475592C2-911A-4536-AD44-3C421BA95896}"/>
    <hyperlink ref="AD665" r:id="rId383" xr:uid="{79DF3255-A0DB-4BFF-BEFC-A9257AC25196}"/>
    <hyperlink ref="F665" r:id="rId384" xr:uid="{685B0F68-BD6C-462B-B761-8E9FBF4A60E8}"/>
    <hyperlink ref="AD734" r:id="rId385" xr:uid="{3E66E17B-AA55-470A-BF92-40E5B499576B}"/>
    <hyperlink ref="F734" r:id="rId386" xr:uid="{9F850F2A-C2D0-4385-86D6-601D811293AD}"/>
    <hyperlink ref="AD733" r:id="rId387" xr:uid="{8C26C33D-E536-44F7-B64D-44660576EC63}"/>
    <hyperlink ref="F733" r:id="rId388" xr:uid="{7954B9DF-B741-4FB5-8F94-F5F9DC446ABD}"/>
    <hyperlink ref="AD732" r:id="rId389" xr:uid="{424D827F-84F7-41F5-BA7A-808298D7F359}"/>
    <hyperlink ref="M732" r:id="rId390" xr:uid="{4B9810CB-9C1F-48E6-9417-C352689A0E91}"/>
    <hyperlink ref="F732" r:id="rId391" xr:uid="{F36A3490-480B-470D-9A99-F09B02B68BB6}"/>
    <hyperlink ref="AD731" r:id="rId392" xr:uid="{3A015F72-BB7C-4884-972D-F0F5359F3457}"/>
    <hyperlink ref="AD726" r:id="rId393" xr:uid="{896DFC13-6418-44A8-9DC8-5C3B404E6708}"/>
    <hyperlink ref="AD725" r:id="rId394" xr:uid="{90F6EA42-9909-48B5-B7DE-0F4B16AB6074}"/>
    <hyperlink ref="M632" r:id="rId395" xr:uid="{F469F205-E730-4403-8F8B-596F263AFBFB}"/>
    <hyperlink ref="M731" r:id="rId396" xr:uid="{AB216BDF-4597-4BC2-B53D-4C462A45D027}"/>
    <hyperlink ref="M726" r:id="rId397" xr:uid="{AC8970E7-7926-445A-BD06-628A879F9DC2}"/>
    <hyperlink ref="M725" r:id="rId398" xr:uid="{D0715646-1CF6-43F3-8913-AD2D4D65889E}"/>
    <hyperlink ref="F627" r:id="rId399" xr:uid="{B5BADA26-92F6-4FAE-8ACB-553DA55E6224}"/>
    <hyperlink ref="F731" r:id="rId400" xr:uid="{47A1AA8F-BB85-4E20-81D8-8C9B37CBC539}"/>
    <hyperlink ref="AD730" r:id="rId401" xr:uid="{745CE552-45A8-45ED-AA51-1650074C1CB7}"/>
    <hyperlink ref="F730" r:id="rId402" xr:uid="{A94C20D7-2F28-4134-BF6F-81D0BF6B8AF5}"/>
    <hyperlink ref="AD729" r:id="rId403" xr:uid="{26E52E45-8114-49D4-99C1-CA30CAE014F1}"/>
    <hyperlink ref="F729" r:id="rId404" xr:uid="{69C9DACF-3601-49FB-9D0D-16D3B8AE6C2C}"/>
    <hyperlink ref="F728" r:id="rId405" xr:uid="{21B98E9F-C505-4BAB-AF14-82F93F44E55E}"/>
    <hyperlink ref="AD728" r:id="rId406" xr:uid="{FE0E9776-8291-4F9C-A53B-A7AAAED949F4}"/>
    <hyperlink ref="AD727" r:id="rId407" xr:uid="{1446E505-2D01-4817-BA2B-12046A8F9066}"/>
    <hyperlink ref="F727" r:id="rId408" xr:uid="{03EC1905-A019-426A-B1BB-598FAA643A03}"/>
    <hyperlink ref="F159" r:id="rId409" display="mailto:tony.ng@hkairport.com" xr:uid="{1692EB70-1D88-442B-B48C-7E07F5A58DEF}"/>
    <hyperlink ref="F46" r:id="rId410" display="mailto:tony.ng@hkairport.com" xr:uid="{D161EB95-89B3-4738-88CC-FC9761FD3ABE}"/>
    <hyperlink ref="F45" r:id="rId411" display="mailto:tony.ng@hkairport.com" xr:uid="{BF386398-2CF5-4F62-BF89-291AB3F77C49}"/>
    <hyperlink ref="F44" r:id="rId412" display="mailto:tony.ng@hkairport.com" xr:uid="{D5E34915-7606-41A2-83EB-C8BFC22C8AE9}"/>
    <hyperlink ref="F385" r:id="rId413" xr:uid="{8BEBEA87-85D2-4322-9098-B552894D1D29}"/>
    <hyperlink ref="F384" r:id="rId414" xr:uid="{519270E2-0242-4A4D-BD3D-CE0CB373D92D}"/>
    <hyperlink ref="F329" r:id="rId415" xr:uid="{4196B55F-4CA7-4EE1-9079-8EB113B0E904}"/>
    <hyperlink ref="F187" r:id="rId416" xr:uid="{886EF636-7042-4BB9-AF4F-AC0184EBA3CF}"/>
    <hyperlink ref="F189" r:id="rId417" xr:uid="{6B05EA3D-21EF-4C65-91E0-DC610152C2FF}"/>
    <hyperlink ref="F430" r:id="rId418" xr:uid="{270A8CE2-3A4C-46EF-BE2D-3694147C7D3B}"/>
    <hyperlink ref="F18" r:id="rId419" xr:uid="{2F926755-50CF-4738-81B0-9B5E956A89F2}"/>
    <hyperlink ref="F131" r:id="rId420" xr:uid="{998BB17B-FEAD-4C6D-A603-44F09CF98DF0}"/>
    <hyperlink ref="F14" r:id="rId421" xr:uid="{CAE431DF-925F-4046-B99D-FBBADDC8A746}"/>
    <hyperlink ref="F176" r:id="rId422" xr:uid="{D13ED10D-35E9-4245-8FB5-1DCC60BEE572}"/>
    <hyperlink ref="F716" r:id="rId423" xr:uid="{56D9D441-FFFC-4FC2-B11B-D9409E6BDC6A}"/>
    <hyperlink ref="AD723" r:id="rId424" xr:uid="{B62D82C8-CD99-417C-A50B-093E0B31D44C}"/>
    <hyperlink ref="M721" r:id="rId425" xr:uid="{687694DB-6AE0-4795-BD9B-E32F1F299D78}"/>
    <hyperlink ref="F721" r:id="rId426" xr:uid="{274ED582-0C6C-4F16-B59D-F6006EB538EF}"/>
    <hyperlink ref="AD722" r:id="rId427" xr:uid="{AFDAF9C2-6CDA-4E82-AB42-E99879FA4BC6}"/>
    <hyperlink ref="AD720" r:id="rId428" xr:uid="{BEE5EB7F-893D-45ED-BDCA-C8E01654EFD7}"/>
    <hyperlink ref="M723" r:id="rId429" xr:uid="{FDEBBE9D-BE7F-40E8-937F-48B9F35EC0B0}"/>
    <hyperlink ref="AD724" r:id="rId430" xr:uid="{7BBF4353-C931-4190-9890-6EFF375151F3}"/>
    <hyperlink ref="M724" r:id="rId431" xr:uid="{A43A90AA-8FBC-4B9B-AB2B-66DCFF6379D1}"/>
    <hyperlink ref="F724" r:id="rId432" xr:uid="{A4DF4E91-7811-4906-A661-73D80C1F14D4}"/>
    <hyperlink ref="F723" r:id="rId433" xr:uid="{7B1618D3-D602-4AB8-A623-35917A41977D}"/>
    <hyperlink ref="M722" r:id="rId434" xr:uid="{B226D923-43F0-4987-A7DE-664B4A2C5996}"/>
    <hyperlink ref="M720" r:id="rId435" xr:uid="{174B8965-D8CA-474B-AFC0-677545B54B34}"/>
    <hyperlink ref="F722" r:id="rId436" xr:uid="{F3346783-92BD-48D8-9066-6ED92C0DEAD4}"/>
    <hyperlink ref="F720" r:id="rId437" xr:uid="{9BF3228F-137D-46EA-9DD0-EBF860619C73}"/>
    <hyperlink ref="F719" r:id="rId438" xr:uid="{5672FA7C-6E89-48D3-A2F3-6BB40094375B}"/>
    <hyperlink ref="AD719" r:id="rId439" xr:uid="{6E6FBE34-64DA-4D45-84B3-54CE8F19EBCE}"/>
    <hyperlink ref="AD716" r:id="rId440" xr:uid="{809F0267-0077-4E08-9D5F-D9B0173ABBCA}"/>
    <hyperlink ref="M716" r:id="rId441" xr:uid="{291AF8C0-4150-4D1B-AF28-0C76302FE680}"/>
    <hyperlink ref="M717" r:id="rId442" xr:uid="{7A7A1471-0B20-47E0-8E32-3DE46E53073E}"/>
    <hyperlink ref="F717" r:id="rId443" xr:uid="{5F2F972A-02C0-472A-9E56-1E035ADFF33F}"/>
    <hyperlink ref="F653" r:id="rId444" xr:uid="{53BC8E75-C6E6-437C-A315-2AFF86650994}"/>
    <hyperlink ref="F652" r:id="rId445" xr:uid="{E0B1B0B2-B9D7-48B9-9C8C-EC2E7A5A8C6E}"/>
    <hyperlink ref="AD652" r:id="rId446" xr:uid="{1F8FD96F-B1CD-468E-B43A-18CC55ABE273}"/>
    <hyperlink ref="AD653" r:id="rId447" xr:uid="{02765B23-8980-4E30-BF7A-EAC44FF084CF}"/>
    <hyperlink ref="AD710" r:id="rId448" xr:uid="{9811C55A-ABA5-4229-9F08-36002558CD0F}"/>
    <hyperlink ref="AD706" r:id="rId449" xr:uid="{50A41F52-D83C-440D-8EBA-11653037F0EF}"/>
    <hyperlink ref="AD698" r:id="rId450" xr:uid="{CBE8C939-44B2-48D3-AF1B-740BC9772C9F}"/>
    <hyperlink ref="AD694" r:id="rId451" xr:uid="{435CBCBF-2CC6-4C55-BBCC-B5D3B9DCAC74}"/>
    <hyperlink ref="F694" r:id="rId452" xr:uid="{EBF6CCF4-248D-4269-8462-7961FF70B3DD}"/>
    <hyperlink ref="AD715" r:id="rId453" xr:uid="{F4B0058F-48E0-4B18-A9C2-6C0204BA6349}"/>
    <hyperlink ref="F715" r:id="rId454" xr:uid="{AF2A20F5-93A6-438A-851A-29D2E9A16E0D}"/>
    <hyperlink ref="M715" r:id="rId455" xr:uid="{0CFCC90A-8256-40FC-9F71-6A0D8ED12F87}"/>
    <hyperlink ref="M714" r:id="rId456" xr:uid="{8AA14732-5E4C-43AB-AFFF-BE9FE4887736}"/>
    <hyperlink ref="F714" r:id="rId457" xr:uid="{58868DB1-0C5F-4C54-A804-0134429405E3}"/>
    <hyperlink ref="M713" r:id="rId458" xr:uid="{F3EFC4C6-BCEE-4BB9-8923-5B52212547B0}"/>
    <hyperlink ref="AD713" r:id="rId459" display="http://10.10.10.209/OASIS_FILE_MANAGER/zip_files_download.php?qid=1331943&amp;serialno=UE24-00005071&amp;itemno=1&amp;token=3a577825b6b079b72327513261726934" xr:uid="{2886176B-55A6-403A-B7C8-F30B6415AD70}"/>
    <hyperlink ref="X713" r:id="rId460" display="SD11704088" xr:uid="{DDC8291A-A095-4B02-B20A-154D44C9F171}"/>
    <hyperlink ref="M712" r:id="rId461" xr:uid="{AE78E8A3-BD8E-42FF-BFE6-ABBAF7259024}"/>
    <hyperlink ref="M711" r:id="rId462" xr:uid="{C8E6605C-2450-4A61-8F06-D05F2748E21E}"/>
    <hyperlink ref="M709" r:id="rId463" xr:uid="{7B1364BE-ED3A-4AFD-ADB8-19796FC15AB4}"/>
    <hyperlink ref="M708" r:id="rId464" xr:uid="{62ECBC2F-0FB1-4AF7-AE6D-DDFCF713850F}"/>
    <hyperlink ref="M707" r:id="rId465" xr:uid="{D03AF031-E17F-46E7-8D93-33EE9F7D9ED1}"/>
    <hyperlink ref="F711" r:id="rId466" xr:uid="{71263451-1BBC-4F0F-9AA1-6B5F0E4E9BB0}"/>
    <hyperlink ref="AD712" r:id="rId467" display="http://10.10.10.209/OASIS_FILE_MANAGER/zip_files_download.php?qid=1331943&amp;serialno=UE24-00005071&amp;itemno=1&amp;token=3a577825b6b079b72327513261726934" xr:uid="{40A579CA-5D20-4B6E-8B0A-4A65AB1E5D9B}"/>
    <hyperlink ref="AD711" r:id="rId468" display="http://10.10.10.209/OASIS_FILE_MANAGER/zip_files_download.php?qid=1331943&amp;serialno=UE24-00005071&amp;itemno=1&amp;token=3a577825b6b079b72327513261726934" xr:uid="{894DD6B3-E415-40EC-86B4-EB189D919C03}"/>
    <hyperlink ref="AD709" r:id="rId469" display="http://10.10.10.209/OASIS_FILE_MANAGER/zip_files_download.php?qid=1331943&amp;serialno=UE24-00005071&amp;itemno=1&amp;token=3a577825b6b079b72327513261726934" xr:uid="{8936B9E4-A9AD-41F6-A305-E85F42397582}"/>
    <hyperlink ref="AD708" r:id="rId470" display="http://10.10.10.209/OASIS_FILE_MANAGER/zip_files_download.php?qid=1331943&amp;serialno=UE24-00005071&amp;itemno=1&amp;token=3a577825b6b079b72327513261726934" xr:uid="{D2CAC866-ABD8-4B54-B8A4-4CE9D0D0A7D3}"/>
    <hyperlink ref="AD707" r:id="rId471" xr:uid="{BA8BA525-4878-43EE-834A-3018266E8504}"/>
    <hyperlink ref="X712" r:id="rId472" display="SD11704088" xr:uid="{A10BE6E9-5F00-4B6F-9474-2DE6754AB9A8}"/>
    <hyperlink ref="X711" r:id="rId473" display="SD11704088" xr:uid="{51A9F3A9-926E-4D55-99E6-FBD43628E115}"/>
    <hyperlink ref="X709" r:id="rId474" display="SD11704088" xr:uid="{1AF384C0-F67C-4607-84B9-213293815449}"/>
    <hyperlink ref="X708" r:id="rId475" display="SD11704088" xr:uid="{31DCCE0A-FE0C-420F-9061-2AF5C943CDFE}"/>
    <hyperlink ref="M710" r:id="rId476" display="mailto:cp14cloudserviceuser@ha.org.hk" xr:uid="{24A70555-A683-4E2C-A1FF-C9212C4CF338}"/>
    <hyperlink ref="F710" r:id="rId477" xr:uid="{3F6BC174-E0DB-45E5-9A5B-46EC9D20027E}"/>
    <hyperlink ref="X707" r:id="rId478" display="SD11704088" xr:uid="{5A1151C3-F31D-40AF-A7A8-FFD62268D127}"/>
    <hyperlink ref="F706" r:id="rId479" xr:uid="{30104880-8EF1-4BC8-AA4B-FC1236BDF343}"/>
    <hyperlink ref="M706" r:id="rId480" xr:uid="{A72E37F1-C145-41D0-8672-DD60B6BACBBF}"/>
    <hyperlink ref="AD705" r:id="rId481" xr:uid="{98016D17-A019-440A-B7E2-6DAA914B4EC8}"/>
    <hyperlink ref="F705" r:id="rId482" xr:uid="{BB41E4CC-F3E0-4500-B49B-805FE9E83C51}"/>
    <hyperlink ref="AD91" r:id="rId483" xr:uid="{7E32D31A-78F1-4448-91D6-24C0E6A013AE}"/>
    <hyperlink ref="F91" r:id="rId484" xr:uid="{F9B0AE43-18C0-4C86-80EA-D456A597E080}"/>
    <hyperlink ref="AD704" r:id="rId485" xr:uid="{CCC244E8-EC55-4644-848F-3A749DE6F01D}"/>
    <hyperlink ref="F704" r:id="rId486" xr:uid="{BF85C57F-64AD-4620-B398-E466C26B2F42}"/>
    <hyperlink ref="F675" r:id="rId487" xr:uid="{7E1B24A9-9917-4E11-AE8B-F3DB47B645B4}"/>
    <hyperlink ref="AD703" r:id="rId488" xr:uid="{FA06F309-07FB-47E2-8F9B-DA6EFFB21214}"/>
    <hyperlink ref="AD681" r:id="rId489" xr:uid="{648D8F6A-63EA-4FDE-AF1C-FACE9EC42EC8}"/>
    <hyperlink ref="AD680" r:id="rId490" xr:uid="{26119A7D-EA7A-4AB7-B17C-060C91D4D1F5}"/>
    <hyperlink ref="AD675" r:id="rId491" xr:uid="{FA9B5878-F451-496F-835E-F2C4C666F7D8}"/>
    <hyperlink ref="M703" r:id="rId492" xr:uid="{517B7593-7A71-4E4B-AA46-18C837EF3DBC}"/>
    <hyperlink ref="F703" r:id="rId493" xr:uid="{662B0305-6ED6-4ECC-BFBF-8FCC78E2036F}"/>
    <hyperlink ref="F683" r:id="rId494" xr:uid="{F3C42C26-92D3-443F-BBF6-1687EF7C6B86}"/>
    <hyperlink ref="F687" r:id="rId495" xr:uid="{F99A95F7-6E2A-4051-B1ED-67964CFF0823}"/>
    <hyperlink ref="AD683" r:id="rId496" xr:uid="{801182CF-6002-4E27-B58C-3EB352046753}"/>
    <hyperlink ref="AD687" r:id="rId497" xr:uid="{1C19482E-E7B3-493E-A89F-9F4F32D3DE5F}"/>
    <hyperlink ref="AD702" r:id="rId498" xr:uid="{084CBBE9-2C9B-48FF-9DD8-F8F1DB74AC94}"/>
    <hyperlink ref="AD689" r:id="rId499" xr:uid="{67BA7871-8293-4FD5-9146-0B1F6E07C979}"/>
    <hyperlink ref="M702" r:id="rId500" xr:uid="{FEF04999-27DE-4274-AAED-07CBEDC5644F}"/>
    <hyperlink ref="F702" r:id="rId501" xr:uid="{4EDA11BF-A02E-4E35-9486-1EBED4918C5F}"/>
    <hyperlink ref="M620" r:id="rId502" xr:uid="{60FBFC94-B24D-48F1-AF74-53091155EE2D}"/>
    <hyperlink ref="M701" r:id="rId503" xr:uid="{38D9BF03-7667-4879-B25F-F7F75E2185F8}"/>
    <hyperlink ref="M700" r:id="rId504" xr:uid="{0FF903ED-B5AB-4681-B137-0D1548C3BF77}"/>
    <hyperlink ref="F700" r:id="rId505" xr:uid="{708ABC0A-82B6-4191-AB7A-0657C90B2B1F}"/>
    <hyperlink ref="F701" r:id="rId506" xr:uid="{06F66292-297A-4993-88A5-D8600DEF4878}"/>
    <hyperlink ref="AD699" r:id="rId507" xr:uid="{48500A1F-F640-452C-AA58-358CC8E30511}"/>
    <hyperlink ref="F699" r:id="rId508" xr:uid="{02EE1CC3-ECC3-4002-8A89-CFC9484A7F33}"/>
    <hyperlink ref="M698" r:id="rId509" xr:uid="{CB597397-9FE0-4ADD-9D1A-4DE583AF3520}"/>
    <hyperlink ref="F698" r:id="rId510" xr:uid="{842AF8CA-4AE1-4B76-B432-A5B46821CDE0}"/>
    <hyperlink ref="M697" r:id="rId511" xr:uid="{A2FB1EC8-FF6B-4D94-BEF9-C6D6C37FF65D}"/>
    <hyperlink ref="F697" r:id="rId512" xr:uid="{C5F7528C-929A-4B93-AD87-4C60D30CE353}"/>
    <hyperlink ref="AD696" r:id="rId513" xr:uid="{BC785575-E161-4179-83D9-38926AD19B32}"/>
    <hyperlink ref="F696" r:id="rId514" xr:uid="{A393F64C-04A3-4657-81B3-914F674C709D}"/>
    <hyperlink ref="AD695" r:id="rId515" xr:uid="{BF28AC54-2998-4F51-8B2A-32F43EBA4110}"/>
    <hyperlink ref="F695" r:id="rId516" xr:uid="{2BD93310-9B1D-41F8-9B16-4E401D30383A}"/>
    <hyperlink ref="M694" r:id="rId517" xr:uid="{27A2ECD6-202B-4A61-A6A9-70DCF1BA06F4}"/>
    <hyperlink ref="AD691" r:id="rId518" xr:uid="{94AECEC2-AC90-476B-943F-C93DF44F3630}"/>
    <hyperlink ref="AD692" r:id="rId519" xr:uid="{0EE41375-6B9E-49C4-977A-C8408C4664E9}"/>
    <hyperlink ref="AD693" r:id="rId520" xr:uid="{26E2718E-6F07-4257-8D7B-C4F7C03D6461}"/>
    <hyperlink ref="F693" r:id="rId521" xr:uid="{B186A1A5-94BE-4433-9170-D1BC6CE742C1}"/>
    <hyperlink ref="F692" r:id="rId522" xr:uid="{648FB68E-4FBF-4B04-9745-FF01C1247EFA}"/>
    <hyperlink ref="F691" r:id="rId523" xr:uid="{14A308B1-0E9C-49A2-AD84-3E66B259C440}"/>
    <hyperlink ref="AD690" r:id="rId524" xr:uid="{0D34F475-8B54-4430-A809-A71C68EA3877}"/>
    <hyperlink ref="F690" r:id="rId525" xr:uid="{803AB0D6-FD15-41D0-BC88-6FC2E0BC11E5}"/>
    <hyperlink ref="F689" r:id="rId526" xr:uid="{3FAF3020-11B9-4D35-ABF9-D1FCEB3C6753}"/>
    <hyperlink ref="AD688" r:id="rId527" xr:uid="{DAD5D4E9-BD02-41C3-BB35-3B981BBF4F1D}"/>
    <hyperlink ref="X688" r:id="rId528" xr:uid="{C049010B-DD5A-4AFA-9680-A3F5A7155C74}"/>
    <hyperlink ref="F688" r:id="rId529" xr:uid="{57F38C77-7309-4BE1-AB6D-8893B9361758}"/>
    <hyperlink ref="M685" r:id="rId530" xr:uid="{EC3A81D0-4529-443E-9AE3-004F01141F9F}"/>
    <hyperlink ref="F685" r:id="rId531" xr:uid="{D963C973-F070-4EFE-854A-30881708D000}"/>
    <hyperlink ref="AD686" r:id="rId532" xr:uid="{379E7C92-EA59-49B6-8A11-B66E40064511}"/>
    <hyperlink ref="F686" r:id="rId533" xr:uid="{BAE008B7-A8BD-4EDD-BDD7-1E3C6AF462F7}"/>
    <hyperlink ref="AD684" r:id="rId534" xr:uid="{F8BD6C5E-DE87-4133-817D-5F7776FA3711}"/>
    <hyperlink ref="F684" r:id="rId535" xr:uid="{AC8A2F3F-45FC-47ED-8524-63C20416688B}"/>
    <hyperlink ref="M684" r:id="rId536" xr:uid="{10F3F036-9DE0-4A04-AB3B-02C007E5E7D4}"/>
    <hyperlink ref="F682" r:id="rId537" xr:uid="{1B263C99-19CD-49D9-8332-EB4DEA71810B}"/>
    <hyperlink ref="AD682" r:id="rId538" xr:uid="{89541B52-D83B-4B07-A771-E82617A6D1C1}"/>
    <hyperlink ref="M681" r:id="rId539" xr:uid="{4C0286C1-51CE-47EA-89D4-98ED28741172}"/>
    <hyperlink ref="F674" r:id="rId540" xr:uid="{186D0BC8-FF64-420C-8D2F-E8F451F468CA}"/>
    <hyperlink ref="M674" r:id="rId541" xr:uid="{7CC05018-FD92-4443-B8E2-8D43E60C60CE}"/>
    <hyperlink ref="AD674" r:id="rId542" xr:uid="{32FEADA3-8411-4FB3-928D-495F88D8DEBF}"/>
    <hyperlink ref="AD679" r:id="rId543" xr:uid="{9E034C7F-8D8B-45E6-93FE-5449FD830DE0}"/>
    <hyperlink ref="F679" r:id="rId544" xr:uid="{D02D99AC-8B6E-4478-90AF-3AC6298FF48E}"/>
    <hyperlink ref="M680" r:id="rId545" xr:uid="{E9289EA3-CCCF-4F80-89EE-591E2017D984}"/>
    <hyperlink ref="AD678" r:id="rId546" xr:uid="{29AFC454-4907-4C1F-B863-66501F31F28A}"/>
    <hyperlink ref="AD677" r:id="rId547" xr:uid="{99980A98-52D0-44D1-BAD9-95F81BA1D2FB}"/>
    <hyperlink ref="AD676" r:id="rId548" xr:uid="{00B91986-F753-4DD5-8831-FC25EEBC6D26}"/>
    <hyperlink ref="F678" r:id="rId549" xr:uid="{7D930E90-BA37-41B6-B37B-A27843636B81}"/>
    <hyperlink ref="X677" r:id="rId550" xr:uid="{E39577AB-4630-403E-AC7E-CB40FF964206}"/>
    <hyperlink ref="X676" r:id="rId551" xr:uid="{1E48AFBF-9C96-4EEC-BB03-24A77D966DFA}"/>
    <hyperlink ref="M677" r:id="rId552" xr:uid="{B8C3D4AE-A3B1-4BBE-B801-A4D9300B85D5}"/>
    <hyperlink ref="M676" r:id="rId553" xr:uid="{49532359-8C56-40FB-ABFE-39684C2681F5}"/>
    <hyperlink ref="F676:F677" r:id="rId554" display="waichung@chowtaifook.com" xr:uid="{F316AE16-959E-46F2-8E53-836A2F10AB87}"/>
    <hyperlink ref="M675" r:id="rId555" xr:uid="{6F709892-4048-4F8B-8013-8CA0543465BB}"/>
    <hyperlink ref="AD671" r:id="rId556" xr:uid="{8233091C-5741-4757-8854-68F719CCB35D}"/>
    <hyperlink ref="F672" r:id="rId557" xr:uid="{2E2A51FD-3EA6-41DB-BFA5-9CA116A04916}"/>
    <hyperlink ref="AD672" r:id="rId558" xr:uid="{107D802B-B1E9-462E-BE11-373C62C55D51}"/>
    <hyperlink ref="F673" r:id="rId559" xr:uid="{90188EDC-72FE-4719-86AE-E0C82BDB2EAF}"/>
    <hyperlink ref="AD673" r:id="rId560" xr:uid="{87CBE1D1-C1FD-4812-93BE-4A80320F1D18}"/>
    <hyperlink ref="X671" r:id="rId561" xr:uid="{0336473F-91B3-4D9F-A304-7885A191D7DC}"/>
    <hyperlink ref="F671" r:id="rId562" xr:uid="{14FD85FE-1EBD-4777-BFD7-1712E4E79C17}"/>
    <hyperlink ref="X670" r:id="rId563" xr:uid="{7E1B1379-87EA-4026-B81E-D3BA78900B35}"/>
    <hyperlink ref="AD670" r:id="rId564" xr:uid="{47CA5EF6-6567-4441-898F-12B8AFCF9501}"/>
    <hyperlink ref="F670" r:id="rId565" xr:uid="{2CAAAC62-7A8B-4363-AEA8-94BC04AFE693}"/>
    <hyperlink ref="AD669" r:id="rId566" xr:uid="{DAB15B2D-D74A-48C1-8C80-16DA66E47500}"/>
    <hyperlink ref="F669" r:id="rId567" xr:uid="{538E1F53-95E9-4114-AB05-E4B274D62A3D}"/>
    <hyperlink ref="AD667" r:id="rId568" xr:uid="{75ABA789-A216-458D-9106-16FC35029127}"/>
    <hyperlink ref="AD664" r:id="rId569" xr:uid="{A81602CD-0F0C-4748-852B-26841D10FBA1}"/>
    <hyperlink ref="AD668" r:id="rId570" xr:uid="{07830896-B1D9-4926-B329-9314BF71F71E}"/>
    <hyperlink ref="X668" r:id="rId571" xr:uid="{6A6047C0-CAF1-4273-BAD1-AACB344FB693}"/>
    <hyperlink ref="M668" r:id="rId572" xr:uid="{2759AE24-BF38-4BA4-84A4-68821FD069A4}"/>
    <hyperlink ref="F668" r:id="rId573" xr:uid="{47C9B0FF-BCC7-47A0-878C-8B835F6FDD24}"/>
    <hyperlink ref="F656" r:id="rId574" xr:uid="{283B8548-07BC-47F6-B8B2-B59FBFD04733}"/>
    <hyperlink ref="F659" r:id="rId575" xr:uid="{3DEF2806-9B04-4B1B-8D18-75516B161502}"/>
    <hyperlink ref="F661" r:id="rId576" xr:uid="{BA2B3DE4-0FE5-4052-9192-A2BD02E25AD2}"/>
    <hyperlink ref="F660" r:id="rId577" xr:uid="{B1F90F69-8D7B-4395-BC3C-FC1001172BB3}"/>
    <hyperlink ref="AD658" r:id="rId578" xr:uid="{15EDA459-7700-4579-9173-7AAA27692371}"/>
    <hyperlink ref="F658" r:id="rId579" xr:uid="{6D13F47A-5064-45EE-8B2F-37DB95C89028}"/>
    <hyperlink ref="M658" r:id="rId580" xr:uid="{391027F8-0677-472D-B861-87BDF91D2F01}"/>
    <hyperlink ref="X667" r:id="rId581" xr:uid="{44AF0AD8-390E-4BFE-9D02-37FACAAE4652}"/>
    <hyperlink ref="F667" r:id="rId582" xr:uid="{A1820DA4-BDFE-4A11-98B7-EE79D55636AE}"/>
    <hyperlink ref="AD666" r:id="rId583" xr:uid="{6CBFE44C-0A47-4F11-B791-122C8C29DB01}"/>
    <hyperlink ref="AD651" r:id="rId584" xr:uid="{D5A15962-AD97-47DF-8873-C416D304207E}"/>
    <hyperlink ref="AD650" r:id="rId585" xr:uid="{46E3ECB3-1BE9-4C78-9CF7-7ACB9146F004}"/>
    <hyperlink ref="L4" r:id="rId586" xr:uid="{F1CAF34F-1AF0-4428-8922-A79CE221ABE9}"/>
    <hyperlink ref="F664" r:id="rId587" xr:uid="{34272CFF-D6E7-43AF-ADA1-E37221FF2581}"/>
    <hyperlink ref="AD639:AD643" r:id="rId588" display="http://10.10.10.209/OASIS_FILE_MANAGER/zip_files_download.php?qid=1285654&amp;serialno=UB24-00001859&amp;itemno=1&amp;token=61ab8cd8d23432b22af0854ed48ab6cf" xr:uid="{19E98679-8099-41DA-98FD-242816855838}"/>
    <hyperlink ref="AD638" r:id="rId589" xr:uid="{8BC154DC-0C33-4D25-8830-4541F2AB666E}"/>
    <hyperlink ref="F643" r:id="rId590" xr:uid="{4B073FB0-902B-4A63-90A2-24B6FADBC77C}"/>
    <hyperlink ref="F642" r:id="rId591" xr:uid="{14A65203-CEDB-4051-94E0-87AFE3BF53CC}"/>
    <hyperlink ref="F641" r:id="rId592" xr:uid="{23FDF70A-4795-4338-900B-6A874B60A39F}"/>
    <hyperlink ref="F640" r:id="rId593" xr:uid="{32438BA3-A290-453A-AF26-A8B0689B60CB}"/>
    <hyperlink ref="F639" r:id="rId594" xr:uid="{741460C3-F54D-4F73-8516-1FF6607074B4}"/>
    <hyperlink ref="F638" r:id="rId595" xr:uid="{F988F17C-F07A-4CD6-80BF-9CDBC1163AB3}"/>
    <hyperlink ref="M432" r:id="rId596" xr:uid="{473BD0D6-024E-416B-8055-8BEF351D1569}"/>
    <hyperlink ref="AD661" r:id="rId597" xr:uid="{D75F29DE-D87B-4BC9-B40A-EB7675FFB77A}"/>
    <hyperlink ref="AD660" r:id="rId598" xr:uid="{D5F39C10-8599-4859-B5D2-8EDFEBE68752}"/>
    <hyperlink ref="AD564" r:id="rId599" xr:uid="{A50EC7D8-9AD9-46CB-B147-7C5C7CDDE023}"/>
    <hyperlink ref="AD645" r:id="rId600" xr:uid="{7829CB96-70D4-4B82-AE00-03EF8DF99DC9}"/>
    <hyperlink ref="AD662" r:id="rId601" xr:uid="{A6B096FB-76AC-4812-8D0B-C1B42877E635}"/>
    <hyperlink ref="AD659" r:id="rId602" xr:uid="{660B1536-DD17-4150-906D-A1C5771E49B9}"/>
    <hyperlink ref="O653" r:id="rId603" display="ehealthazuredev@ha.org.hk; alex.lk.wong@ha.org.hk " xr:uid="{E613D6AF-DBC5-4775-BA40-78255C598A2A}"/>
    <hyperlink ref="M653" r:id="rId604" display="mailto:ehealthazurecldprd@ha.org.hk" xr:uid="{74916AB9-B74C-4753-B2AD-9E20ED426708}"/>
    <hyperlink ref="O652" r:id="rId605" display="ehealthazuredev@ha.org.hk; alex.lk.wong@ha.org.hk " xr:uid="{67D35321-1EA9-4729-ABD1-C7CAE0957D15}"/>
    <hyperlink ref="M652" r:id="rId606" xr:uid="{912CDE7A-82B0-4976-9790-A7B66EB2A862}"/>
    <hyperlink ref="AD656" r:id="rId607" display="http://10.10.10.209/OASIS_FILE_MANAGER/zip_files_download.php?qid=1273798&amp;serialno=UB24-00004154&amp;itemno=1&amp;token=acddc3ef143d61133d36ebdde799eab9" xr:uid="{95FC8B05-F5C0-42A1-9EBF-21FDFE8FADA2}"/>
    <hyperlink ref="AD644" r:id="rId608" xr:uid="{EABD53A8-BFFC-42D8-A64F-4B0AD90A6534}"/>
    <hyperlink ref="AD654" r:id="rId609" xr:uid="{4842FC6B-3823-4585-850B-765E8C095B98}"/>
    <hyperlink ref="M651" r:id="rId610" display="mailto:t7odcdev@ha.org.hk" xr:uid="{EF95F99F-E881-4321-A5F9-A0BD2314B2F8}"/>
    <hyperlink ref="AD625" r:id="rId611" xr:uid="{1ABB8637-29E1-4A5E-8B96-69E2E9462DDA}"/>
    <hyperlink ref="P650" r:id="rId612" display="sc5odcdev@ha.org.hk; yym242@ha.org.hk; yym242@ha.org.hk; yym242@ha.org.hk; " xr:uid="{3EABC94D-E5F5-4B43-8E49-078D8F6D99C4}"/>
    <hyperlink ref="AD633" r:id="rId613" xr:uid="{40C67760-2D75-425D-B261-85BB1847A875}"/>
    <hyperlink ref="AD622" r:id="rId614" xr:uid="{16C18F5F-AA10-4176-ADCD-A649603969FC}"/>
    <hyperlink ref="AD631" r:id="rId615" xr:uid="{4CA95708-6E7E-4BA4-A2D3-BDF1C7BACDF9}"/>
    <hyperlink ref="AD629" r:id="rId616" xr:uid="{D86999EC-19ED-4860-97D1-15C0C1FAADB8}"/>
    <hyperlink ref="AD623" r:id="rId617" xr:uid="{E0AB3CDA-2663-447F-B333-A851A813DEDA}"/>
    <hyperlink ref="E424" r:id="rId618" xr:uid="{58715F58-0A55-4A38-93A0-23D6C0DF1EAF}"/>
    <hyperlink ref="F649" r:id="rId619" xr:uid="{AA2E26B4-79F4-41DB-A067-FCD6F0E90043}"/>
    <hyperlink ref="E649" r:id="rId620" display="kstang@eduhk.hk" xr:uid="{79448F1A-CC07-43C1-84F3-C694520CD3D8}"/>
    <hyperlink ref="X644" r:id="rId621" display="javascript:openWindow('/servlet/IncidentDetailServlet?incidentId=SD11669264%27);" xr:uid="{F35E4B7A-98B4-4AE1-B0D8-59794863F615}"/>
    <hyperlink ref="AD648" r:id="rId622" xr:uid="{0BCBBFFC-D56E-4EFC-815D-BE30FA8580F9}"/>
    <hyperlink ref="M648" r:id="rId623" xr:uid="{77E623EC-9A76-4DD8-A872-E97A3D14647B}"/>
    <hyperlink ref="F648" r:id="rId624" xr:uid="{54911298-EC98-4F5D-8391-9095D208700D}"/>
    <hyperlink ref="M647" r:id="rId625" display="mailto:AWSZAPIGSQCC@hkairport.com" xr:uid="{D6115D31-CCD3-4CE2-B0E9-9CFEC2058858}"/>
    <hyperlink ref="AD636" r:id="rId626" display="http://10.10.10.209/OASIS_FILE_MANAGER/zip_files_download.php?qid=1250809&amp;serialno=UB24-00003083&amp;itemno=1&amp;token=9f6addcb0d82f484aca6665b5dc9237d" xr:uid="{E4CD688E-1367-44F6-A220-9D2C865CD246}"/>
    <hyperlink ref="F635" r:id="rId627" xr:uid="{B047BBFE-6CC8-4DF8-BCB5-1AB1F4DEAC1B}"/>
    <hyperlink ref="AD635" r:id="rId628" xr:uid="{5C606C00-81D7-47D2-83F9-6FD702B6ED2E}"/>
    <hyperlink ref="AD634" r:id="rId629" xr:uid="{294EB25E-0633-44E0-A098-C61D85199D0B}"/>
    <hyperlink ref="M631" r:id="rId630" xr:uid="{8281758F-BA38-4077-9B50-A7F4A59FAB10}"/>
    <hyperlink ref="M633" r:id="rId631" xr:uid="{55319B83-33DD-4E90-9EB8-D5E8D0342ACD}"/>
    <hyperlink ref="P633" r:id="rId632" display="n3incidentsupp@ha.org.hk; chanhca@ha.org.hk; leo.lam@ha.org.hk" xr:uid="{5988B515-D263-4085-9DD9-D09F7E47D400}"/>
    <hyperlink ref="AD632" r:id="rId633" xr:uid="{979E212F-0564-4785-8ABD-37C18E063C09}"/>
    <hyperlink ref="AD630" r:id="rId634" xr:uid="{30C2B085-76D1-48EF-84AB-F7118D2B743E}"/>
    <hyperlink ref="F630" r:id="rId635" xr:uid="{2CF94428-C647-4494-BBEB-BB8BBD9A546D}"/>
    <hyperlink ref="M629" r:id="rId636" xr:uid="{6DDBAC1B-E43C-4394-B56A-BD06667D2EC7}"/>
    <hyperlink ref="F474" r:id="rId637" xr:uid="{5785AC2A-45CE-4541-BC45-87709504608E}"/>
    <hyperlink ref="AD619" r:id="rId638" display="http://10.10.10.209/OASIS_FILE_MANAGER/zip_files_download.php?qid=1240096&amp;serialno=UE24-00001919&amp;itemno=1&amp;token=3a577825b6b079b72327513261726934" xr:uid="{3446BCBA-ED1F-406F-9BDA-5B951E97B307}"/>
    <hyperlink ref="M623" r:id="rId639" xr:uid="{3B7D1C89-F34A-4E42-81E0-65A006008456}"/>
    <hyperlink ref="M627" r:id="rId640" xr:uid="{3818E0EA-2724-4E93-9513-A2F47ACFCC2C}"/>
    <hyperlink ref="AD627" r:id="rId641" xr:uid="{EBE8DA97-53D2-4B13-BCD0-FC859B5F010E}"/>
    <hyperlink ref="AD626" r:id="rId642" xr:uid="{C8CF64B3-7A65-44C4-AEB9-58D0BD9131AB}"/>
    <hyperlink ref="F626" r:id="rId643" xr:uid="{6D61110A-8ECC-482A-BA68-D190853CC0CC}"/>
    <hyperlink ref="F624" r:id="rId644" xr:uid="{CB7C6585-CCFB-46CD-9C4D-EA9909F2CF5C}"/>
    <hyperlink ref="AD624" r:id="rId645" xr:uid="{C0719C98-9C78-431E-A97C-B25A63FEDFF1}"/>
    <hyperlink ref="F618" r:id="rId646" display="aaron.huang@gammonconstruction.com / Alan Wai Lun Kong &lt;Alan.Kong@gammonconstruction.com" xr:uid="{65B27336-B11E-455C-8B8B-9F54D885FFA3}"/>
    <hyperlink ref="M622" r:id="rId647" xr:uid="{B57CBAAD-9069-4AC7-9651-E63AA8BA13C5}"/>
    <hyperlink ref="AD608" r:id="rId648" xr:uid="{DA09E4D8-339A-4F0E-8DB8-8142D039AEC4}"/>
    <hyperlink ref="AD621" r:id="rId649" xr:uid="{74488E19-FF42-4ABA-BCE4-7E1985567834}"/>
    <hyperlink ref="M621" r:id="rId650" xr:uid="{AF72F9DE-A5AE-4027-92E3-AD46FB59EC4A}"/>
    <hyperlink ref="AD557" r:id="rId651" display="http://10.10.10.209/OASIS_FILE_MANAGER/zip_files_download.php?qid=1203291&amp;serialno=UE24-00000605&amp;itemno=1&amp;token=6846eac8eff0831566cf6e4382db1f12" xr:uid="{281444BF-923F-437A-A4B9-57F13E0844D7}"/>
    <hyperlink ref="AD392" r:id="rId652" xr:uid="{712B02CB-6604-4399-8D95-BBFDCBD3A789}"/>
    <hyperlink ref="AD391" r:id="rId653" xr:uid="{8E8E1492-0125-48E0-B285-32C311E9EDAF}"/>
    <hyperlink ref="AD352" r:id="rId654" xr:uid="{ACC3552E-45E8-4446-8FEA-066C7E4ACD6B}"/>
    <hyperlink ref="AD618" r:id="rId655" xr:uid="{68FCCE0A-7C89-42B0-A4F6-47EA0440C641}"/>
    <hyperlink ref="M516" r:id="rId656" xr:uid="{16F63613-FEFE-4119-B0FC-A842D9A36799}"/>
    <hyperlink ref="AD516" r:id="rId657" xr:uid="{6F3B97F9-B6F9-4D8A-A792-F56C9E286F75}"/>
    <hyperlink ref="F516" r:id="rId658" xr:uid="{9D659438-B6B9-47CC-A286-73E65AC0C7C4}"/>
    <hyperlink ref="F617" r:id="rId659" xr:uid="{193FE416-91A1-47EE-A0B9-9F6BAEC05FF7}"/>
    <hyperlink ref="AD605" r:id="rId660" display="http://10.10.10.209/OASIS_FILE_MANAGER/zip_files_download.php?qid=1223483&amp;serialno=UB24-00001800&amp;itemno=1&amp;token=87276d7537153c071cf1e3757f9286fb" xr:uid="{EABDF6DF-5CDD-4CF4-A6AE-D6330E771CC4}"/>
    <hyperlink ref="AD604" r:id="rId661" display="http://10.10.10.209/OASIS_FILE_MANAGER/zip_files_download.php?qid=1223483&amp;serialno=UB24-00001800&amp;itemno=1&amp;token=87276d7537153c071cf1e3757f9286fb" xr:uid="{427906B9-4269-483A-89F9-9A09B645BBA7}"/>
    <hyperlink ref="AD603" r:id="rId662" display="http://10.10.10.209/OASIS_FILE_MANAGER/zip_files_download.php?qid=1223483&amp;serialno=UB24-00001800&amp;itemno=1&amp;token=87276d7537153c071cf1e3757f9286fb" xr:uid="{4A4F87BA-FA5E-4F63-AE72-EB2F9E0E94CC}"/>
    <hyperlink ref="AD602" r:id="rId663" display="http://10.10.10.209/OASIS_FILE_MANAGER/zip_files_download.php?qid=1223483&amp;serialno=UB24-00001800&amp;itemno=1&amp;token=87276d7537153c071cf1e3757f9286fb" xr:uid="{CD2BC995-CED8-4673-9C03-F01B42F0C408}"/>
    <hyperlink ref="AD601" r:id="rId664" display="http://10.10.10.209/OASIS_FILE_MANAGER/zip_files_download.php?qid=1223483&amp;serialno=UB24-00001800&amp;itemno=1&amp;token=87276d7537153c071cf1e3757f9286fb" xr:uid="{D65DAA26-9433-4B46-9D38-5A1C2118E06A}"/>
    <hyperlink ref="AD600" r:id="rId665" display="http://10.10.10.209/OASIS_FILE_MANAGER/zip_files_download.php?qid=1223483&amp;serialno=UB24-00001800&amp;itemno=1&amp;token=87276d7537153c071cf1e3757f9286fb" xr:uid="{506215E0-1B60-479A-80D3-6E5814C491A4}"/>
    <hyperlink ref="AD599" r:id="rId666" display="http://10.10.10.209/OASIS_FILE_MANAGER/zip_files_download.php?qid=1223483&amp;serialno=UB24-00001800&amp;itemno=1&amp;token=87276d7537153c071cf1e3757f9286fb" xr:uid="{5906E2A9-B8D1-431E-ACE5-D0EA369398E6}"/>
    <hyperlink ref="AD598" r:id="rId667" display="http://10.10.10.209/OASIS_FILE_MANAGER/zip_files_download.php?qid=1223483&amp;serialno=UB24-00001800&amp;itemno=1&amp;token=87276d7537153c071cf1e3757f9286fb" xr:uid="{D8F79671-68BC-4C10-8A34-DFACD92680E5}"/>
    <hyperlink ref="AD597" r:id="rId668" display="http://10.10.10.209/OASIS_FILE_MANAGER/zip_files_download.php?qid=1223483&amp;serialno=UB24-00001800&amp;itemno=1&amp;token=87276d7537153c071cf1e3757f9286fb" xr:uid="{680F3138-31D9-4FD3-A633-9CED5C556BEB}"/>
    <hyperlink ref="AD596" r:id="rId669" display="http://10.10.10.209/OASIS_FILE_MANAGER/zip_files_download.php?qid=1223483&amp;serialno=UB24-00001800&amp;itemno=1&amp;token=87276d7537153c071cf1e3757f9286fb" xr:uid="{E7F303D1-4371-4F79-B341-F49DE76B44D7}"/>
    <hyperlink ref="AD595" r:id="rId670" display="http://10.10.10.209/OASIS_FILE_MANAGER/zip_files_download.php?qid=1223483&amp;serialno=UB24-00001800&amp;itemno=1&amp;token=87276d7537153c071cf1e3757f9286fb" xr:uid="{4FAF77D3-A868-4FEB-9D83-48FEF0597DB5}"/>
    <hyperlink ref="AD594" r:id="rId671" display="http://10.10.10.209/OASIS_FILE_MANAGER/zip_files_download.php?qid=1223483&amp;serialno=UB24-00001800&amp;itemno=1&amp;token=87276d7537153c071cf1e3757f9286fb" xr:uid="{07618152-A985-4361-BF6E-8D2408657772}"/>
    <hyperlink ref="AD593" r:id="rId672" display="http://10.10.10.209/OASIS_FILE_MANAGER/zip_files_download.php?qid=1223483&amp;serialno=UB24-00001800&amp;itemno=1&amp;token=87276d7537153c071cf1e3757f9286fb" xr:uid="{3665F786-8712-47BB-A79F-0D4C41176957}"/>
    <hyperlink ref="AD592" r:id="rId673" display="http://10.10.10.209/OASIS_FILE_MANAGER/zip_files_download.php?qid=1223483&amp;serialno=UB24-00001800&amp;itemno=1&amp;token=87276d7537153c071cf1e3757f9286fb" xr:uid="{3DFF330F-77CE-4B79-B69D-77AC6533BC89}"/>
    <hyperlink ref="AD591" r:id="rId674" display="http://10.10.10.209/OASIS_FILE_MANAGER/zip_files_download.php?qid=1223483&amp;serialno=UB24-00001800&amp;itemno=1&amp;token=87276d7537153c071cf1e3757f9286fb" xr:uid="{D9C99E2C-CB9D-46AA-8CFA-D132203BF359}"/>
    <hyperlink ref="AD590" r:id="rId675" display="http://10.10.10.209/OASIS_FILE_MANAGER/zip_files_download.php?qid=1223483&amp;serialno=UB24-00001800&amp;itemno=1&amp;token=87276d7537153c071cf1e3757f9286fb" xr:uid="{892FBFCA-611B-47B5-A055-03DD65C5A882}"/>
    <hyperlink ref="AD589" r:id="rId676" display="http://10.10.10.209/OASIS_FILE_MANAGER/zip_files_download.php?qid=1223483&amp;serialno=UB24-00001800&amp;itemno=1&amp;token=87276d7537153c071cf1e3757f9286fb" xr:uid="{3787059C-C048-4F65-9DAA-54FEBD8D9F84}"/>
    <hyperlink ref="AD588" r:id="rId677" display="http://10.10.10.209/OASIS_FILE_MANAGER/zip_files_download.php?qid=1223483&amp;serialno=UB24-00001800&amp;itemno=1&amp;token=87276d7537153c071cf1e3757f9286fb" xr:uid="{E97B9181-0465-41D3-A2D0-913FC41135B0}"/>
    <hyperlink ref="AD587" r:id="rId678" display="http://10.10.10.209/OASIS_FILE_MANAGER/zip_files_download.php?qid=1223483&amp;serialno=UB24-00001800&amp;itemno=1&amp;token=87276d7537153c071cf1e3757f9286fb" xr:uid="{D3BEC88F-2581-4262-92B5-4CB737185772}"/>
    <hyperlink ref="AD586" r:id="rId679" display="http://10.10.10.209/OASIS_FILE_MANAGER/zip_files_download.php?qid=1223483&amp;serialno=UB24-00001800&amp;itemno=1&amp;token=87276d7537153c071cf1e3757f9286fb" xr:uid="{FB9E7889-E86B-49AE-B6CF-A8838BC1FBF5}"/>
    <hyperlink ref="AD585" r:id="rId680" display="http://10.10.10.209/OASIS_FILE_MANAGER/zip_files_download.php?qid=1223483&amp;serialno=UB24-00001800&amp;itemno=1&amp;token=87276d7537153c071cf1e3757f9286fb" xr:uid="{E076D0DF-2862-4378-B1F1-0A5DC667D44F}"/>
    <hyperlink ref="AD584" r:id="rId681" display="http://10.10.10.209/OASIS_FILE_MANAGER/zip_files_download.php?qid=1223483&amp;serialno=UB24-00001800&amp;itemno=1&amp;token=87276d7537153c071cf1e3757f9286fb" xr:uid="{165A331B-9A3D-46AE-9CD7-06F59504706B}"/>
    <hyperlink ref="AD583" r:id="rId682" display="http://10.10.10.209/OASIS_FILE_MANAGER/zip_files_download.php?qid=1223483&amp;serialno=UB24-00001800&amp;itemno=1&amp;token=87276d7537153c071cf1e3757f9286fb" xr:uid="{FE082D42-B4E8-4FE5-955B-C42807E8380D}"/>
    <hyperlink ref="AD582" r:id="rId683" display="http://10.10.10.209/OASIS_FILE_MANAGER/zip_files_download.php?qid=1223483&amp;serialno=UB24-00001800&amp;itemno=1&amp;token=87276d7537153c071cf1e3757f9286fb" xr:uid="{4ACC5FA2-E920-4F84-8225-F6051CE26BDB}"/>
    <hyperlink ref="AD581" r:id="rId684" display="http://10.10.10.209/OASIS_FILE_MANAGER/zip_files_download.php?qid=1223483&amp;serialno=UB24-00001800&amp;itemno=1&amp;token=87276d7537153c071cf1e3757f9286fb" xr:uid="{0D0F3A38-5234-42DD-BF76-DF1BB5943F34}"/>
    <hyperlink ref="AD580" r:id="rId685" display="http://10.10.10.209/OASIS_FILE_MANAGER/zip_files_download.php?qid=1223483&amp;serialno=UB24-00001800&amp;itemno=1&amp;token=87276d7537153c071cf1e3757f9286fb" xr:uid="{8E175F78-3D37-4537-B10D-FCE2B08162BC}"/>
    <hyperlink ref="AD579" r:id="rId686" display="http://10.10.10.209/OASIS_FILE_MANAGER/zip_files_download.php?qid=1223483&amp;serialno=UB24-00001800&amp;itemno=1&amp;token=87276d7537153c071cf1e3757f9286fb" xr:uid="{FDB207AE-DF92-4965-A5AF-BBD62C35CB87}"/>
    <hyperlink ref="AD578" r:id="rId687" display="http://10.10.10.209/OASIS_FILE_MANAGER/zip_files_download.php?qid=1223483&amp;serialno=UB24-00001800&amp;itemno=1&amp;token=87276d7537153c071cf1e3757f9286fb" xr:uid="{1C825E5C-B3F1-43D1-989C-370E217F33E6}"/>
    <hyperlink ref="AD577" r:id="rId688" display="http://10.10.10.209/OASIS_FILE_MANAGER/zip_files_download.php?qid=1223483&amp;serialno=UB24-00001800&amp;itemno=1&amp;token=87276d7537153c071cf1e3757f9286fb" xr:uid="{B15FC5C3-4EE3-4978-958C-C5B6D5971A07}"/>
    <hyperlink ref="AD576" r:id="rId689" display="http://10.10.10.209/OASIS_FILE_MANAGER/zip_files_download.php?qid=1223483&amp;serialno=UB24-00001800&amp;itemno=1&amp;token=87276d7537153c071cf1e3757f9286fb" xr:uid="{81D4ACC2-A5A5-46E6-AE09-F1A941E1BF8C}"/>
    <hyperlink ref="AD575" r:id="rId690" display="http://10.10.10.209/OASIS_FILE_MANAGER/zip_files_download.php?qid=1223483&amp;serialno=UB24-00001800&amp;itemno=1&amp;token=87276d7537153c071cf1e3757f9286fb" xr:uid="{AB938B8C-3DD4-4EE4-B51E-0A6EA593B4E3}"/>
    <hyperlink ref="AD574" r:id="rId691" display="http://10.10.10.209/OASIS_FILE_MANAGER/zip_files_download.php?qid=1223483&amp;serialno=UB24-00001800&amp;itemno=1&amp;token=87276d7537153c071cf1e3757f9286fb" xr:uid="{09F1CF53-0AE3-419E-8618-EC2CE33CB0A0}"/>
    <hyperlink ref="AD573" r:id="rId692" display="http://10.10.10.209/OASIS_FILE_MANAGER/zip_files_download.php?qid=1223483&amp;serialno=UB24-00001800&amp;itemno=1&amp;token=87276d7537153c071cf1e3757f9286fb" xr:uid="{9767E3F8-9D0F-4074-82EC-40DF350600B3}"/>
    <hyperlink ref="AD572" r:id="rId693" display="http://10.10.10.209/OASIS_FILE_MANAGER/zip_files_download.php?qid=1223483&amp;serialno=UB24-00001800&amp;itemno=1&amp;token=87276d7537153c071cf1e3757f9286fb" xr:uid="{888D55BF-F42D-4472-A518-7FE89C75CE33}"/>
    <hyperlink ref="AD571" r:id="rId694" xr:uid="{6E51CDD7-AB65-4D0A-8030-7EF758B9B576}"/>
    <hyperlink ref="AD570" r:id="rId695" display="http://10.10.10.209/OASIS_FILE_MANAGER/zip_files_download.php?qid=1223483&amp;serialno=UB24-00001800&amp;itemno=1&amp;token=87276d7537153c071cf1e3757f9286fb" xr:uid="{E7288CA3-AA53-4C84-A3D8-BBA9A3800E39}"/>
    <hyperlink ref="AD569" r:id="rId696" display="http://10.10.10.209/OASIS_FILE_MANAGER/zip_files_download.php?qid=1223483&amp;serialno=UB24-00001800&amp;itemno=1&amp;token=87276d7537153c071cf1e3757f9286fb" xr:uid="{42F9EA61-C8BA-4C92-B7DB-A467D7B3ABAE}"/>
    <hyperlink ref="AD568" r:id="rId697" xr:uid="{3F0294AC-B737-4950-BE1D-DBC88DF1687C}"/>
    <hyperlink ref="AD567" r:id="rId698" xr:uid="{EE381DE4-B9A4-41EB-A0A1-9496A71FF0D0}"/>
    <hyperlink ref="AD617" r:id="rId699" xr:uid="{AE276859-ADFD-49B7-A444-3B10C3F81C91}"/>
    <hyperlink ref="AD118" r:id="rId700" xr:uid="{141FE2B9-A1BC-4905-A238-C5D6556C2093}"/>
    <hyperlink ref="AD469" r:id="rId701" xr:uid="{F45FF022-D519-4A71-AD96-F51F586749A2}"/>
    <hyperlink ref="F503" r:id="rId702" xr:uid="{5D94FC27-37C0-479A-AE01-326A0C0D8F7C}"/>
    <hyperlink ref="F612" r:id="rId703" xr:uid="{3A9567D7-A7E7-4351-BB6B-57FB3403EAD1}"/>
    <hyperlink ref="AD616" r:id="rId704" xr:uid="{E14F4216-45BE-4077-A67C-5FB6B26AB704}"/>
    <hyperlink ref="AD615" r:id="rId705" xr:uid="{939F5DCD-B077-4275-AB06-274EF014B767}"/>
    <hyperlink ref="AD614" r:id="rId706" xr:uid="{794623D5-EC63-4144-AE6A-1961EE2F52E9}"/>
    <hyperlink ref="AD613" r:id="rId707" xr:uid="{A5A7B4FE-0898-4ACD-BD9B-A77DDCDFDB02}"/>
    <hyperlink ref="AD612" r:id="rId708" xr:uid="{AA9B3FDD-3B58-481D-9936-0D5DCC5B2E58}"/>
    <hyperlink ref="M611" r:id="rId709" xr:uid="{9F8EDE19-F6DB-424E-B981-6C294D09BFDC}"/>
    <hyperlink ref="AD611" r:id="rId710" xr:uid="{246FDA32-317D-4D47-85A7-D38CF1635A42}"/>
    <hyperlink ref="F611" r:id="rId711" xr:uid="{BD2D304A-764E-49B5-B0C8-A37EFDEB2931}"/>
    <hyperlink ref="M610" r:id="rId712" xr:uid="{4409D318-3B37-4E00-A54C-25CBCD9DCBD0}"/>
    <hyperlink ref="AD610" r:id="rId713" xr:uid="{E2BB2313-4767-46A1-AB87-1FDE2D198E7D}"/>
    <hyperlink ref="F610" r:id="rId714" xr:uid="{D68088FF-88F6-4F00-B082-31F79F1C07A9}"/>
    <hyperlink ref="F609" r:id="rId715" xr:uid="{8D91B719-0BB4-4508-AE01-E83B866F004F}"/>
    <hyperlink ref="AD609" r:id="rId716" xr:uid="{00B0D9A0-1D09-40CD-88ED-FB97000451E3}"/>
    <hyperlink ref="AD606" r:id="rId717" xr:uid="{2872E80A-016A-41AF-A9BC-AF705042DC71}"/>
    <hyperlink ref="AD565" r:id="rId718" xr:uid="{F0D4049B-4EB5-4B32-8A36-9896F8818344}"/>
    <hyperlink ref="AD556" r:id="rId719" xr:uid="{09C421F2-29D3-414A-AEB9-F5761C320D71}"/>
    <hyperlink ref="F552" r:id="rId720" xr:uid="{66FBDD82-44FD-4AA8-82ED-A65F8B79BF03}"/>
    <hyperlink ref="F551" r:id="rId721" xr:uid="{4898C1FF-91D9-4E5A-9952-7654B626CD53}"/>
    <hyperlink ref="AD552" r:id="rId722" xr:uid="{F600D460-1495-441F-B2ED-C3D8978F7132}"/>
    <hyperlink ref="AD551" r:id="rId723" xr:uid="{99CA8B2C-A6C4-421F-8371-E6FF6CF12927}"/>
    <hyperlink ref="M552" r:id="rId724" xr:uid="{769A60AF-359A-4BBA-8239-19D0436EBAF9}"/>
    <hyperlink ref="AD184" r:id="rId725" xr:uid="{289DF3B2-1090-43A1-9CBB-AADEA85433AC}"/>
    <hyperlink ref="M608" r:id="rId726" xr:uid="{B03F51CD-7FAA-40C0-926E-E53F3032B10F}"/>
    <hyperlink ref="AD566" r:id="rId727" xr:uid="{C47AFF2A-B238-4BF5-A44D-1AF49E25EF5E}"/>
    <hyperlink ref="F563" r:id="rId728" xr:uid="{AB24D286-BF03-45BC-BAB2-CB8527303E6E}"/>
    <hyperlink ref="M607" r:id="rId729" xr:uid="{D3D0EA37-5F5A-440B-88CC-6942F6564A35}"/>
    <hyperlink ref="P551" r:id="rId730" display="dcmspca@ha.org.hk; howk@ha.org.hk; sosl@ha.org.hk" xr:uid="{EAD3B839-9D7D-4C17-8AC1-23726647BC19}"/>
    <hyperlink ref="M551" r:id="rId731" xr:uid="{3B6923F1-FCE1-4C43-BB61-0C6C08BC932F}"/>
    <hyperlink ref="P606" r:id="rId732" xr:uid="{EB99A11F-C52F-4FC2-942B-197E02427CB2}"/>
    <hyperlink ref="M606" r:id="rId733" xr:uid="{FE6A91E5-386E-4B5F-8EDA-307E9726B4B4}"/>
    <hyperlink ref="F564" r:id="rId734" xr:uid="{85AAB6D7-06C9-422F-BD49-5A479302D99D}"/>
    <hyperlink ref="M564" r:id="rId735" xr:uid="{3A96566F-28C3-4DA9-ADBE-203C690D2572}"/>
    <hyperlink ref="M565" r:id="rId736" xr:uid="{0E7A7E28-7895-4F9D-ADFD-713BA2DA13F0}"/>
    <hyperlink ref="F565" r:id="rId737" xr:uid="{222BA718-D091-4F51-8906-57560611F650}"/>
    <hyperlink ref="F515" r:id="rId738" xr:uid="{39B1DFDB-7682-42BE-B990-4FE7CE2D7AAD}"/>
    <hyperlink ref="X564" r:id="rId739" display="javascript:openWindow('/servlet/IncidentDetailServlet?incidentId=SD11642824%27);" xr:uid="{22092332-D8D9-46D1-88F0-A0A86543883B}"/>
    <hyperlink ref="AD563" r:id="rId740" xr:uid="{D12BB894-D28C-4733-81A1-64F18C0BB909}"/>
    <hyperlink ref="AD561" r:id="rId741" xr:uid="{E5B6AEBE-1946-45E7-AF79-6F70FAD73B65}"/>
    <hyperlink ref="F562" r:id="rId742" xr:uid="{53967AEC-2917-44E2-BFE9-8AD7B126257E}"/>
    <hyperlink ref="AD562" r:id="rId743" xr:uid="{579F9F62-39AD-4BBF-A36F-17216BE23E12}"/>
    <hyperlink ref="F561" r:id="rId744" xr:uid="{B5E971BB-B221-4C11-A9EA-F42178EE2712}"/>
    <hyperlink ref="F554" r:id="rId745" xr:uid="{27C48C64-06B8-4F87-A58A-3B705E09261D}"/>
    <hyperlink ref="AD554" r:id="rId746" xr:uid="{13F950C4-1EC5-4436-9CAB-4BA508E665DC}"/>
    <hyperlink ref="M560" r:id="rId747" xr:uid="{5EA7EB9A-0998-49FD-A22E-91F2F5231DD0}"/>
    <hyperlink ref="M559" r:id="rId748" xr:uid="{D3D6B15A-3A1C-40A4-8AEA-A2A7D4BF9335}"/>
    <hyperlink ref="M558" r:id="rId749" xr:uid="{F68EDD65-D2E1-4973-9680-F36EF8CD181D}"/>
    <hyperlink ref="F560" r:id="rId750" xr:uid="{067BECF3-8CC9-4293-B7A4-9353E82142E0}"/>
    <hyperlink ref="F559" r:id="rId751" xr:uid="{A69AD5C4-4BEC-4B5A-9359-D0A7C3745392}"/>
    <hyperlink ref="F558" r:id="rId752" xr:uid="{298FF0C9-A3D6-4AA2-9822-9420B5BBDA41}"/>
    <hyperlink ref="AD560" r:id="rId753" xr:uid="{D93DD963-B8B8-4213-9BA1-4CE89CB7D0AC}"/>
    <hyperlink ref="AD559" r:id="rId754" xr:uid="{D7CCB48A-3A0E-4B41-820B-CBBCE131424F}"/>
    <hyperlink ref="AD558" r:id="rId755" xr:uid="{E7A7CF67-A780-41C9-A288-091F07B1E889}"/>
    <hyperlink ref="M557" r:id="rId756" xr:uid="{19FDEEE2-97EE-4B40-9834-C501A5CFA9A4}"/>
    <hyperlink ref="F557" r:id="rId757" xr:uid="{E9A3DDC4-1057-4D17-8569-059B79E1C14E}"/>
    <hyperlink ref="F556" r:id="rId758" xr:uid="{97697250-DC00-470A-B7F7-68B176CE4C93}"/>
    <hyperlink ref="M556" r:id="rId759" xr:uid="{F28FC555-B300-4D10-B692-9B54DF1E4A05}"/>
    <hyperlink ref="F555" r:id="rId760" xr:uid="{F912B58E-9AE4-4C00-B931-427C0EB4EFC4}"/>
    <hyperlink ref="AD555" r:id="rId761" xr:uid="{7BACC45A-663D-45FC-B59E-BE7FD4AF8833}"/>
    <hyperlink ref="F553" r:id="rId762" xr:uid="{ECC720D5-FFA8-41CE-A712-FC57255A38B9}"/>
    <hyperlink ref="F549" r:id="rId763" xr:uid="{E2067BB9-9621-4732-AF80-1269F1FCB4B7}"/>
    <hyperlink ref="F550" r:id="rId764" xr:uid="{2AB4C897-6513-4321-B1FC-7382262F3139}"/>
    <hyperlink ref="AD553" r:id="rId765" xr:uid="{071710DC-0D5F-47B8-AB0F-455407FC44D4}"/>
    <hyperlink ref="AD535" r:id="rId766" xr:uid="{3003959B-B072-447F-8A2F-3DFFC70132C5}"/>
    <hyperlink ref="AD534" r:id="rId767" xr:uid="{38A75944-3E95-4A71-A8A9-61DD7B805BCC}"/>
    <hyperlink ref="AD530:AD533" r:id="rId768" display="http://10.10.10.209/OASIS_FILE_MANAGER/zip_files_download.php?qid=1190790&amp;serialno=UD24-00000300&amp;itemno=1&amp;token=d2fcc63539ab421111515b95e3d48e8c" xr:uid="{5917F62A-5B4D-4D93-8C55-D6E5DE7DF6CE}"/>
    <hyperlink ref="AD529" r:id="rId769" xr:uid="{8934EF08-AB3F-4679-B46E-59D92E048D7D}"/>
    <hyperlink ref="F450" r:id="rId770" xr:uid="{80959DF3-5075-4518-8B13-4D70D963B7F2}"/>
    <hyperlink ref="AD450" r:id="rId771" xr:uid="{68D73E94-4168-4311-8310-CE75909F25E0}"/>
    <hyperlink ref="M527" r:id="rId772" xr:uid="{3EDF0FBB-DA23-4C90-B95E-4CF56455046E}"/>
    <hyperlink ref="M526" r:id="rId773" xr:uid="{7EE089C6-6C49-4E58-950E-06147F352173}"/>
    <hyperlink ref="AD528" r:id="rId774" xr:uid="{E03EED68-6291-461E-B9EB-6E436A4A90BD}"/>
    <hyperlink ref="AD527" r:id="rId775" xr:uid="{07CF5FEA-22CE-483D-BA7F-F75E61364BDD}"/>
    <hyperlink ref="AD526" r:id="rId776" xr:uid="{724E4593-DF92-4B3B-A4E1-C3DB4EA95F2E}"/>
    <hyperlink ref="F505" r:id="rId777" xr:uid="{25600A68-2308-47EC-8EFC-08D4085A6A4B}"/>
    <hyperlink ref="AD455" r:id="rId778" xr:uid="{E4C9390A-3E3B-4EB0-8514-D29E2C6AE5F6}"/>
    <hyperlink ref="AD451" r:id="rId779" xr:uid="{ECFFB6C6-5D12-4B2F-9D77-5C334BCBA9D2}"/>
    <hyperlink ref="M505" r:id="rId780" xr:uid="{92B5BF34-D4B1-4355-A226-096DCFC9B456}"/>
    <hyperlink ref="M521" r:id="rId781" xr:uid="{9A1DE2BA-3A2F-465A-95E1-4D1F04855E01}"/>
    <hyperlink ref="M520" r:id="rId782" xr:uid="{00A9D051-38E8-48EF-82C0-C6C2B273928C}"/>
    <hyperlink ref="M519" r:id="rId783" xr:uid="{09779065-6ACA-482B-935D-CCF2023FC830}"/>
    <hyperlink ref="M518" r:id="rId784" xr:uid="{3C5BF29D-5E00-4429-ACBD-E69CEE1B52C0}"/>
    <hyperlink ref="M517" r:id="rId785" xr:uid="{C1AEB498-18F3-4829-96CA-CA7D476B1C3F}"/>
    <hyperlink ref="F518:F521" r:id="rId786" display="donng@nwcs.com.hk" xr:uid="{7725DF2D-F335-43B5-A228-715EBF37EB1C}"/>
    <hyperlink ref="F517" r:id="rId787" xr:uid="{04F7182F-D7F3-4C11-A334-87976D3BD92B}"/>
    <hyperlink ref="AD521" r:id="rId788" xr:uid="{F2AACB18-FF00-44D2-B847-11EE6259ED22}"/>
    <hyperlink ref="AD520" r:id="rId789" xr:uid="{81F432F8-16CD-428C-B798-CB89605FC30F}"/>
    <hyperlink ref="AD519" r:id="rId790" xr:uid="{AB79916A-5C00-4BE3-8FEB-934CB4396DC9}"/>
    <hyperlink ref="AD518" r:id="rId791" xr:uid="{10978BD7-4784-40BC-A35D-D2071833CD79}"/>
    <hyperlink ref="AD517" r:id="rId792" xr:uid="{A0378A74-2E2D-4C75-8B89-0549BF8F441E}"/>
    <hyperlink ref="AD514" r:id="rId793" xr:uid="{828E1846-1D24-40B3-B4F5-657CB3A01663}"/>
    <hyperlink ref="AD498" r:id="rId794" xr:uid="{7A7075FB-1591-4AB3-A7FA-F52A544A20EF}"/>
    <hyperlink ref="AD501" r:id="rId795" xr:uid="{2E83B891-20AD-417D-8734-2786B49F7701}"/>
    <hyperlink ref="M501" r:id="rId796" display="mailto:bis4cloudadmin@ha.org.hk" xr:uid="{65217593-391C-4583-A149-99779D5E65DA}"/>
    <hyperlink ref="AD513" r:id="rId797" xr:uid="{A95D1A5E-4AC1-4CC6-8FB9-05DC341937A4}"/>
    <hyperlink ref="AD512" r:id="rId798" xr:uid="{E2107139-F950-43F2-8DEC-2A3D476BF35A}"/>
    <hyperlink ref="AD511" r:id="rId799" xr:uid="{9AFF9226-294E-4527-BA9F-18BD8CD048D9}"/>
    <hyperlink ref="F510" r:id="rId800" xr:uid="{39B142A4-1E85-4708-91FC-6706462400A4}"/>
    <hyperlink ref="AD508" r:id="rId801" xr:uid="{EFA674E4-01F1-48EE-9A00-8ADCDDC11707}"/>
    <hyperlink ref="AD507" r:id="rId802" xr:uid="{92F564CB-68AC-4666-B3A5-28DE3622A7E3}"/>
    <hyperlink ref="AD506" r:id="rId803" xr:uid="{7A57D1F1-9414-4347-A42E-7ABAA9617E18}"/>
    <hyperlink ref="F183" r:id="rId804" xr:uid="{9391017E-D378-4C0F-8402-B9302F5FC1D1}"/>
    <hyperlink ref="F175" r:id="rId805" xr:uid="{326EEAA4-C0DE-4104-B3D8-D57A50CF8222}"/>
    <hyperlink ref="F92" r:id="rId806" xr:uid="{34475C02-EB08-4933-9354-4122A4120B5D}"/>
    <hyperlink ref="F22" r:id="rId807" xr:uid="{0681B8B2-7AB3-4645-B28A-4898F5C871B6}"/>
    <hyperlink ref="F54" r:id="rId808" xr:uid="{1BE6ABC4-A1D6-4480-9767-F90C417CDBCD}"/>
    <hyperlink ref="F43" r:id="rId809" xr:uid="{6240B5FA-C6AB-4AA5-B1FA-A9CAE4FAEE1D}"/>
    <hyperlink ref="F94" r:id="rId810" xr:uid="{047D6BFB-8CD5-4E03-826A-7A60C317D01D}"/>
    <hyperlink ref="AD485" r:id="rId811" xr:uid="{8191C07A-612F-4FDF-B97A-896822782301}"/>
    <hyperlink ref="AD484" r:id="rId812" xr:uid="{1F671BFE-0945-49A3-8856-B5E4F6D1E4A1}"/>
    <hyperlink ref="AD503" r:id="rId813" xr:uid="{5FE4690A-337F-4AEA-80A7-74B87728C4F1}"/>
    <hyperlink ref="M504" r:id="rId814" xr:uid="{2BF6B03F-2FE1-4456-A5AE-FAEE575BE51C}"/>
    <hyperlink ref="AD504" r:id="rId815" xr:uid="{2E1A9991-2632-437D-A5A6-5735AFA5A10C}"/>
    <hyperlink ref="AD502" r:id="rId816" xr:uid="{6ED2CFB0-C200-4AA0-9712-B3D9E1DE7760}"/>
    <hyperlink ref="M502" r:id="rId817" display="mailto:aws_aem@chowtaifook.com" xr:uid="{509E86EE-0EE5-4951-B3B4-0033A73C4B1D}"/>
    <hyperlink ref="F501" r:id="rId818" xr:uid="{EF8F533C-9DE7-411F-ADEC-A0A5ECBCE374}"/>
    <hyperlink ref="AD500" r:id="rId819" xr:uid="{10F86EBB-B304-46E7-9C21-EDD06172FE7C}"/>
    <hyperlink ref="E455" r:id="rId820" xr:uid="{45333A2E-B0CA-4290-90E5-E0FBECCA6500}"/>
    <hyperlink ref="M186" r:id="rId821" xr:uid="{F236A096-CE45-4708-ADCD-8C0018F5688A}"/>
    <hyperlink ref="M190" r:id="rId822" xr:uid="{D8092583-D0D2-405A-914D-ACF9979C2026}"/>
    <hyperlink ref="AD497" r:id="rId823" xr:uid="{EBE5D241-C653-4897-9B4E-D065F8BC7418}"/>
    <hyperlink ref="AD494:AD496" r:id="rId824" display="http://10.10.10.209/OASIS_FILE_MANAGER/zip_files_download.php?qid=1154553&amp;serialno=GB23-00007764&amp;itemno=1&amp;token=87276d7537153c071cf1e3757f9286fb" xr:uid="{BAA3DF25-DAC1-45EE-8B89-9AC744D78A9A}"/>
    <hyperlink ref="AD493" r:id="rId825" xr:uid="{969621BD-7C30-4EE1-98C1-A0DB2101C00B}"/>
    <hyperlink ref="AD492" r:id="rId826" xr:uid="{76546BE2-463A-47D1-ABBC-698798C4D60D}"/>
    <hyperlink ref="AD487:AD491" r:id="rId827" display="http://10.10.10.209/OASIS_FILE_MANAGER/zip_files_download.php?qid=1150599&amp;serialno=CB23-00007763&amp;itemno=1&amp;token=6846eac8eff0831566cf6e4382db1f12" xr:uid="{2DE45128-3C4B-4947-89D3-8464D8BF65E8}"/>
    <hyperlink ref="AD486" r:id="rId828" xr:uid="{1DCBB7EC-9124-4F45-B9DE-63C0AF8DAC48}"/>
    <hyperlink ref="AD483" r:id="rId829" xr:uid="{32B34464-9ACA-43EC-BE95-C0D17AA76DF1}"/>
    <hyperlink ref="AD482" r:id="rId830" xr:uid="{9C2E72C2-7613-4C91-9829-D5D67E39C52D}"/>
    <hyperlink ref="AD481" r:id="rId831" xr:uid="{79A634B3-0A98-4B56-86AB-B69955836599}"/>
    <hyperlink ref="E481" r:id="rId832" xr:uid="{006D5458-9D1C-46AF-AB21-44E199A84C4A}"/>
    <hyperlink ref="E483" r:id="rId833" xr:uid="{7157E815-F8EF-4A7D-9D9F-974EB38DC49B}"/>
    <hyperlink ref="E482" r:id="rId834" xr:uid="{80649AE4-3E28-4F9D-8CE3-2205DAFB6EA1}"/>
    <hyperlink ref="AD479" r:id="rId835" xr:uid="{B4D2330B-1B2E-4187-B446-DEFBB32B89A3}"/>
    <hyperlink ref="AD478" r:id="rId836" xr:uid="{3A8A55A7-B0B2-4159-AA86-4D7733F1CBA5}"/>
    <hyperlink ref="AD477" r:id="rId837" xr:uid="{331ABB28-3187-43FE-ACC3-6FC0C169EFCF}"/>
    <hyperlink ref="AD476" r:id="rId838" xr:uid="{6C351D18-CEDC-4619-AD89-9A4A5507B275}"/>
    <hyperlink ref="AD475" r:id="rId839" xr:uid="{7326E279-CF82-44F2-82EE-DB0DA87E6A4D}"/>
    <hyperlink ref="AD474" r:id="rId840" xr:uid="{428F301E-F274-4F44-88F5-A8BC30A470D5}"/>
    <hyperlink ref="AD473" r:id="rId841" xr:uid="{F879053A-B1FA-40FE-BB2C-67CADBB13EE6}"/>
    <hyperlink ref="M122" r:id="rId842" display="crhkt@hkt-cloud.com" xr:uid="{43A32640-19FB-4454-A930-AFAD87D53BD1}"/>
    <hyperlink ref="M102" r:id="rId843" display="dennis@dbpower.com.hk" xr:uid="{35C85577-100C-4C6A-9787-E0D46F2A7F57}"/>
    <hyperlink ref="M98" r:id="rId844" display="cus006@biznegvigator.com/ctfhkt@hkt_cloud.com pw:Hkt68233" xr:uid="{54CC2CBD-E14B-42E5-8E6B-17A293485331}"/>
    <hyperlink ref="M80" r:id="rId845" display="it-prod1@hksi.org" xr:uid="{D7358337-1924-46FD-A85A-56A1EB01573A}"/>
    <hyperlink ref="M79" r:id="rId846" display="it-prod1@hksi.org" xr:uid="{77CF53CC-1B22-4BD8-A599-1243B7F8A310}"/>
    <hyperlink ref="M76" r:id="rId847" display="it-prod1@hksi.org" xr:uid="{5B68F979-B6A6-4A37-B868-4E9E3EC86092}"/>
    <hyperlink ref="M75" r:id="rId848" display="it_uat1@hksi.org" xr:uid="{0CF04F33-1BA4-48C5-8769-7624704FAA49}"/>
    <hyperlink ref="M74" r:id="rId849" display="it@hksi.org_x000a_AWS ID : 644017739101" xr:uid="{D4690C14-FF0E-40E1-AD4C-B4181F3E07E9}"/>
    <hyperlink ref="M59" r:id="rId850" display="aws_admin@incomepartners.com" xr:uid="{11542854-19D1-4A64-96F7-DD74AC03BF96}"/>
    <hyperlink ref="Y17" r:id="rId851" display="rmark@kbquest.com_x000a_pendnig for product Peter to confirm the handling method" xr:uid="{358B5B58-D119-4CC6-8C2F-A4E42CBAB92D}"/>
    <hyperlink ref="AD928" r:id="rId852" xr:uid="{EB112595-500C-480F-A75B-EAEEB397979D}"/>
    <hyperlink ref="F929" r:id="rId853" xr:uid="{6FEADECE-5856-4699-9080-8F79167F1CB3}"/>
    <hyperlink ref="F930" r:id="rId854" xr:uid="{96A8602F-D770-414C-B95A-53CD875233CF}"/>
    <hyperlink ref="M929" r:id="rId855" xr:uid="{BFAD834D-AC6E-47F0-9E7F-34F7DB042BE4}"/>
    <hyperlink ref="M930" r:id="rId856" xr:uid="{5E23904C-B946-41B5-A3AE-3FC5A5F0A8A3}"/>
    <hyperlink ref="AD929" r:id="rId857" xr:uid="{D0BA17B3-9231-407A-A699-3C57FA3BD7B2}"/>
    <hyperlink ref="AD930" r:id="rId858" xr:uid="{8DC7CC6B-2DAE-44DE-BC77-94BCC7E1E3DB}"/>
    <hyperlink ref="M931" r:id="rId859" xr:uid="{6813ED82-F2B9-416C-9396-4ACD78C42045}"/>
    <hyperlink ref="M932" r:id="rId860" xr:uid="{E015F2C6-E6D6-4BCB-B4A9-47C42D723CCF}"/>
    <hyperlink ref="AD931" r:id="rId861" xr:uid="{835AB200-6B82-40C3-A797-FF301F74102D}"/>
    <hyperlink ref="AD932" r:id="rId862" xr:uid="{26924873-60AF-43AB-AA45-09FF5BD68E5D}"/>
    <hyperlink ref="AD937" r:id="rId863" xr:uid="{2D53D20F-9794-4CE7-93FB-1501DD2A1AC0}"/>
    <hyperlink ref="F937" r:id="rId864" xr:uid="{6167B9D4-6AD5-4ECA-A1AB-3C763AC3094A}"/>
    <hyperlink ref="F938" r:id="rId865" xr:uid="{E28E4293-B95D-46FC-8649-1FA66595A279}"/>
    <hyperlink ref="M938" r:id="rId866" xr:uid="{4C761705-AFB5-4FD4-9454-2AE8A00424D9}"/>
    <hyperlink ref="F939" r:id="rId867" xr:uid="{0364B3B0-171D-4D4E-82D0-1A70367470AF}"/>
    <hyperlink ref="M939" r:id="rId868" xr:uid="{9977FDFC-3539-48DC-8424-0E09BA400D37}"/>
    <hyperlink ref="M937" r:id="rId869" xr:uid="{C716370A-5C1C-4852-A891-DD8B23119CE0}"/>
    <hyperlink ref="F940" r:id="rId870" xr:uid="{2C66B40B-A5E8-49D7-BD46-ED3B3B25C748}"/>
    <hyperlink ref="AD940" r:id="rId871" xr:uid="{7BE6E0F8-A385-43FE-8CEC-A2EECAD6F635}"/>
    <hyperlink ref="AD938" r:id="rId872" xr:uid="{73F6913D-782D-413E-AE08-88334A49515D}"/>
    <hyperlink ref="F941" r:id="rId873" xr:uid="{058D5514-912D-49E8-9829-0B9B2483095A}"/>
    <hyperlink ref="M941" r:id="rId874" xr:uid="{FA98D523-C940-44B6-816E-5B71EE8C28AF}"/>
    <hyperlink ref="AD939" r:id="rId875" xr:uid="{8ADAD687-F3D7-40BE-A4D3-20240AD67AB7}"/>
    <hyperlink ref="M942" r:id="rId876" display="mailto:ehrdvpportaldev@ha.org.hk" xr:uid="{1BC330B7-AFE7-4D27-A03A-1057A42D2E53}"/>
    <hyperlink ref="F943" r:id="rId877" xr:uid="{96FD0D2D-526F-4C13-ABA1-0018E6D98466}"/>
    <hyperlink ref="F958" r:id="rId878" xr:uid="{6C0AE9D2-03D5-43D6-9F95-62F263A48D0C}"/>
    <hyperlink ref="M958" r:id="rId879" xr:uid="{61BA1522-49D4-4530-BFAB-B45820FF3F73}"/>
    <hyperlink ref="M959" r:id="rId880" xr:uid="{B986E79A-C23A-454C-9A02-1DAB6D626EBD}"/>
    <hyperlink ref="F959" r:id="rId881" xr:uid="{52E86F55-8C5B-4DCF-84BA-41276FCABE8A}"/>
    <hyperlink ref="F960" r:id="rId882" xr:uid="{D84138A9-D1FD-40E1-93AE-5CF3B69E2CC6}"/>
    <hyperlink ref="M960" r:id="rId883" xr:uid="{81EA2E75-5F82-43EC-9823-1666EECDB833}"/>
    <hyperlink ref="F961" r:id="rId884" xr:uid="{0AFC9FB5-F384-44ED-A0B3-8BF49520F545}"/>
    <hyperlink ref="M961" r:id="rId885" xr:uid="{84051926-8363-4B86-8A40-3C82BBF43B56}"/>
    <hyperlink ref="F944" r:id="rId886" xr:uid="{447DF4EE-E283-4625-A2D7-3C9ADF1C1C91}"/>
    <hyperlink ref="F945" r:id="rId887" xr:uid="{2A84DA6D-8047-4B1D-B6D3-3258C2F1BFF2}"/>
    <hyperlink ref="F946" r:id="rId888" xr:uid="{9425E065-BC26-4B6E-8162-159CB682BB11}"/>
    <hyperlink ref="F947" r:id="rId889" xr:uid="{EBC5347A-A35B-40E8-81AE-9221320DDE19}"/>
    <hyperlink ref="F948" r:id="rId890" xr:uid="{3AB394B0-1802-4B7A-8BA5-725EBBAC900F}"/>
    <hyperlink ref="F949" r:id="rId891" xr:uid="{33C08B0B-B8AA-4820-9FA8-D1E8C9105D0F}"/>
    <hyperlink ref="F950" r:id="rId892" xr:uid="{5F2329F8-8862-45C1-9441-08C621ACA16A}"/>
    <hyperlink ref="F951" r:id="rId893" xr:uid="{8DD9C80C-ECA1-4420-9A8D-F3C783ED6735}"/>
    <hyperlink ref="F952" r:id="rId894" xr:uid="{8726F85B-197D-4BA6-B80B-8A036E5A7EFA}"/>
    <hyperlink ref="F953" r:id="rId895" xr:uid="{595048FC-DE4B-4FB9-8ABA-BB462D934845}"/>
    <hyperlink ref="F954" r:id="rId896" xr:uid="{A4E2C942-19E6-4DD4-9199-25702F78CCA0}"/>
    <hyperlink ref="F955" r:id="rId897" xr:uid="{E3E61EF7-42BE-4BE1-BA3F-EEABD8DC45E9}"/>
    <hyperlink ref="F956" r:id="rId898" xr:uid="{C026BF28-559E-4EAD-B973-3512483AA794}"/>
    <hyperlink ref="F957" r:id="rId899" xr:uid="{71649F02-D6DE-440A-9BF3-1489CC182715}"/>
    <hyperlink ref="M943" r:id="rId900" xr:uid="{9DF41DD2-3F75-404B-AF24-938C2EB2FEBF}"/>
    <hyperlink ref="AD943:AD957" r:id="rId901" display="alex.ng@hkstp.org" xr:uid="{2F558F54-CA4A-443D-878F-003857C249FB}"/>
    <hyperlink ref="M947" r:id="rId902" xr:uid="{F3B08153-6B80-450F-AB1F-6858BCCC094D}"/>
    <hyperlink ref="M948" r:id="rId903" xr:uid="{5DCEA3B1-CE7B-496A-BEE8-D82F38D03448}"/>
    <hyperlink ref="M949" r:id="rId904" xr:uid="{08A170F2-F18F-4B98-9161-0034A7554F94}"/>
    <hyperlink ref="M950" r:id="rId905" xr:uid="{0D06E36A-9CB8-4C72-87F4-54ECFEEAD28A}"/>
    <hyperlink ref="M951" r:id="rId906" xr:uid="{5CDB20E2-F26C-42D3-8B81-205157D5D780}"/>
    <hyperlink ref="M952" r:id="rId907" xr:uid="{1ECD16E3-97F4-4DC4-81E3-107FF9072EFF}"/>
    <hyperlink ref="M953" r:id="rId908" xr:uid="{373B03EC-A86F-44DC-BF4A-F18E09CD78BF}"/>
    <hyperlink ref="M954" r:id="rId909" xr:uid="{3CCFE35A-72F6-44AD-9805-8858F864CA09}"/>
    <hyperlink ref="M955" r:id="rId910" xr:uid="{FE7DAFF8-5A56-4F74-8F6A-B9F1BF98E62B}"/>
    <hyperlink ref="M956" r:id="rId911" xr:uid="{B50577B1-1F26-4AD8-A007-1DCB305FB7A5}"/>
    <hyperlink ref="F962" r:id="rId912" xr:uid="{F9721648-2F41-4D0F-B793-689A060111F3}"/>
    <hyperlink ref="M962" r:id="rId913" xr:uid="{84D27FE2-6182-477A-A691-08E1C251187F}"/>
    <hyperlink ref="AD963" r:id="rId914" xr:uid="{6C9D6349-277F-4FDE-BF7B-D4EF47C1D12F}"/>
    <hyperlink ref="AD964" r:id="rId915" xr:uid="{AC0EBBCD-BC3F-41EF-A3C8-02E49958E530}"/>
    <hyperlink ref="F963" r:id="rId916" xr:uid="{341A4974-6E65-4B10-97D2-96B49A4F1A14}"/>
    <hyperlink ref="F964" r:id="rId917" xr:uid="{A5829ECF-5EB9-409B-832A-66F3074CDCDA}"/>
    <hyperlink ref="F965" r:id="rId918" xr:uid="{64AD6F8E-815A-4406-BBBA-7FBEA42AB0C4}"/>
    <hyperlink ref="M965" r:id="rId919" xr:uid="{8E21ED2E-3DF9-4EA6-97AF-F6472E1190B8}"/>
    <hyperlink ref="M966" r:id="rId920" xr:uid="{F586B518-D5DB-480A-A04D-4F0CA353D23C}"/>
    <hyperlink ref="F966" r:id="rId921" xr:uid="{504616D7-169F-41EC-A8E1-375E8C765B57}"/>
    <hyperlink ref="M974" r:id="rId922" xr:uid="{3649BE0E-AF8A-4D43-B4AA-2E137B16CF60}"/>
    <hyperlink ref="M1063" r:id="rId923" xr:uid="{BDF3FEC7-FCF5-406F-89F1-3CBF7D1BB32D}"/>
    <hyperlink ref="M1061" r:id="rId924" xr:uid="{0F905B34-E73C-4CE6-BC1E-60799A1E53C7}"/>
    <hyperlink ref="M1062" r:id="rId925" xr:uid="{C620A1C7-4475-4843-804F-5EE0A7E94BBF}"/>
    <hyperlink ref="M1064" r:id="rId926" xr:uid="{C5401F6E-F5DE-43DF-8160-4DF5204FF19D}"/>
    <hyperlink ref="M1065" r:id="rId927" xr:uid="{7254AF18-D8BD-4FC3-8DDC-4B2CBFAEA98C}"/>
    <hyperlink ref="F967" r:id="rId928" xr:uid="{D50CCBCB-AD52-4A06-B2EE-AE285102CA0C}"/>
    <hyperlink ref="F968" r:id="rId929" xr:uid="{EFAAFC99-CF0F-4FA7-AAED-06D0F985F832}"/>
    <hyperlink ref="F969" r:id="rId930" xr:uid="{4FEC8439-3948-4B7C-8762-68666783817D}"/>
    <hyperlink ref="F970" r:id="rId931" xr:uid="{91B6DF2D-C626-4DCA-8962-73784C602156}"/>
    <hyperlink ref="F971" r:id="rId932" xr:uid="{5CBFE7B0-B96E-4551-A7A1-2C276BF2AB9B}"/>
    <hyperlink ref="F972" r:id="rId933" xr:uid="{28223A96-AD9E-47EB-A730-C6D28428D523}"/>
    <hyperlink ref="F973" r:id="rId934" xr:uid="{7579F0EB-7426-46E5-BC40-39BA85358383}"/>
    <hyperlink ref="F974" r:id="rId935" xr:uid="{6B524789-4783-494E-9851-A0AF619529F8}"/>
    <hyperlink ref="F975" r:id="rId936" xr:uid="{E28EB607-7AA7-4CEC-9327-D81AB7F60567}"/>
    <hyperlink ref="F976" r:id="rId937" xr:uid="{678CC1A2-AFF5-43C1-92F6-9BA77119CDFD}"/>
    <hyperlink ref="F977" r:id="rId938" xr:uid="{D7E8E3F9-90E7-47C5-AB51-E0AFF495B374}"/>
    <hyperlink ref="F978" r:id="rId939" xr:uid="{5E5BB167-4F6C-4C34-BA00-08727A95AEF9}"/>
    <hyperlink ref="F979" r:id="rId940" xr:uid="{6AE77D12-3814-4251-80B9-CCA53F7EFA78}"/>
    <hyperlink ref="F980" r:id="rId941" xr:uid="{B687BF06-E91F-46DB-A4F3-570BC4D5BCF0}"/>
    <hyperlink ref="F981" r:id="rId942" xr:uid="{82081D4D-3734-4609-8B1B-9F652006460F}"/>
    <hyperlink ref="F982" r:id="rId943" xr:uid="{B6F86DEC-8DB7-4803-928D-C3A1A9C79BD4}"/>
    <hyperlink ref="F983" r:id="rId944" xr:uid="{1C8B72E0-7506-4645-B134-EA444B9A3ACE}"/>
    <hyperlink ref="F984" r:id="rId945" xr:uid="{384850CD-39EA-4C26-BF84-73C685BC90E4}"/>
    <hyperlink ref="F985" r:id="rId946" xr:uid="{98FA044D-15BC-4BF9-9AE1-1E66D477B6FC}"/>
    <hyperlink ref="F986" r:id="rId947" xr:uid="{58022562-2046-4902-B639-73FB1CF40CD0}"/>
    <hyperlink ref="F987" r:id="rId948" xr:uid="{EF10168D-D5FE-43BD-B3FE-B315973D5261}"/>
    <hyperlink ref="F988" r:id="rId949" xr:uid="{F87B0108-EF0F-4BBC-9465-9BD727F20694}"/>
    <hyperlink ref="F989" r:id="rId950" xr:uid="{5F1F66A0-75A3-4992-890A-7E9D65C6CA15}"/>
    <hyperlink ref="F990" r:id="rId951" xr:uid="{9F58D6AF-81F6-4844-9622-E3FEB4789D3D}"/>
    <hyperlink ref="F991" r:id="rId952" xr:uid="{3CA73C13-2603-4791-950C-D15E1C6E6BF0}"/>
    <hyperlink ref="F992" r:id="rId953" xr:uid="{313FE718-8999-4942-9C85-E303C1C453D4}"/>
    <hyperlink ref="F993" r:id="rId954" xr:uid="{DD402583-18BE-4623-A3E0-9AA93569C7E6}"/>
    <hyperlink ref="F994" r:id="rId955" xr:uid="{845862E1-8F49-4DE7-AC68-77BB70402621}"/>
    <hyperlink ref="F995" r:id="rId956" xr:uid="{E2422CFF-DEB5-41BC-BA7D-7E1002E8CA86}"/>
    <hyperlink ref="F996" r:id="rId957" xr:uid="{C02DD6C0-6316-47A2-8069-854C735A28A9}"/>
    <hyperlink ref="F997" r:id="rId958" xr:uid="{84E33793-F97C-40AA-AB06-18408F54C6B6}"/>
    <hyperlink ref="F998" r:id="rId959" xr:uid="{1E200A14-3915-46DD-AA9F-9EF3BFEBDC58}"/>
    <hyperlink ref="F999" r:id="rId960" xr:uid="{2B295092-AFD9-40C3-9D16-F9CA068F0437}"/>
    <hyperlink ref="F1000" r:id="rId961" xr:uid="{355CE673-231A-4BC1-8CC2-61D1701E8514}"/>
    <hyperlink ref="F1001" r:id="rId962" xr:uid="{3E93358B-4589-4BDA-8265-BDA89977DA25}"/>
    <hyperlink ref="F1002" r:id="rId963" xr:uid="{E0B0317F-25A3-4327-BC9C-62DD251FF205}"/>
    <hyperlink ref="F1003" r:id="rId964" xr:uid="{F4377621-AD78-42D4-AB40-C14AF9D23D4D}"/>
    <hyperlink ref="F1004" r:id="rId965" xr:uid="{6E86A23C-286F-4C10-8D42-12102C488C5C}"/>
    <hyperlink ref="F1005" r:id="rId966" xr:uid="{E8CC419C-0DD7-4562-A187-C107F31728B3}"/>
    <hyperlink ref="F1006" r:id="rId967" xr:uid="{E0C45A8A-97AD-48EA-A942-B519F270CA90}"/>
    <hyperlink ref="F1007" r:id="rId968" xr:uid="{864054DC-6C9D-4A76-9801-A9D9B3DFA95A}"/>
    <hyperlink ref="F1008" r:id="rId969" xr:uid="{6CBCBEA9-42EC-45E9-9040-7702DD9DFE22}"/>
    <hyperlink ref="F1009" r:id="rId970" xr:uid="{AF6AB7A7-FE42-40A1-85C2-015BF2A252A9}"/>
    <hyperlink ref="F1010" r:id="rId971" xr:uid="{0BC22928-1C05-484B-947E-90A588166157}"/>
    <hyperlink ref="F1011" r:id="rId972" xr:uid="{031EB878-19C6-44B7-8FAF-93BCB7ADAC10}"/>
    <hyperlink ref="F1012" r:id="rId973" xr:uid="{6D9F9147-1F89-4084-A028-ACFAC9346DE9}"/>
    <hyperlink ref="F1013" r:id="rId974" xr:uid="{9FBC5749-3DCC-4999-9AEE-259C7952B2DB}"/>
    <hyperlink ref="F1014" r:id="rId975" xr:uid="{C3979911-244C-4ED6-A763-E69FFD6EA8CA}"/>
    <hyperlink ref="F1015" r:id="rId976" xr:uid="{6D24EA68-D10E-4C81-86C7-35FEDB3ED8AC}"/>
    <hyperlink ref="F1016" r:id="rId977" xr:uid="{8BE8CFD3-FB7F-4D5F-8898-45C0BF5B280A}"/>
    <hyperlink ref="F1017" r:id="rId978" xr:uid="{225A896B-002F-4D9D-8BE1-E1AC88D7F64B}"/>
    <hyperlink ref="F1018" r:id="rId979" xr:uid="{10867AC1-0282-4B9E-BDBC-078B9BAEA216}"/>
    <hyperlink ref="F1019" r:id="rId980" xr:uid="{6C402FA1-DDC7-436C-BC80-E96D419AB9D8}"/>
    <hyperlink ref="F1020" r:id="rId981" xr:uid="{B912AF10-4AD6-44B0-98EB-B96B532DB853}"/>
    <hyperlink ref="F1021" r:id="rId982" xr:uid="{D8665420-764B-40DC-B825-6F61F3562636}"/>
    <hyperlink ref="F1022" r:id="rId983" xr:uid="{4B3AE40D-F287-4AAD-B9D8-60A6509D6DFF}"/>
    <hyperlink ref="F1023" r:id="rId984" xr:uid="{BB325C46-28C6-4647-865D-C6E20CA35AAC}"/>
    <hyperlink ref="F1024" r:id="rId985" xr:uid="{979259E1-B327-4985-B4B2-49C4C226EF86}"/>
    <hyperlink ref="F1025" r:id="rId986" xr:uid="{7695CE98-FB9B-4B74-B93C-9648171A2B1E}"/>
    <hyperlink ref="F1026" r:id="rId987" xr:uid="{52EAFA53-3D8A-447A-B620-9A6FC7DF4F26}"/>
    <hyperlink ref="F1027" r:id="rId988" xr:uid="{23D27E0A-EE51-485B-A947-818ABA923015}"/>
    <hyperlink ref="F1028" r:id="rId989" xr:uid="{5A41CE23-5BFE-402E-87F2-4E830D205B9D}"/>
    <hyperlink ref="F1029" r:id="rId990" xr:uid="{7DB4F0C1-EBD0-4A48-9D73-6F03F361889C}"/>
    <hyperlink ref="F1030" r:id="rId991" xr:uid="{1124AC9D-79BC-4CEC-8C7D-468AA8E457AF}"/>
    <hyperlink ref="F1031" r:id="rId992" xr:uid="{75BC1CD7-5DC5-4C75-B4E6-1439FC2424F5}"/>
    <hyperlink ref="F1032" r:id="rId993" xr:uid="{6294F806-091A-49C9-A805-4FE7B57F3025}"/>
    <hyperlink ref="F1033" r:id="rId994" xr:uid="{EB9BE259-5ABE-4FD2-B558-DF6285619AAA}"/>
    <hyperlink ref="F1034" r:id="rId995" xr:uid="{3E28D7F0-8A5F-4B4E-B3CF-E278ACD97E04}"/>
    <hyperlink ref="F1035" r:id="rId996" xr:uid="{ED071DE1-760F-4E83-BB68-59DF7C5C797B}"/>
    <hyperlink ref="F1036" r:id="rId997" xr:uid="{EFFFE897-8895-4C6D-B526-3ABA49502DA5}"/>
    <hyperlink ref="F1037" r:id="rId998" xr:uid="{29FF8062-A574-4BBE-AC63-A70F1DB45166}"/>
    <hyperlink ref="F1038" r:id="rId999" xr:uid="{4AF5F538-D948-4322-A06F-E6C9ED5D523E}"/>
    <hyperlink ref="F1039" r:id="rId1000" xr:uid="{7EB9BB37-0F88-4F1B-9C4A-2C70C86B02D6}"/>
    <hyperlink ref="F1040" r:id="rId1001" xr:uid="{1FD78619-70FC-414B-8A13-198F35B5C897}"/>
    <hyperlink ref="F1041" r:id="rId1002" xr:uid="{C7380CA3-605B-4389-96EF-20BEEB20CFE0}"/>
    <hyperlink ref="F1042" r:id="rId1003" xr:uid="{8D97CF6C-634E-4889-9FBF-5394636389F6}"/>
    <hyperlink ref="F1043" r:id="rId1004" xr:uid="{F8E9758D-259D-4C75-9023-2A33144ACDF3}"/>
    <hyperlink ref="F1044" r:id="rId1005" xr:uid="{DB2FCE38-C2AE-4773-A765-AAC4549310C3}"/>
    <hyperlink ref="F1045" r:id="rId1006" xr:uid="{85DE65D0-28DC-4C6B-BE51-84A0C1737E43}"/>
    <hyperlink ref="F1046" r:id="rId1007" xr:uid="{C2BA3A29-192B-4C7B-A634-7B0ECB7FB54B}"/>
    <hyperlink ref="F1047" r:id="rId1008" xr:uid="{16197C79-5FFC-4B1C-ACF4-E94EC34EB584}"/>
    <hyperlink ref="F1048" r:id="rId1009" xr:uid="{74253088-A436-453C-AB83-B1AC4A4A2C3D}"/>
    <hyperlink ref="F1049" r:id="rId1010" xr:uid="{D9D7B0F5-6D79-4154-9614-61CB1BBAE8E7}"/>
    <hyperlink ref="F1050" r:id="rId1011" xr:uid="{15150CFA-1AE1-4521-A39A-E915C1242D83}"/>
    <hyperlink ref="F1051" r:id="rId1012" xr:uid="{BBF3F591-8EED-4053-B383-19D8956F2D0B}"/>
    <hyperlink ref="F1052" r:id="rId1013" xr:uid="{C91667FD-C2A9-4A1E-9937-682A375DBC16}"/>
    <hyperlink ref="F1053" r:id="rId1014" xr:uid="{868693B2-D51E-4B58-B9A1-EE0AF8972377}"/>
    <hyperlink ref="F1054" r:id="rId1015" xr:uid="{21CE3EA3-F0A3-4E05-BF5C-6D717A050307}"/>
    <hyperlink ref="F1055" r:id="rId1016" xr:uid="{55231EF4-F0D6-4291-BB32-ABAC728DB566}"/>
    <hyperlink ref="F1056" r:id="rId1017" xr:uid="{9E8C1E49-8480-45F8-B56E-48DEB0B783F5}"/>
    <hyperlink ref="F1057" r:id="rId1018" xr:uid="{D9657D1C-AFFA-46F8-9EC4-8FD00C9A5615}"/>
    <hyperlink ref="F1058" r:id="rId1019" xr:uid="{59D10DE8-7FC2-4AA0-ADE3-8E2934BAFA83}"/>
    <hyperlink ref="F1059" r:id="rId1020" xr:uid="{AA40E1E3-0315-41D9-91F7-A7FA4D77E208}"/>
    <hyperlink ref="F1060" r:id="rId1021" xr:uid="{A3C9618B-92AB-48F4-8D5B-7944876F87E1}"/>
    <hyperlink ref="F1061" r:id="rId1022" xr:uid="{82B43205-2C2E-4590-AE77-D52591BFF1B4}"/>
    <hyperlink ref="F1062" r:id="rId1023" xr:uid="{72135A18-51AA-47BA-A2B3-58B30A021352}"/>
    <hyperlink ref="F1063" r:id="rId1024" xr:uid="{F072AE88-97FA-40F3-8355-9DA7868600BB}"/>
    <hyperlink ref="F1064" r:id="rId1025" xr:uid="{44552BC4-53E5-43FA-94FF-441B4FB0CDF7}"/>
    <hyperlink ref="F1065" r:id="rId1026" xr:uid="{165BE7B2-E337-41B7-ACFC-EE1A2080EAB7}"/>
  </hyperlinks>
  <pageMargins left="0.7" right="0.7" top="0.75" bottom="0.75" header="0.3" footer="0.3"/>
  <pageSetup orientation="portrait" r:id="rId1027"/>
  <tableParts count="1">
    <tablePart r:id="rId102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7006-D815-46A1-AFD4-1C91985DC4F1}">
  <dimension ref="A1:B209"/>
  <sheetViews>
    <sheetView workbookViewId="0">
      <selection activeCell="B6" sqref="B6"/>
    </sheetView>
  </sheetViews>
  <sheetFormatPr defaultRowHeight="14.5"/>
  <cols>
    <col min="1" max="1" width="50.26953125" customWidth="1"/>
    <col min="2" max="2" width="102.453125" bestFit="1" customWidth="1"/>
  </cols>
  <sheetData>
    <row r="1" spans="1:2" ht="17.5">
      <c r="A1" s="1" t="s">
        <v>0</v>
      </c>
      <c r="B1" s="2" t="s">
        <v>1</v>
      </c>
    </row>
    <row r="2" spans="1:2">
      <c r="A2" s="3" t="s">
        <v>2</v>
      </c>
      <c r="B2" t="s">
        <v>2</v>
      </c>
    </row>
    <row r="3" spans="1:2">
      <c r="A3" s="4" t="s">
        <v>3</v>
      </c>
      <c r="B3" t="s">
        <v>4</v>
      </c>
    </row>
    <row r="4" spans="1:2">
      <c r="A4" s="5" t="s">
        <v>5</v>
      </c>
      <c r="B4" t="s">
        <v>6</v>
      </c>
    </row>
    <row r="5" spans="1:2">
      <c r="A5" s="3" t="s">
        <v>7</v>
      </c>
      <c r="B5" t="s">
        <v>7</v>
      </c>
    </row>
    <row r="6" spans="1:2">
      <c r="A6" s="4" t="s">
        <v>8</v>
      </c>
      <c r="B6" t="s">
        <v>9</v>
      </c>
    </row>
    <row r="7" spans="1:2">
      <c r="A7" s="6" t="s">
        <v>10</v>
      </c>
      <c r="B7" t="s">
        <v>10</v>
      </c>
    </row>
    <row r="8" spans="1:2">
      <c r="A8" s="5" t="s">
        <v>11</v>
      </c>
      <c r="B8" t="s">
        <v>12</v>
      </c>
    </row>
    <row r="9" spans="1:2">
      <c r="A9" s="5" t="s">
        <v>13</v>
      </c>
      <c r="B9" t="s">
        <v>14</v>
      </c>
    </row>
    <row r="10" spans="1:2">
      <c r="A10" s="4" t="s">
        <v>15</v>
      </c>
      <c r="B10" t="s">
        <v>16</v>
      </c>
    </row>
    <row r="11" spans="1:2">
      <c r="A11" s="5" t="s">
        <v>17</v>
      </c>
      <c r="B11" t="s">
        <v>18</v>
      </c>
    </row>
    <row r="12" spans="1:2" ht="29">
      <c r="A12" s="7" t="s">
        <v>19</v>
      </c>
      <c r="B12" t="s">
        <v>20</v>
      </c>
    </row>
    <row r="13" spans="1:2">
      <c r="A13" s="8" t="s">
        <v>21</v>
      </c>
      <c r="B13" t="s">
        <v>21</v>
      </c>
    </row>
    <row r="14" spans="1:2">
      <c r="A14" s="8" t="s">
        <v>22</v>
      </c>
      <c r="B14" t="s">
        <v>22</v>
      </c>
    </row>
    <row r="15" spans="1:2">
      <c r="A15" s="3" t="s">
        <v>23</v>
      </c>
      <c r="B15" t="s">
        <v>23</v>
      </c>
    </row>
    <row r="16" spans="1:2">
      <c r="A16" s="5" t="s">
        <v>24</v>
      </c>
      <c r="B16" t="s">
        <v>24</v>
      </c>
    </row>
    <row r="17" spans="1:2">
      <c r="A17" s="3" t="s">
        <v>25</v>
      </c>
      <c r="B17" t="s">
        <v>25</v>
      </c>
    </row>
    <row r="18" spans="1:2">
      <c r="A18" s="4" t="s">
        <v>26</v>
      </c>
      <c r="B18" t="s">
        <v>27</v>
      </c>
    </row>
    <row r="19" spans="1:2">
      <c r="A19" s="4" t="s">
        <v>28</v>
      </c>
      <c r="B19" t="s">
        <v>29</v>
      </c>
    </row>
    <row r="20" spans="1:2">
      <c r="A20" s="4" t="s">
        <v>30</v>
      </c>
      <c r="B20" t="s">
        <v>31</v>
      </c>
    </row>
    <row r="21" spans="1:2">
      <c r="A21" s="5" t="s">
        <v>32</v>
      </c>
      <c r="B21" t="s">
        <v>32</v>
      </c>
    </row>
    <row r="22" spans="1:2">
      <c r="A22" s="3" t="s">
        <v>33</v>
      </c>
      <c r="B22" t="s">
        <v>33</v>
      </c>
    </row>
    <row r="23" spans="1:2">
      <c r="A23" s="4" t="s">
        <v>34</v>
      </c>
      <c r="B23" t="s">
        <v>35</v>
      </c>
    </row>
    <row r="24" spans="1:2" ht="29">
      <c r="A24" s="7" t="s">
        <v>36</v>
      </c>
      <c r="B24" t="s">
        <v>37</v>
      </c>
    </row>
    <row r="25" spans="1:2" ht="29">
      <c r="A25" s="7" t="s">
        <v>38</v>
      </c>
      <c r="B25" t="s">
        <v>37</v>
      </c>
    </row>
    <row r="26" spans="1:2">
      <c r="A26" s="5" t="s">
        <v>39</v>
      </c>
      <c r="B26" t="s">
        <v>40</v>
      </c>
    </row>
    <row r="27" spans="1:2">
      <c r="A27" s="5" t="s">
        <v>41</v>
      </c>
      <c r="B27" t="s">
        <v>42</v>
      </c>
    </row>
    <row r="28" spans="1:2">
      <c r="A28" s="5" t="s">
        <v>43</v>
      </c>
      <c r="B28" t="s">
        <v>44</v>
      </c>
    </row>
    <row r="29" spans="1:2" ht="15">
      <c r="A29" s="5" t="s">
        <v>45</v>
      </c>
      <c r="B29" t="s">
        <v>44</v>
      </c>
    </row>
    <row r="30" spans="1:2">
      <c r="A30" s="5" t="s">
        <v>46</v>
      </c>
      <c r="B30" t="s">
        <v>47</v>
      </c>
    </row>
    <row r="31" spans="1:2">
      <c r="A31" s="8" t="s">
        <v>48</v>
      </c>
      <c r="B31" t="s">
        <v>48</v>
      </c>
    </row>
    <row r="32" spans="1:2">
      <c r="A32" s="3" t="s">
        <v>49</v>
      </c>
      <c r="B32" t="s">
        <v>49</v>
      </c>
    </row>
    <row r="33" spans="1:2">
      <c r="A33" s="3" t="s">
        <v>50</v>
      </c>
      <c r="B33" t="s">
        <v>50</v>
      </c>
    </row>
    <row r="34" spans="1:2">
      <c r="A34" s="3" t="s">
        <v>51</v>
      </c>
      <c r="B34" t="s">
        <v>51</v>
      </c>
    </row>
    <row r="35" spans="1:2">
      <c r="A35" s="5" t="s">
        <v>52</v>
      </c>
      <c r="B35" t="s">
        <v>52</v>
      </c>
    </row>
    <row r="36" spans="1:2" ht="43.5">
      <c r="A36" s="9" t="s">
        <v>53</v>
      </c>
      <c r="B36" t="s">
        <v>16</v>
      </c>
    </row>
    <row r="37" spans="1:2">
      <c r="A37" s="5" t="s">
        <v>54</v>
      </c>
      <c r="B37" t="s">
        <v>55</v>
      </c>
    </row>
    <row r="38" spans="1:2">
      <c r="A38" s="5" t="s">
        <v>56</v>
      </c>
      <c r="B38" t="s">
        <v>57</v>
      </c>
    </row>
    <row r="39" spans="1:2">
      <c r="A39" s="5" t="s">
        <v>58</v>
      </c>
      <c r="B39" t="s">
        <v>59</v>
      </c>
    </row>
    <row r="40" spans="1:2" ht="29">
      <c r="A40" s="9" t="s">
        <v>60</v>
      </c>
      <c r="B40" s="10" t="s">
        <v>60</v>
      </c>
    </row>
    <row r="41" spans="1:2">
      <c r="A41" s="5" t="s">
        <v>61</v>
      </c>
      <c r="B41" t="s">
        <v>62</v>
      </c>
    </row>
    <row r="42" spans="1:2">
      <c r="A42" s="4" t="s">
        <v>63</v>
      </c>
      <c r="B42" t="s">
        <v>64</v>
      </c>
    </row>
    <row r="43" spans="1:2">
      <c r="A43" s="5" t="s">
        <v>65</v>
      </c>
      <c r="B43" t="s">
        <v>66</v>
      </c>
    </row>
    <row r="44" spans="1:2">
      <c r="A44" s="4" t="s">
        <v>67</v>
      </c>
      <c r="B44" t="s">
        <v>68</v>
      </c>
    </row>
    <row r="45" spans="1:2">
      <c r="A45" s="4" t="s">
        <v>69</v>
      </c>
      <c r="B45" t="s">
        <v>70</v>
      </c>
    </row>
    <row r="46" spans="1:2">
      <c r="A46" s="5" t="s">
        <v>71</v>
      </c>
      <c r="B46" t="s">
        <v>72</v>
      </c>
    </row>
    <row r="47" spans="1:2">
      <c r="A47" s="5" t="s">
        <v>73</v>
      </c>
      <c r="B47" t="s">
        <v>40</v>
      </c>
    </row>
    <row r="48" spans="1:2">
      <c r="A48" s="5" t="s">
        <v>74</v>
      </c>
      <c r="B48" t="s">
        <v>75</v>
      </c>
    </row>
    <row r="49" spans="1:2">
      <c r="A49" s="5" t="s">
        <v>76</v>
      </c>
      <c r="B49" t="s">
        <v>77</v>
      </c>
    </row>
    <row r="50" spans="1:2">
      <c r="A50" s="5" t="s">
        <v>78</v>
      </c>
      <c r="B50" t="s">
        <v>79</v>
      </c>
    </row>
    <row r="51" spans="1:2">
      <c r="A51" s="5" t="s">
        <v>80</v>
      </c>
      <c r="B51" t="s">
        <v>81</v>
      </c>
    </row>
    <row r="52" spans="1:2">
      <c r="A52" s="6" t="s">
        <v>82</v>
      </c>
      <c r="B52" t="s">
        <v>82</v>
      </c>
    </row>
    <row r="53" spans="1:2">
      <c r="A53" s="5" t="s">
        <v>83</v>
      </c>
      <c r="B53" t="s">
        <v>84</v>
      </c>
    </row>
    <row r="54" spans="1:2">
      <c r="A54" s="4" t="s">
        <v>85</v>
      </c>
      <c r="B54" t="s">
        <v>85</v>
      </c>
    </row>
    <row r="55" spans="1:2">
      <c r="A55" s="3" t="s">
        <v>86</v>
      </c>
      <c r="B55" t="s">
        <v>87</v>
      </c>
    </row>
    <row r="56" spans="1:2">
      <c r="A56" s="3" t="s">
        <v>88</v>
      </c>
      <c r="B56" t="s">
        <v>89</v>
      </c>
    </row>
    <row r="57" spans="1:2">
      <c r="A57" s="3" t="s">
        <v>90</v>
      </c>
      <c r="B57" t="s">
        <v>91</v>
      </c>
    </row>
    <row r="58" spans="1:2">
      <c r="A58" s="3" t="s">
        <v>92</v>
      </c>
      <c r="B58" t="s">
        <v>93</v>
      </c>
    </row>
    <row r="59" spans="1:2" ht="29">
      <c r="A59" s="11" t="s">
        <v>94</v>
      </c>
      <c r="B59" t="s">
        <v>95</v>
      </c>
    </row>
    <row r="60" spans="1:2" ht="29">
      <c r="A60" s="11" t="s">
        <v>96</v>
      </c>
      <c r="B60" t="s">
        <v>97</v>
      </c>
    </row>
    <row r="61" spans="1:2">
      <c r="A61" s="8" t="s">
        <v>98</v>
      </c>
      <c r="B61" t="s">
        <v>99</v>
      </c>
    </row>
    <row r="62" spans="1:2" ht="15">
      <c r="A62" s="12" t="s">
        <v>100</v>
      </c>
      <c r="B62" t="s">
        <v>101</v>
      </c>
    </row>
    <row r="63" spans="1:2">
      <c r="A63" s="8" t="s">
        <v>102</v>
      </c>
      <c r="B63" t="s">
        <v>102</v>
      </c>
    </row>
    <row r="64" spans="1:2">
      <c r="A64" s="3" t="s">
        <v>103</v>
      </c>
      <c r="B64" t="s">
        <v>104</v>
      </c>
    </row>
    <row r="65" spans="1:2" ht="15">
      <c r="A65" s="13" t="s">
        <v>105</v>
      </c>
      <c r="B65" t="s">
        <v>106</v>
      </c>
    </row>
    <row r="66" spans="1:2">
      <c r="A66" s="3" t="s">
        <v>107</v>
      </c>
      <c r="B66" t="s">
        <v>108</v>
      </c>
    </row>
    <row r="67" spans="1:2">
      <c r="A67" s="14" t="s">
        <v>109</v>
      </c>
      <c r="B67" t="s">
        <v>109</v>
      </c>
    </row>
    <row r="68" spans="1:2">
      <c r="A68" s="3" t="s">
        <v>110</v>
      </c>
      <c r="B68" t="s">
        <v>111</v>
      </c>
    </row>
    <row r="69" spans="1:2" ht="29">
      <c r="A69" s="15" t="s">
        <v>112</v>
      </c>
      <c r="B69" t="s">
        <v>113</v>
      </c>
    </row>
    <row r="70" spans="1:2">
      <c r="A70" s="3" t="s">
        <v>114</v>
      </c>
      <c r="B70" t="s">
        <v>115</v>
      </c>
    </row>
    <row r="71" spans="1:2">
      <c r="A71" s="3" t="s">
        <v>116</v>
      </c>
      <c r="B71" t="s">
        <v>117</v>
      </c>
    </row>
    <row r="72" spans="1:2" ht="29">
      <c r="A72" s="15" t="s">
        <v>118</v>
      </c>
      <c r="B72" t="s">
        <v>44</v>
      </c>
    </row>
    <row r="73" spans="1:2">
      <c r="A73" s="8" t="s">
        <v>119</v>
      </c>
      <c r="B73" t="s">
        <v>119</v>
      </c>
    </row>
    <row r="74" spans="1:2">
      <c r="A74" s="8" t="s">
        <v>120</v>
      </c>
      <c r="B74" t="s">
        <v>120</v>
      </c>
    </row>
    <row r="75" spans="1:2" ht="59">
      <c r="A75" s="15" t="s">
        <v>121</v>
      </c>
      <c r="B75" t="s">
        <v>122</v>
      </c>
    </row>
    <row r="76" spans="1:2" ht="29">
      <c r="A76" s="11" t="s">
        <v>123</v>
      </c>
      <c r="B76" s="10" t="s">
        <v>124</v>
      </c>
    </row>
    <row r="77" spans="1:2">
      <c r="A77" s="3" t="s">
        <v>125</v>
      </c>
      <c r="B77" t="s">
        <v>126</v>
      </c>
    </row>
    <row r="78" spans="1:2">
      <c r="A78" s="3" t="s">
        <v>127</v>
      </c>
      <c r="B78" t="s">
        <v>128</v>
      </c>
    </row>
    <row r="79" spans="1:2">
      <c r="A79" s="3" t="s">
        <v>129</v>
      </c>
      <c r="B79" t="s">
        <v>129</v>
      </c>
    </row>
    <row r="80" spans="1:2">
      <c r="A80" s="3" t="s">
        <v>130</v>
      </c>
      <c r="B80" t="s">
        <v>131</v>
      </c>
    </row>
    <row r="81" spans="1:2">
      <c r="A81" s="3" t="s">
        <v>132</v>
      </c>
      <c r="B81" t="s">
        <v>132</v>
      </c>
    </row>
    <row r="82" spans="1:2">
      <c r="A82" s="8" t="s">
        <v>133</v>
      </c>
      <c r="B82" t="s">
        <v>133</v>
      </c>
    </row>
    <row r="83" spans="1:2">
      <c r="A83" s="8" t="s">
        <v>134</v>
      </c>
      <c r="B83" t="s">
        <v>134</v>
      </c>
    </row>
    <row r="84" spans="1:2">
      <c r="A84" s="3" t="s">
        <v>135</v>
      </c>
      <c r="B84" t="s">
        <v>136</v>
      </c>
    </row>
    <row r="85" spans="1:2" ht="43.5">
      <c r="A85" s="11" t="s">
        <v>137</v>
      </c>
      <c r="B85" t="s">
        <v>138</v>
      </c>
    </row>
    <row r="86" spans="1:2">
      <c r="A86" s="8" t="s">
        <v>139</v>
      </c>
      <c r="B86" t="s">
        <v>140</v>
      </c>
    </row>
    <row r="87" spans="1:2">
      <c r="A87" s="8" t="s">
        <v>111</v>
      </c>
      <c r="B87" t="s">
        <v>111</v>
      </c>
    </row>
    <row r="88" spans="1:2" ht="29">
      <c r="A88" s="16" t="s">
        <v>141</v>
      </c>
      <c r="B88" s="10" t="s">
        <v>142</v>
      </c>
    </row>
    <row r="89" spans="1:2" ht="43.5">
      <c r="A89" s="7" t="s">
        <v>143</v>
      </c>
      <c r="B89" t="s">
        <v>144</v>
      </c>
    </row>
    <row r="90" spans="1:2">
      <c r="A90" s="8" t="s">
        <v>145</v>
      </c>
      <c r="B90" t="s">
        <v>145</v>
      </c>
    </row>
    <row r="91" spans="1:2">
      <c r="A91" s="3" t="s">
        <v>146</v>
      </c>
      <c r="B91" t="s">
        <v>147</v>
      </c>
    </row>
    <row r="92" spans="1:2">
      <c r="A92" s="8" t="s">
        <v>148</v>
      </c>
      <c r="B92" t="s">
        <v>149</v>
      </c>
    </row>
    <row r="93" spans="1:2">
      <c r="A93" s="3" t="s">
        <v>150</v>
      </c>
      <c r="B93" t="s">
        <v>151</v>
      </c>
    </row>
    <row r="94" spans="1:2" ht="29">
      <c r="A94" s="15" t="s">
        <v>152</v>
      </c>
      <c r="B94" t="s">
        <v>44</v>
      </c>
    </row>
    <row r="95" spans="1:2">
      <c r="A95" t="s">
        <v>153</v>
      </c>
      <c r="B95" t="s">
        <v>154</v>
      </c>
    </row>
    <row r="96" spans="1:2">
      <c r="A96" s="3" t="s">
        <v>155</v>
      </c>
      <c r="B96" t="s">
        <v>155</v>
      </c>
    </row>
    <row r="97" spans="1:2" ht="29">
      <c r="A97" s="7" t="s">
        <v>156</v>
      </c>
      <c r="B97" s="10" t="s">
        <v>156</v>
      </c>
    </row>
    <row r="98" spans="1:2">
      <c r="A98" s="8" t="s">
        <v>157</v>
      </c>
      <c r="B98" t="s">
        <v>158</v>
      </c>
    </row>
    <row r="99" spans="1:2" ht="29">
      <c r="A99" s="17" t="s">
        <v>159</v>
      </c>
      <c r="B99" s="10" t="s">
        <v>159</v>
      </c>
    </row>
    <row r="100" spans="1:2" ht="15">
      <c r="A100" s="13" t="s">
        <v>160</v>
      </c>
      <c r="B100" t="s">
        <v>161</v>
      </c>
    </row>
    <row r="101" spans="1:2" ht="43.5">
      <c r="A101" s="9" t="s">
        <v>162</v>
      </c>
      <c r="B101" s="10" t="s">
        <v>163</v>
      </c>
    </row>
    <row r="102" spans="1:2" ht="29">
      <c r="A102" s="15" t="s">
        <v>164</v>
      </c>
      <c r="B102" t="s">
        <v>44</v>
      </c>
    </row>
    <row r="103" spans="1:2">
      <c r="A103" s="3" t="s">
        <v>165</v>
      </c>
      <c r="B103" t="s">
        <v>165</v>
      </c>
    </row>
    <row r="104" spans="1:2">
      <c r="A104" s="3" t="s">
        <v>166</v>
      </c>
      <c r="B104" t="s">
        <v>166</v>
      </c>
    </row>
    <row r="105" spans="1:2">
      <c r="A105" s="3" t="s">
        <v>167</v>
      </c>
      <c r="B105" t="s">
        <v>168</v>
      </c>
    </row>
    <row r="106" spans="1:2" ht="29">
      <c r="A106" s="11" t="s">
        <v>169</v>
      </c>
      <c r="B106" s="10" t="s">
        <v>170</v>
      </c>
    </row>
    <row r="107" spans="1:2">
      <c r="A107" s="4" t="s">
        <v>171</v>
      </c>
      <c r="B107" t="s">
        <v>171</v>
      </c>
    </row>
    <row r="108" spans="1:2">
      <c r="A108" s="8" t="s">
        <v>172</v>
      </c>
      <c r="B108" t="s">
        <v>173</v>
      </c>
    </row>
    <row r="109" spans="1:2">
      <c r="A109" s="8" t="s">
        <v>174</v>
      </c>
      <c r="B109" t="s">
        <v>174</v>
      </c>
    </row>
    <row r="110" spans="1:2">
      <c r="A110" s="8" t="s">
        <v>175</v>
      </c>
      <c r="B110" t="s">
        <v>176</v>
      </c>
    </row>
    <row r="111" spans="1:2">
      <c r="A111" s="8" t="s">
        <v>177</v>
      </c>
      <c r="B111" t="s">
        <v>177</v>
      </c>
    </row>
    <row r="112" spans="1:2">
      <c r="A112" s="8" t="s">
        <v>178</v>
      </c>
      <c r="B112" t="s">
        <v>179</v>
      </c>
    </row>
    <row r="113" spans="1:2">
      <c r="A113" s="3" t="s">
        <v>180</v>
      </c>
      <c r="B113" t="s">
        <v>181</v>
      </c>
    </row>
    <row r="114" spans="1:2" ht="15">
      <c r="A114" s="13" t="s">
        <v>182</v>
      </c>
      <c r="B114" t="s">
        <v>183</v>
      </c>
    </row>
    <row r="115" spans="1:2" ht="15">
      <c r="A115" s="13" t="s">
        <v>184</v>
      </c>
      <c r="B115" t="s">
        <v>184</v>
      </c>
    </row>
    <row r="116" spans="1:2">
      <c r="A116" s="3" t="s">
        <v>185</v>
      </c>
      <c r="B116" t="s">
        <v>185</v>
      </c>
    </row>
    <row r="117" spans="1:2" ht="29">
      <c r="A117" s="15" t="s">
        <v>186</v>
      </c>
      <c r="B117" t="s">
        <v>44</v>
      </c>
    </row>
    <row r="118" spans="1:2" ht="15">
      <c r="A118" s="13" t="s">
        <v>187</v>
      </c>
      <c r="B118" t="s">
        <v>188</v>
      </c>
    </row>
    <row r="119" spans="1:2">
      <c r="A119" s="8" t="s">
        <v>189</v>
      </c>
      <c r="B119" t="s">
        <v>189</v>
      </c>
    </row>
    <row r="120" spans="1:2">
      <c r="A120" s="3" t="s">
        <v>190</v>
      </c>
      <c r="B120" t="s">
        <v>191</v>
      </c>
    </row>
    <row r="121" spans="1:2" ht="29">
      <c r="A121" s="18" t="s">
        <v>192</v>
      </c>
      <c r="B121" t="s">
        <v>44</v>
      </c>
    </row>
    <row r="122" spans="1:2">
      <c r="A122" s="3" t="s">
        <v>193</v>
      </c>
      <c r="B122" t="s">
        <v>194</v>
      </c>
    </row>
    <row r="123" spans="1:2" ht="29">
      <c r="A123" s="15" t="s">
        <v>195</v>
      </c>
      <c r="B123" t="s">
        <v>44</v>
      </c>
    </row>
    <row r="124" spans="1:2">
      <c r="A124" s="8" t="s">
        <v>196</v>
      </c>
      <c r="B124" t="s">
        <v>196</v>
      </c>
    </row>
    <row r="125" spans="1:2">
      <c r="A125" s="4" t="s">
        <v>197</v>
      </c>
      <c r="B125" t="s">
        <v>20</v>
      </c>
    </row>
    <row r="126" spans="1:2">
      <c r="A126" s="19" t="s">
        <v>198</v>
      </c>
      <c r="B126" t="s">
        <v>51</v>
      </c>
    </row>
    <row r="127" spans="1:2">
      <c r="A127" s="4" t="s">
        <v>199</v>
      </c>
      <c r="B127" t="s">
        <v>199</v>
      </c>
    </row>
    <row r="128" spans="1:2">
      <c r="A128" s="8" t="s">
        <v>200</v>
      </c>
      <c r="B128" t="s">
        <v>201</v>
      </c>
    </row>
    <row r="129" spans="1:2">
      <c r="A129" s="3" t="s">
        <v>202</v>
      </c>
      <c r="B129" t="s">
        <v>44</v>
      </c>
    </row>
    <row r="130" spans="1:2">
      <c r="A130" s="8" t="s">
        <v>181</v>
      </c>
      <c r="B130" t="s">
        <v>181</v>
      </c>
    </row>
    <row r="131" spans="1:2">
      <c r="A131" s="3" t="s">
        <v>203</v>
      </c>
      <c r="B131" t="s">
        <v>44</v>
      </c>
    </row>
    <row r="132" spans="1:2" ht="29">
      <c r="A132" s="20" t="s">
        <v>204</v>
      </c>
      <c r="B132" t="s">
        <v>37</v>
      </c>
    </row>
    <row r="133" spans="1:2">
      <c r="A133" s="3" t="s">
        <v>205</v>
      </c>
      <c r="B133" t="s">
        <v>115</v>
      </c>
    </row>
    <row r="134" spans="1:2">
      <c r="A134" t="s">
        <v>206</v>
      </c>
      <c r="B134" t="s">
        <v>207</v>
      </c>
    </row>
    <row r="135" spans="1:2">
      <c r="A135" t="s">
        <v>208</v>
      </c>
      <c r="B135" t="s">
        <v>208</v>
      </c>
    </row>
    <row r="136" spans="1:2">
      <c r="A136" t="s">
        <v>209</v>
      </c>
      <c r="B136" t="s">
        <v>177</v>
      </c>
    </row>
    <row r="137" spans="1:2">
      <c r="A137" t="s">
        <v>210</v>
      </c>
      <c r="B137" t="s">
        <v>210</v>
      </c>
    </row>
    <row r="138" spans="1:2">
      <c r="A138" t="s">
        <v>211</v>
      </c>
      <c r="B138" t="s">
        <v>211</v>
      </c>
    </row>
    <row r="139" spans="1:2">
      <c r="A139" t="s">
        <v>212</v>
      </c>
      <c r="B139" t="s">
        <v>168</v>
      </c>
    </row>
    <row r="140" spans="1:2">
      <c r="A140" t="s">
        <v>213</v>
      </c>
      <c r="B140" t="s">
        <v>213</v>
      </c>
    </row>
    <row r="141" spans="1:2">
      <c r="A141" t="s">
        <v>214</v>
      </c>
      <c r="B141" t="s">
        <v>215</v>
      </c>
    </row>
    <row r="143" spans="1:2">
      <c r="A143" t="s">
        <v>216</v>
      </c>
      <c r="B143" t="s">
        <v>217</v>
      </c>
    </row>
    <row r="144" spans="1:2">
      <c r="A144" s="21" t="s">
        <v>218</v>
      </c>
      <c r="B144" t="s">
        <v>219</v>
      </c>
    </row>
    <row r="145" spans="1:2" ht="15">
      <c r="A145" s="13" t="s">
        <v>220</v>
      </c>
      <c r="B145" t="s">
        <v>221</v>
      </c>
    </row>
    <row r="146" spans="1:2">
      <c r="A146" t="s">
        <v>222</v>
      </c>
      <c r="B146" t="s">
        <v>222</v>
      </c>
    </row>
    <row r="147" spans="1:2">
      <c r="A147" t="s">
        <v>223</v>
      </c>
      <c r="B147" t="s">
        <v>223</v>
      </c>
    </row>
    <row r="148" spans="1:2">
      <c r="A148" t="s">
        <v>224</v>
      </c>
      <c r="B148" t="s">
        <v>225</v>
      </c>
    </row>
    <row r="149" spans="1:2">
      <c r="A149" t="s">
        <v>226</v>
      </c>
      <c r="B149" t="s">
        <v>227</v>
      </c>
    </row>
    <row r="150" spans="1:2" ht="15">
      <c r="A150" s="22" t="s">
        <v>228</v>
      </c>
      <c r="B150" t="s">
        <v>229</v>
      </c>
    </row>
    <row r="151" spans="1:2">
      <c r="A151" t="s">
        <v>230</v>
      </c>
      <c r="B151" t="s">
        <v>231</v>
      </c>
    </row>
    <row r="152" spans="1:2">
      <c r="A152" t="s">
        <v>232</v>
      </c>
      <c r="B152" t="s">
        <v>232</v>
      </c>
    </row>
    <row r="153" spans="1:2">
      <c r="A153" t="s">
        <v>233</v>
      </c>
      <c r="B153" t="s">
        <v>234</v>
      </c>
    </row>
    <row r="154" spans="1:2">
      <c r="A154" t="s">
        <v>235</v>
      </c>
      <c r="B154" t="s">
        <v>235</v>
      </c>
    </row>
    <row r="155" spans="1:2">
      <c r="A155" t="s">
        <v>236</v>
      </c>
      <c r="B155" t="s">
        <v>237</v>
      </c>
    </row>
    <row r="156" spans="1:2">
      <c r="A156" t="s">
        <v>238</v>
      </c>
      <c r="B156" t="s">
        <v>237</v>
      </c>
    </row>
    <row r="157" spans="1:2">
      <c r="A157" t="s">
        <v>239</v>
      </c>
      <c r="B157" t="s">
        <v>165</v>
      </c>
    </row>
    <row r="158" spans="1:2">
      <c r="A158" t="s">
        <v>240</v>
      </c>
      <c r="B158" t="s">
        <v>72</v>
      </c>
    </row>
    <row r="159" spans="1:2">
      <c r="A159" t="s">
        <v>241</v>
      </c>
      <c r="B159" t="s">
        <v>241</v>
      </c>
    </row>
    <row r="160" spans="1:2" ht="15">
      <c r="A160" s="23" t="s">
        <v>242</v>
      </c>
      <c r="B160" t="s">
        <v>243</v>
      </c>
    </row>
    <row r="161" spans="1:2">
      <c r="A161" t="s">
        <v>244</v>
      </c>
      <c r="B161" t="s">
        <v>245</v>
      </c>
    </row>
    <row r="162" spans="1:2">
      <c r="A162" t="s">
        <v>246</v>
      </c>
      <c r="B162" t="s">
        <v>207</v>
      </c>
    </row>
    <row r="163" spans="1:2">
      <c r="A163" t="s">
        <v>247</v>
      </c>
      <c r="B163" t="s">
        <v>72</v>
      </c>
    </row>
    <row r="164" spans="1:2">
      <c r="A164" t="s">
        <v>248</v>
      </c>
      <c r="B164" t="s">
        <v>249</v>
      </c>
    </row>
    <row r="165" spans="1:2">
      <c r="A165" t="s">
        <v>250</v>
      </c>
      <c r="B165" t="s">
        <v>251</v>
      </c>
    </row>
    <row r="166" spans="1:2">
      <c r="A166" t="s">
        <v>252</v>
      </c>
      <c r="B166" t="s">
        <v>253</v>
      </c>
    </row>
    <row r="167" spans="1:2">
      <c r="A167" t="s">
        <v>254</v>
      </c>
      <c r="B167" t="s">
        <v>255</v>
      </c>
    </row>
    <row r="168" spans="1:2" ht="59.5">
      <c r="A168" s="10" t="s">
        <v>256</v>
      </c>
      <c r="B168" t="s">
        <v>122</v>
      </c>
    </row>
    <row r="169" spans="1:2">
      <c r="A169" t="s">
        <v>257</v>
      </c>
      <c r="B169" t="s">
        <v>258</v>
      </c>
    </row>
    <row r="170" spans="1:2">
      <c r="A170" t="s">
        <v>259</v>
      </c>
      <c r="B170" t="s">
        <v>260</v>
      </c>
    </row>
    <row r="171" spans="1:2">
      <c r="A171" t="s">
        <v>261</v>
      </c>
      <c r="B171" t="s">
        <v>262</v>
      </c>
    </row>
    <row r="172" spans="1:2">
      <c r="A172" t="s">
        <v>263</v>
      </c>
      <c r="B172" t="s">
        <v>264</v>
      </c>
    </row>
    <row r="173" spans="1:2">
      <c r="A173" t="s">
        <v>265</v>
      </c>
      <c r="B173" t="s">
        <v>266</v>
      </c>
    </row>
    <row r="174" spans="1:2">
      <c r="A174" t="s">
        <v>267</v>
      </c>
      <c r="B174" t="s">
        <v>268</v>
      </c>
    </row>
    <row r="175" spans="1:2">
      <c r="A175" s="10" t="s">
        <v>269</v>
      </c>
      <c r="B175" t="s">
        <v>269</v>
      </c>
    </row>
    <row r="176" spans="1:2">
      <c r="A176" t="s">
        <v>270</v>
      </c>
      <c r="B176" t="s">
        <v>271</v>
      </c>
    </row>
    <row r="177" spans="1:2">
      <c r="A177" t="s">
        <v>272</v>
      </c>
      <c r="B177" t="s">
        <v>273</v>
      </c>
    </row>
    <row r="178" spans="1:2">
      <c r="A178" t="s">
        <v>274</v>
      </c>
      <c r="B178" t="s">
        <v>275</v>
      </c>
    </row>
    <row r="179" spans="1:2">
      <c r="A179" t="s">
        <v>276</v>
      </c>
      <c r="B179" t="s">
        <v>276</v>
      </c>
    </row>
    <row r="180" spans="1:2">
      <c r="A180" t="s">
        <v>277</v>
      </c>
      <c r="B180" t="s">
        <v>278</v>
      </c>
    </row>
    <row r="181" spans="1:2">
      <c r="A181" t="s">
        <v>279</v>
      </c>
      <c r="B181" t="s">
        <v>44</v>
      </c>
    </row>
    <row r="182" spans="1:2">
      <c r="A182" t="s">
        <v>280</v>
      </c>
      <c r="B182" t="s">
        <v>280</v>
      </c>
    </row>
    <row r="183" spans="1:2">
      <c r="A183" t="s">
        <v>281</v>
      </c>
      <c r="B183" t="s">
        <v>282</v>
      </c>
    </row>
    <row r="184" spans="1:2">
      <c r="A184" t="s">
        <v>283</v>
      </c>
      <c r="B184" t="s">
        <v>283</v>
      </c>
    </row>
    <row r="185" spans="1:2">
      <c r="A185" s="4" t="s">
        <v>284</v>
      </c>
      <c r="B185" t="s">
        <v>285</v>
      </c>
    </row>
    <row r="186" spans="1:2">
      <c r="A186" t="s">
        <v>286</v>
      </c>
      <c r="B186" t="s">
        <v>287</v>
      </c>
    </row>
    <row r="187" spans="1:2">
      <c r="A187" t="s">
        <v>288</v>
      </c>
      <c r="B187" t="s">
        <v>288</v>
      </c>
    </row>
    <row r="188" spans="1:2">
      <c r="A188" t="s">
        <v>289</v>
      </c>
      <c r="B188" t="s">
        <v>290</v>
      </c>
    </row>
    <row r="189" spans="1:2">
      <c r="A189" t="s">
        <v>291</v>
      </c>
      <c r="B189" t="s">
        <v>292</v>
      </c>
    </row>
    <row r="190" spans="1:2">
      <c r="A190" t="s">
        <v>293</v>
      </c>
      <c r="B190" t="s">
        <v>294</v>
      </c>
    </row>
    <row r="191" spans="1:2">
      <c r="A191" t="s">
        <v>295</v>
      </c>
      <c r="B191" t="s">
        <v>296</v>
      </c>
    </row>
    <row r="192" spans="1:2">
      <c r="A192" t="s">
        <v>297</v>
      </c>
      <c r="B192" t="s">
        <v>297</v>
      </c>
    </row>
    <row r="193" spans="1:2">
      <c r="A193" t="s">
        <v>298</v>
      </c>
      <c r="B193" t="s">
        <v>299</v>
      </c>
    </row>
    <row r="194" spans="1:2">
      <c r="A194" t="s">
        <v>300</v>
      </c>
      <c r="B194" t="s">
        <v>301</v>
      </c>
    </row>
    <row r="195" spans="1:2">
      <c r="A195" t="s">
        <v>302</v>
      </c>
      <c r="B195" t="s">
        <v>249</v>
      </c>
    </row>
    <row r="196" spans="1:2">
      <c r="A196" t="s">
        <v>303</v>
      </c>
      <c r="B196" t="s">
        <v>304</v>
      </c>
    </row>
    <row r="197" spans="1:2">
      <c r="A197" t="s">
        <v>305</v>
      </c>
      <c r="B197" t="s">
        <v>304</v>
      </c>
    </row>
    <row r="198" spans="1:2">
      <c r="A198" t="s">
        <v>306</v>
      </c>
      <c r="B198" t="s">
        <v>307</v>
      </c>
    </row>
    <row r="199" spans="1:2">
      <c r="A199" t="s">
        <v>308</v>
      </c>
      <c r="B199" t="s">
        <v>309</v>
      </c>
    </row>
    <row r="200" spans="1:2" ht="15">
      <c r="A200" s="13" t="s">
        <v>310</v>
      </c>
      <c r="B200" t="s">
        <v>278</v>
      </c>
    </row>
    <row r="201" spans="1:2" ht="15">
      <c r="A201" s="13" t="s">
        <v>311</v>
      </c>
      <c r="B201" t="s">
        <v>312</v>
      </c>
    </row>
    <row r="202" spans="1:2" ht="15">
      <c r="A202" s="13" t="s">
        <v>313</v>
      </c>
      <c r="B202" t="s">
        <v>37</v>
      </c>
    </row>
    <row r="203" spans="1:2" ht="15">
      <c r="A203" s="13" t="s">
        <v>314</v>
      </c>
      <c r="B203" t="s">
        <v>315</v>
      </c>
    </row>
    <row r="204" spans="1:2" ht="15">
      <c r="A204" s="13" t="s">
        <v>316</v>
      </c>
      <c r="B204" t="s">
        <v>317</v>
      </c>
    </row>
    <row r="205" spans="1:2" ht="15">
      <c r="A205" s="13" t="s">
        <v>318</v>
      </c>
      <c r="B205" t="s">
        <v>319</v>
      </c>
    </row>
    <row r="206" spans="1:2" ht="15">
      <c r="A206" s="13" t="s">
        <v>320</v>
      </c>
      <c r="B206" t="s">
        <v>321</v>
      </c>
    </row>
    <row r="207" spans="1:2" ht="15">
      <c r="A207" s="13" t="s">
        <v>322</v>
      </c>
      <c r="B207" t="s">
        <v>323</v>
      </c>
    </row>
    <row r="208" spans="1:2" ht="15">
      <c r="A208" s="13" t="s">
        <v>324</v>
      </c>
      <c r="B208" t="s">
        <v>325</v>
      </c>
    </row>
    <row r="209" spans="1:2" ht="15">
      <c r="A209" s="13" t="s">
        <v>326</v>
      </c>
      <c r="B209"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Kilson KM</dc:creator>
  <cp:lastModifiedBy>Li, Kilson KM</cp:lastModifiedBy>
  <dcterms:created xsi:type="dcterms:W3CDTF">2026-04-15T02:51:26Z</dcterms:created>
  <dcterms:modified xsi:type="dcterms:W3CDTF">2026-04-17T08:47:35Z</dcterms:modified>
</cp:coreProperties>
</file>